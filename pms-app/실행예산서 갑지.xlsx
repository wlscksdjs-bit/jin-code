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updateLinks="never"/>
  <mc:AlternateContent xmlns:mc="http://schemas.openxmlformats.org/markup-compatibility/2006">
    <mc:Choice Requires="x15">
      <x15ac:absPath xmlns:x15ac="http://schemas.microsoft.com/office/spreadsheetml/2010/11/ac" url="https://d.docs.live.net/2d7df3081b6aa7f2/문서/"/>
    </mc:Choice>
  </mc:AlternateContent>
  <xr:revisionPtr revIDLastSave="1" documentId="14_{9562C29D-612B-4A37-AF57-DD3EC50D2A33}" xr6:coauthVersionLast="47" xr6:coauthVersionMax="47" xr10:uidLastSave="{EBF2747D-5EB5-40FE-96AF-118803CEF848}"/>
  <bookViews>
    <workbookView xWindow="-96" yWindow="0" windowWidth="12936" windowHeight="16656" firstSheet="3" activeTab="3" xr2:uid="{00000000-000D-0000-FFFF-FFFF00000000}"/>
  </bookViews>
  <sheets>
    <sheet name="갑지" sheetId="31" state="hidden" r:id="rId1"/>
    <sheet name="공사원가내역서" sheetId="32" state="hidden" r:id="rId2"/>
    <sheet name="을지" sheetId="33" state="hidden" r:id="rId3"/>
    <sheet name="실행예산서 갑지" sheetId="27" r:id="rId4"/>
    <sheet name="협력업체 기성금신청 1안" sheetId="3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KD2" hidden="1">#REF!</definedName>
    <definedName name="_________KD3" hidden="1">#REF!</definedName>
    <definedName name="_________KK1" hidden="1">#REF!</definedName>
    <definedName name="_________KK2" hidden="1">#REF!</definedName>
    <definedName name="_________KK3" hidden="1">#REF!</definedName>
    <definedName name="________KD2" hidden="1">#REF!</definedName>
    <definedName name="________KD3" hidden="1">#REF!</definedName>
    <definedName name="________KK1" hidden="1">#REF!</definedName>
    <definedName name="________KK2" hidden="1">#REF!</definedName>
    <definedName name="________KK3" hidden="1">#REF!</definedName>
    <definedName name="_______KD2" hidden="1">#REF!</definedName>
    <definedName name="_______KD3" hidden="1">#REF!</definedName>
    <definedName name="_______KK1" hidden="1">#REF!</definedName>
    <definedName name="_______KK2" hidden="1">#REF!</definedName>
    <definedName name="_______KK3" hidden="1">#REF!</definedName>
    <definedName name="______KD2" hidden="1">#REF!</definedName>
    <definedName name="______KD3" hidden="1">#REF!</definedName>
    <definedName name="______KK1" hidden="1">#REF!</definedName>
    <definedName name="______KK2" hidden="1">#REF!</definedName>
    <definedName name="______KK3" hidden="1">#REF!</definedName>
    <definedName name="_____KD2" hidden="1">#REF!</definedName>
    <definedName name="_____KD3" hidden="1">#REF!</definedName>
    <definedName name="_____KK1" hidden="1">#REF!</definedName>
    <definedName name="_____KK2" hidden="1">#REF!</definedName>
    <definedName name="_____KK3" hidden="1">#REF!</definedName>
    <definedName name="____KD2" hidden="1">#REF!</definedName>
    <definedName name="____KD3" hidden="1">#REF!</definedName>
    <definedName name="____KK1" hidden="1">#REF!</definedName>
    <definedName name="____KK2" hidden="1">#REF!</definedName>
    <definedName name="____KK3" hidden="1">#REF!</definedName>
    <definedName name="____P10">#REF!</definedName>
    <definedName name="____P11">#REF!</definedName>
    <definedName name="____P12">#REF!</definedName>
    <definedName name="____P13">#REF!</definedName>
    <definedName name="____P14">#REF!</definedName>
    <definedName name="____P15">#REF!</definedName>
    <definedName name="____P16">#REF!</definedName>
    <definedName name="____P17">#REF!</definedName>
    <definedName name="____P7">#REF!</definedName>
    <definedName name="____P8">#REF!</definedName>
    <definedName name="____P9">#REF!</definedName>
    <definedName name="____PH1">#REF!</definedName>
    <definedName name="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KD2" hidden="1">#REF!</definedName>
    <definedName name="___KD3" hidden="1">#REF!</definedName>
    <definedName name="___KK1" hidden="1">#REF!</definedName>
    <definedName name="___KK2" hidden="1">#REF!</definedName>
    <definedName name="___KK3" hidden="1">#REF!</definedName>
    <definedName name="___SS1" hidden="1">{#N/A,#N/A,FALSE,"운반시간"}</definedName>
    <definedName name="__123Graph_A" hidden="1">#REF!</definedName>
    <definedName name="__123Graph_B" hidden="1">#REF!</definedName>
    <definedName name="__123Graph_D" hidden="1">[1]B!#REF!</definedName>
    <definedName name="__123Graph_F" hidden="1">[1]B!#REF!</definedName>
    <definedName name="__123Graph_X" hidden="1">#REF!</definedName>
    <definedName name="__AHU2">[0]!__AHU2</definedName>
    <definedName name="__AHU222">[0]!__AHU222</definedName>
    <definedName name="__AHU3">[0]!__AHU3</definedName>
    <definedName name="__ELL45">#REF!</definedName>
    <definedName name="__ELL90">#REF!</definedName>
    <definedName name="__IntlFixup" hidden="1">TRUE</definedName>
    <definedName name="__KD2" hidden="1">#REF!</definedName>
    <definedName name="__KD3" hidden="1">#REF!</definedName>
    <definedName name="__KE2" hidden="1">#REF!</definedName>
    <definedName name="__KHM111" hidden="1">{#N/A,#N/A,FALSE,"제목"}</definedName>
    <definedName name="__KHM888" hidden="1">{#N/A,#N/A,FALSE,"제목"}</definedName>
    <definedName name="__KK1" hidden="1">#REF!</definedName>
    <definedName name="__KK2" hidden="1">#REF!</definedName>
    <definedName name="__KK3" hidden="1">#REF!</definedName>
    <definedName name="__MD1">'[2]할증 '!$B$8</definedName>
    <definedName name="__MD2">'[2]할증 '!$B$9</definedName>
    <definedName name="__NEW1">ROUND([3]!__NEW1*0.0254,3)</definedName>
    <definedName name="__p1">#REF!</definedName>
    <definedName name="__P10">#REF!</definedName>
    <definedName name="__P11">#REF!</definedName>
    <definedName name="__P12">#REF!</definedName>
    <definedName name="__P13">#REF!</definedName>
    <definedName name="__P14">#REF!</definedName>
    <definedName name="__P15">#REF!</definedName>
    <definedName name="__P16">#REF!</definedName>
    <definedName name="__P17">#REF!</definedName>
    <definedName name="__p2">#REF!</definedName>
    <definedName name="__p3">#REF!</definedName>
    <definedName name="__P4">#REF!</definedName>
    <definedName name="__P5">#REF!</definedName>
    <definedName name="__P6">#REF!</definedName>
    <definedName name="__P7">#REF!</definedName>
    <definedName name="__P8">#REF!</definedName>
    <definedName name="__P9">#REF!</definedName>
    <definedName name="__PH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S01" hidden="1">#REF!</definedName>
    <definedName name="__ss1">ROUND([3]!__ss1*0.0254,3)</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__GENERAL__">#REF!</definedName>
    <definedName name="_10A_">[4]연돌일위집계!#REF!</definedName>
    <definedName name="_10A_1">[4]연돌일위집계!#REF!</definedName>
    <definedName name="_10A_10">[4]연돌일위집계!#REF!</definedName>
    <definedName name="_10A_11">[4]연돌일위집계!#REF!</definedName>
    <definedName name="_10A_12">[4]연돌일위집계!#REF!</definedName>
    <definedName name="_10A_13">[4]연돌일위집계!#REF!</definedName>
    <definedName name="_10A_14">[4]연돌일위집계!#REF!</definedName>
    <definedName name="_10A_15">[4]연돌일위집계!#REF!</definedName>
    <definedName name="_10A_16">[4]연돌일위집계!#REF!</definedName>
    <definedName name="_10A_17">[4]연돌일위집계!#REF!</definedName>
    <definedName name="_10A_18">[4]연돌일위집계!#REF!</definedName>
    <definedName name="_10A_19">[4]연돌일위집계!#REF!</definedName>
    <definedName name="_10A_2">[4]연돌일위집계!#REF!</definedName>
    <definedName name="_10A_20">[4]연돌일위집계!#REF!</definedName>
    <definedName name="_10A_21">[4]연돌일위집계!#REF!</definedName>
    <definedName name="_10A_22">[4]연돌일위집계!#REF!</definedName>
    <definedName name="_10A_23">[4]연돌일위집계!#REF!</definedName>
    <definedName name="_10A_24">[4]연돌일위집계!#REF!</definedName>
    <definedName name="_10A_25">[4]연돌일위집계!#REF!</definedName>
    <definedName name="_10A_26">[4]연돌일위집계!#REF!</definedName>
    <definedName name="_10A_27">[4]연돌일위집계!#REF!</definedName>
    <definedName name="_10A_28">[4]연돌일위집계!#REF!</definedName>
    <definedName name="_10A_29">[4]연돌일위집계!#REF!</definedName>
    <definedName name="_10A_3">[4]연돌일위집계!#REF!</definedName>
    <definedName name="_10A_30">[4]연돌일위집계!#REF!</definedName>
    <definedName name="_10A_31">[4]연돌일위집계!#REF!</definedName>
    <definedName name="_10A_32">[4]연돌일위집계!#REF!</definedName>
    <definedName name="_10A_33">[4]연돌일위집계!#REF!</definedName>
    <definedName name="_10A_34">[4]연돌일위집계!#REF!</definedName>
    <definedName name="_10A_35">[4]연돌일위집계!#REF!</definedName>
    <definedName name="_10A_36">[4]연돌일위집계!#REF!</definedName>
    <definedName name="_10A_37">[4]연돌일위집계!#REF!</definedName>
    <definedName name="_10A_38">[4]연돌일위집계!#REF!</definedName>
    <definedName name="_10A_39">[4]연돌일위집계!#REF!</definedName>
    <definedName name="_10A_4">[4]연돌일위집계!#REF!</definedName>
    <definedName name="_10A_40">[4]연돌일위집계!#REF!</definedName>
    <definedName name="_10A_41">[4]연돌일위집계!#REF!</definedName>
    <definedName name="_10A_42">[4]연돌일위집계!#REF!</definedName>
    <definedName name="_10A_43">[4]연돌일위집계!#REF!</definedName>
    <definedName name="_10A_44">[4]연돌일위집계!#REF!</definedName>
    <definedName name="_10A_45">[4]연돌일위집계!#REF!</definedName>
    <definedName name="_10A_46">[4]연돌일위집계!#REF!</definedName>
    <definedName name="_10A_47">[4]연돌일위집계!#REF!</definedName>
    <definedName name="_10A_48">[4]연돌일위집계!#REF!</definedName>
    <definedName name="_10A_49">[4]연돌일위집계!#REF!</definedName>
    <definedName name="_10A_5">[4]연돌일위집계!#REF!</definedName>
    <definedName name="_10A_50">[4]연돌일위집계!#REF!</definedName>
    <definedName name="_10A_51">[4]연돌일위집계!#REF!</definedName>
    <definedName name="_10A_52">[4]연돌일위집계!#REF!</definedName>
    <definedName name="_10A_53">[4]연돌일위집계!#REF!</definedName>
    <definedName name="_10A_54">[4]연돌일위집계!#REF!</definedName>
    <definedName name="_10A_55">[4]연돌일위집계!#REF!</definedName>
    <definedName name="_10A_56">[4]연돌일위집계!#REF!</definedName>
    <definedName name="_10A_57">[4]연돌일위집계!#REF!</definedName>
    <definedName name="_10A_58">[4]연돌일위집계!#REF!</definedName>
    <definedName name="_10A_59">[4]연돌일위집계!#REF!</definedName>
    <definedName name="_10A_6">[4]연돌일위집계!#REF!</definedName>
    <definedName name="_10A_60">[4]연돌일위집계!#REF!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[4]연돌일위집계!#REF!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[4]연돌일위집계!#REF!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[4]연돌일위집계!#REF!</definedName>
    <definedName name="_10A_90">#N/A</definedName>
    <definedName name="_10B_">[4]연돌일위집계!#REF!</definedName>
    <definedName name="_10B_1">[4]연돌일위집계!#REF!</definedName>
    <definedName name="_10B_10">[4]연돌일위집계!#REF!</definedName>
    <definedName name="_10B_11">[4]연돌일위집계!#REF!</definedName>
    <definedName name="_10B_12">[4]연돌일위집계!#REF!</definedName>
    <definedName name="_10B_13">[4]연돌일위집계!#REF!</definedName>
    <definedName name="_10B_14">[4]연돌일위집계!#REF!</definedName>
    <definedName name="_10B_15">[4]연돌일위집계!#REF!</definedName>
    <definedName name="_10B_16">[4]연돌일위집계!#REF!</definedName>
    <definedName name="_10B_17">[4]연돌일위집계!#REF!</definedName>
    <definedName name="_10B_18">[4]연돌일위집계!#REF!</definedName>
    <definedName name="_10B_19">[4]연돌일위집계!#REF!</definedName>
    <definedName name="_10B_2">[4]연돌일위집계!#REF!</definedName>
    <definedName name="_10B_20">[4]연돌일위집계!#REF!</definedName>
    <definedName name="_10B_21">[4]연돌일위집계!#REF!</definedName>
    <definedName name="_10B_22">[4]연돌일위집계!#REF!</definedName>
    <definedName name="_10B_23">[4]연돌일위집계!#REF!</definedName>
    <definedName name="_10B_24">[4]연돌일위집계!#REF!</definedName>
    <definedName name="_10B_25">[4]연돌일위집계!#REF!</definedName>
    <definedName name="_10B_26">[4]연돌일위집계!#REF!</definedName>
    <definedName name="_10B_27">[4]연돌일위집계!#REF!</definedName>
    <definedName name="_10B_28">[4]연돌일위집계!#REF!</definedName>
    <definedName name="_10B_29">[4]연돌일위집계!#REF!</definedName>
    <definedName name="_10B_3">[4]연돌일위집계!#REF!</definedName>
    <definedName name="_10B_30">[4]연돌일위집계!#REF!</definedName>
    <definedName name="_10B_31">[4]연돌일위집계!#REF!</definedName>
    <definedName name="_10B_32">[4]연돌일위집계!#REF!</definedName>
    <definedName name="_10B_33">[4]연돌일위집계!#REF!</definedName>
    <definedName name="_10B_34">[4]연돌일위집계!#REF!</definedName>
    <definedName name="_10B_35">[4]연돌일위집계!#REF!</definedName>
    <definedName name="_10B_36">[4]연돌일위집계!#REF!</definedName>
    <definedName name="_10B_37">[4]연돌일위집계!#REF!</definedName>
    <definedName name="_10B_38">[4]연돌일위집계!#REF!</definedName>
    <definedName name="_10B_39">[4]연돌일위집계!#REF!</definedName>
    <definedName name="_10B_4">[4]연돌일위집계!#REF!</definedName>
    <definedName name="_10B_40">[4]연돌일위집계!#REF!</definedName>
    <definedName name="_10B_41">[4]연돌일위집계!#REF!</definedName>
    <definedName name="_10B_42">[4]연돌일위집계!#REF!</definedName>
    <definedName name="_10B_43">[4]연돌일위집계!#REF!</definedName>
    <definedName name="_10B_44">[4]연돌일위집계!#REF!</definedName>
    <definedName name="_10B_45">[4]연돌일위집계!#REF!</definedName>
    <definedName name="_10B_46">[4]연돌일위집계!#REF!</definedName>
    <definedName name="_10B_47">[4]연돌일위집계!#REF!</definedName>
    <definedName name="_10B_48">[4]연돌일위집계!#REF!</definedName>
    <definedName name="_10B_49">[4]연돌일위집계!#REF!</definedName>
    <definedName name="_10B_5">[4]연돌일위집계!#REF!</definedName>
    <definedName name="_10B_50">[4]연돌일위집계!#REF!</definedName>
    <definedName name="_10B_51">[4]연돌일위집계!#REF!</definedName>
    <definedName name="_10B_52">[4]연돌일위집계!#REF!</definedName>
    <definedName name="_10B_53">[4]연돌일위집계!#REF!</definedName>
    <definedName name="_10B_54">[4]연돌일위집계!#REF!</definedName>
    <definedName name="_10B_55">[4]연돌일위집계!#REF!</definedName>
    <definedName name="_10B_56">[4]연돌일위집계!#REF!</definedName>
    <definedName name="_10B_57">[4]연돌일위집계!#REF!</definedName>
    <definedName name="_10B_58">[4]연돌일위집계!#REF!</definedName>
    <definedName name="_10B_59">[4]연돌일위집계!#REF!</definedName>
    <definedName name="_10B_6">[4]연돌일위집계!#REF!</definedName>
    <definedName name="_10B_60">[4]연돌일위집계!#REF!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[4]연돌일위집계!#REF!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[4]연돌일위집계!#REF!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[4]연돌일위집계!#REF!</definedName>
    <definedName name="_10B_90">#N/A</definedName>
    <definedName name="_10C_">[4]연돌일위집계!#REF!</definedName>
    <definedName name="_10C_1">[4]연돌일위집계!#REF!</definedName>
    <definedName name="_10C_10">[4]연돌일위집계!#REF!</definedName>
    <definedName name="_10C_11">[4]연돌일위집계!#REF!</definedName>
    <definedName name="_10C_12">[4]연돌일위집계!#REF!</definedName>
    <definedName name="_10C_13">[4]연돌일위집계!#REF!</definedName>
    <definedName name="_10C_14">[4]연돌일위집계!#REF!</definedName>
    <definedName name="_10C_15">[4]연돌일위집계!#REF!</definedName>
    <definedName name="_10C_16">[4]연돌일위집계!#REF!</definedName>
    <definedName name="_10C_17">[4]연돌일위집계!#REF!</definedName>
    <definedName name="_10C_18">[4]연돌일위집계!#REF!</definedName>
    <definedName name="_10C_19">[4]연돌일위집계!#REF!</definedName>
    <definedName name="_10C_2">[4]연돌일위집계!#REF!</definedName>
    <definedName name="_10C_20">[4]연돌일위집계!#REF!</definedName>
    <definedName name="_10C_21">[4]연돌일위집계!#REF!</definedName>
    <definedName name="_10C_22">[4]연돌일위집계!#REF!</definedName>
    <definedName name="_10C_23">[4]연돌일위집계!#REF!</definedName>
    <definedName name="_10C_24">[4]연돌일위집계!#REF!</definedName>
    <definedName name="_10C_25">[4]연돌일위집계!#REF!</definedName>
    <definedName name="_10C_26">[4]연돌일위집계!#REF!</definedName>
    <definedName name="_10C_27">[4]연돌일위집계!#REF!</definedName>
    <definedName name="_10C_28">[4]연돌일위집계!#REF!</definedName>
    <definedName name="_10C_29">[4]연돌일위집계!#REF!</definedName>
    <definedName name="_10C_3">[4]연돌일위집계!#REF!</definedName>
    <definedName name="_10C_30">[4]연돌일위집계!#REF!</definedName>
    <definedName name="_10C_31">[4]연돌일위집계!#REF!</definedName>
    <definedName name="_10C_32">[4]연돌일위집계!#REF!</definedName>
    <definedName name="_10C_33">[4]연돌일위집계!#REF!</definedName>
    <definedName name="_10C_34">[4]연돌일위집계!#REF!</definedName>
    <definedName name="_10C_35">[4]연돌일위집계!#REF!</definedName>
    <definedName name="_10C_36">[4]연돌일위집계!#REF!</definedName>
    <definedName name="_10C_37">[4]연돌일위집계!#REF!</definedName>
    <definedName name="_10C_38">[4]연돌일위집계!#REF!</definedName>
    <definedName name="_10C_39">[4]연돌일위집계!#REF!</definedName>
    <definedName name="_10C_4">[4]연돌일위집계!#REF!</definedName>
    <definedName name="_10C_40">[4]연돌일위집계!#REF!</definedName>
    <definedName name="_10C_41">[4]연돌일위집계!#REF!</definedName>
    <definedName name="_10C_42">[4]연돌일위집계!#REF!</definedName>
    <definedName name="_10C_43">[4]연돌일위집계!#REF!</definedName>
    <definedName name="_10C_44">[4]연돌일위집계!#REF!</definedName>
    <definedName name="_10C_45">[4]연돌일위집계!#REF!</definedName>
    <definedName name="_10C_46">[4]연돌일위집계!#REF!</definedName>
    <definedName name="_10C_47">[4]연돌일위집계!#REF!</definedName>
    <definedName name="_10C_48">[4]연돌일위집계!#REF!</definedName>
    <definedName name="_10C_49">[4]연돌일위집계!#REF!</definedName>
    <definedName name="_10C_5">[4]연돌일위집계!#REF!</definedName>
    <definedName name="_10C_50">[4]연돌일위집계!#REF!</definedName>
    <definedName name="_10C_51">[4]연돌일위집계!#REF!</definedName>
    <definedName name="_10C_52">[4]연돌일위집계!#REF!</definedName>
    <definedName name="_10C_53">[4]연돌일위집계!#REF!</definedName>
    <definedName name="_10C_54">[4]연돌일위집계!#REF!</definedName>
    <definedName name="_10C_55">[4]연돌일위집계!#REF!</definedName>
    <definedName name="_10C_56">[4]연돌일위집계!#REF!</definedName>
    <definedName name="_10C_57">[4]연돌일위집계!#REF!</definedName>
    <definedName name="_10C_58">[4]연돌일위집계!#REF!</definedName>
    <definedName name="_10C_59">[4]연돌일위집계!#REF!</definedName>
    <definedName name="_10C_6">[4]연돌일위집계!#REF!</definedName>
    <definedName name="_10C_60">[4]연돌일위집계!#REF!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[4]연돌일위집계!#REF!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[4]연돌일위집계!#REF!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[4]연돌일위집계!#REF!</definedName>
    <definedName name="_10C_90">#N/A</definedName>
    <definedName name="_11">#N/A</definedName>
    <definedName name="_11A_1">[4]연돌일위집계!#REF!</definedName>
    <definedName name="_11A_10">[4]연돌일위집계!#REF!</definedName>
    <definedName name="_11A_11">[4]연돌일위집계!#REF!</definedName>
    <definedName name="_11A_12">[4]연돌일위집계!#REF!</definedName>
    <definedName name="_11A_13">[4]연돌일위집계!#REF!</definedName>
    <definedName name="_11A_14">[4]연돌일위집계!#REF!</definedName>
    <definedName name="_11A_15">[4]연돌일위집계!#REF!</definedName>
    <definedName name="_11A_16">[4]연돌일위집계!#REF!</definedName>
    <definedName name="_11A_17">[4]연돌일위집계!#REF!</definedName>
    <definedName name="_11A_18">[4]연돌일위집계!#REF!</definedName>
    <definedName name="_11A_19">[4]연돌일위집계!#REF!</definedName>
    <definedName name="_11A_2">[4]연돌일위집계!#REF!</definedName>
    <definedName name="_11A_20">[4]연돌일위집계!#REF!</definedName>
    <definedName name="_11A_21">[4]연돌일위집계!#REF!</definedName>
    <definedName name="_11A_22">[4]연돌일위집계!#REF!</definedName>
    <definedName name="_11A_23">[4]연돌일위집계!#REF!</definedName>
    <definedName name="_11A_24">[4]연돌일위집계!#REF!</definedName>
    <definedName name="_11A_25">[4]연돌일위집계!#REF!</definedName>
    <definedName name="_11A_26">[4]연돌일위집계!#REF!</definedName>
    <definedName name="_11A_27">[4]연돌일위집계!#REF!</definedName>
    <definedName name="_11A_28">[4]연돌일위집계!#REF!</definedName>
    <definedName name="_11A_29">[4]연돌일위집계!#REF!</definedName>
    <definedName name="_11A_3">[4]연돌일위집계!#REF!</definedName>
    <definedName name="_11A_30">[4]연돌일위집계!#REF!</definedName>
    <definedName name="_11A_4">[4]연돌일위집계!#REF!</definedName>
    <definedName name="_11A_5">[4]연돌일위집계!#REF!</definedName>
    <definedName name="_11A_6">[4]연돌일위집계!#REF!</definedName>
    <definedName name="_11A_7">[4]연돌일위집계!#REF!</definedName>
    <definedName name="_11A_8">[4]연돌일위집계!#REF!</definedName>
    <definedName name="_11A_9">[4]연돌일위집계!#REF!</definedName>
    <definedName name="_11B_1">[4]연돌일위집계!#REF!</definedName>
    <definedName name="_11B_10">[4]연돌일위집계!#REF!</definedName>
    <definedName name="_11B_11">[4]연돌일위집계!#REF!</definedName>
    <definedName name="_11B_12">[4]연돌일위집계!#REF!</definedName>
    <definedName name="_11B_13">[4]연돌일위집계!#REF!</definedName>
    <definedName name="_11B_14">[4]연돌일위집계!#REF!</definedName>
    <definedName name="_11B_15">[4]연돌일위집계!#REF!</definedName>
    <definedName name="_11B_16">[4]연돌일위집계!#REF!</definedName>
    <definedName name="_11B_17">[4]연돌일위집계!#REF!</definedName>
    <definedName name="_11B_18">[4]연돌일위집계!#REF!</definedName>
    <definedName name="_11B_19">[4]연돌일위집계!#REF!</definedName>
    <definedName name="_11B_2">[4]연돌일위집계!#REF!</definedName>
    <definedName name="_11B_20">[4]연돌일위집계!#REF!</definedName>
    <definedName name="_11B_21">[4]연돌일위집계!#REF!</definedName>
    <definedName name="_11B_22">[4]연돌일위집계!#REF!</definedName>
    <definedName name="_11B_23">[4]연돌일위집계!#REF!</definedName>
    <definedName name="_11B_24">[4]연돌일위집계!#REF!</definedName>
    <definedName name="_11B_25">[4]연돌일위집계!#REF!</definedName>
    <definedName name="_11B_26">[4]연돌일위집계!#REF!</definedName>
    <definedName name="_11B_27">[4]연돌일위집계!#REF!</definedName>
    <definedName name="_11B_28">[4]연돌일위집계!#REF!</definedName>
    <definedName name="_11B_29">[4]연돌일위집계!#REF!</definedName>
    <definedName name="_11B_3">[4]연돌일위집계!#REF!</definedName>
    <definedName name="_11B_30">[4]연돌일위집계!#REF!</definedName>
    <definedName name="_11B_4">[4]연돌일위집계!#REF!</definedName>
    <definedName name="_11B_5">[4]연돌일위집계!#REF!</definedName>
    <definedName name="_11B_6">[4]연돌일위집계!#REF!</definedName>
    <definedName name="_11B_7">[4]연돌일위집계!#REF!</definedName>
    <definedName name="_11B_8">[4]연돌일위집계!#REF!</definedName>
    <definedName name="_11B_9">[4]연돌일위집계!#REF!</definedName>
    <definedName name="_11C_1">[4]연돌일위집계!#REF!</definedName>
    <definedName name="_11C_10">[4]연돌일위집계!#REF!</definedName>
    <definedName name="_11C_11">[4]연돌일위집계!#REF!</definedName>
    <definedName name="_11C_12">[4]연돌일위집계!#REF!</definedName>
    <definedName name="_11C_13">[4]연돌일위집계!#REF!</definedName>
    <definedName name="_11C_14">[4]연돌일위집계!#REF!</definedName>
    <definedName name="_11C_15">[4]연돌일위집계!#REF!</definedName>
    <definedName name="_11C_16">[4]연돌일위집계!#REF!</definedName>
    <definedName name="_11C_17">[4]연돌일위집계!#REF!</definedName>
    <definedName name="_11C_18">[4]연돌일위집계!#REF!</definedName>
    <definedName name="_11C_19">[4]연돌일위집계!#REF!</definedName>
    <definedName name="_11C_2">[4]연돌일위집계!#REF!</definedName>
    <definedName name="_11C_20">[4]연돌일위집계!#REF!</definedName>
    <definedName name="_11C_21">[4]연돌일위집계!#REF!</definedName>
    <definedName name="_11C_22">[4]연돌일위집계!#REF!</definedName>
    <definedName name="_11C_23">[4]연돌일위집계!#REF!</definedName>
    <definedName name="_11C_24">[4]연돌일위집계!#REF!</definedName>
    <definedName name="_11C_25">[4]연돌일위집계!#REF!</definedName>
    <definedName name="_11C_26">[4]연돌일위집계!#REF!</definedName>
    <definedName name="_11C_27">[4]연돌일위집계!#REF!</definedName>
    <definedName name="_11C_28">[4]연돌일위집계!#REF!</definedName>
    <definedName name="_11C_29">[4]연돌일위집계!#REF!</definedName>
    <definedName name="_11C_3">[4]연돌일위집계!#REF!</definedName>
    <definedName name="_11C_30">[4]연돌일위집계!#REF!</definedName>
    <definedName name="_11C_4">[4]연돌일위집계!#REF!</definedName>
    <definedName name="_11C_5">[4]연돌일위집계!#REF!</definedName>
    <definedName name="_11C_6">[4]연돌일위집계!#REF!</definedName>
    <definedName name="_11C_7">[4]연돌일위집계!#REF!</definedName>
    <definedName name="_11C_8">[4]연돌일위집계!#REF!</definedName>
    <definedName name="_11C_9">[4]연돌일위집계!#REF!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[4]연돌일위집계!#REF!</definedName>
    <definedName name="_13A_10">[4]연돌일위집계!#REF!</definedName>
    <definedName name="_13A_11">[4]연돌일위집계!#REF!</definedName>
    <definedName name="_13A_12">[4]연돌일위집계!#REF!</definedName>
    <definedName name="_13A_13">[4]연돌일위집계!#REF!</definedName>
    <definedName name="_13A_14">[4]연돌일위집계!#REF!</definedName>
    <definedName name="_13A_15">[4]연돌일위집계!#REF!</definedName>
    <definedName name="_13A_16">[4]연돌일위집계!#REF!</definedName>
    <definedName name="_13A_17">[4]연돌일위집계!#REF!</definedName>
    <definedName name="_13A_18">[4]연돌일위집계!#REF!</definedName>
    <definedName name="_13A_19">[4]연돌일위집계!#REF!</definedName>
    <definedName name="_13A_2">[4]연돌일위집계!#REF!</definedName>
    <definedName name="_13A_20">[4]연돌일위집계!#REF!</definedName>
    <definedName name="_13A_21">[4]연돌일위집계!#REF!</definedName>
    <definedName name="_13A_22">[4]연돌일위집계!#REF!</definedName>
    <definedName name="_13A_23">[4]연돌일위집계!#REF!</definedName>
    <definedName name="_13A_24">[4]연돌일위집계!#REF!</definedName>
    <definedName name="_13A_25">[4]연돌일위집계!#REF!</definedName>
    <definedName name="_13A_26">[4]연돌일위집계!#REF!</definedName>
    <definedName name="_13A_27">[4]연돌일위집계!#REF!</definedName>
    <definedName name="_13A_28">[4]연돌일위집계!#REF!</definedName>
    <definedName name="_13A_29">[4]연돌일위집계!#REF!</definedName>
    <definedName name="_13A_3">[4]연돌일위집계!#REF!</definedName>
    <definedName name="_13A_30">[4]연돌일위집계!#REF!</definedName>
    <definedName name="_13A_31">[4]연돌일위집계!#REF!</definedName>
    <definedName name="_13A_32">[4]연돌일위집계!#REF!</definedName>
    <definedName name="_13A_33">[4]연돌일위집계!#REF!</definedName>
    <definedName name="_13A_34">[4]연돌일위집계!#REF!</definedName>
    <definedName name="_13A_35">[4]연돌일위집계!#REF!</definedName>
    <definedName name="_13A_36">[4]연돌일위집계!#REF!</definedName>
    <definedName name="_13A_37">[4]연돌일위집계!#REF!</definedName>
    <definedName name="_13A_38">[4]연돌일위집계!#REF!</definedName>
    <definedName name="_13A_39">[4]연돌일위집계!#REF!</definedName>
    <definedName name="_13A_4">[4]연돌일위집계!#REF!</definedName>
    <definedName name="_13A_40">[4]연돌일위집계!#REF!</definedName>
    <definedName name="_13A_41">[4]연돌일위집계!#REF!</definedName>
    <definedName name="_13A_42">[4]연돌일위집계!#REF!</definedName>
    <definedName name="_13A_43">[4]연돌일위집계!#REF!</definedName>
    <definedName name="_13A_44">[4]연돌일위집계!#REF!</definedName>
    <definedName name="_13A_45">[4]연돌일위집계!#REF!</definedName>
    <definedName name="_13A_46">[4]연돌일위집계!#REF!</definedName>
    <definedName name="_13A_47">[4]연돌일위집계!#REF!</definedName>
    <definedName name="_13A_48">[4]연돌일위집계!#REF!</definedName>
    <definedName name="_13A_49">[4]연돌일위집계!#REF!</definedName>
    <definedName name="_13A_5">[4]연돌일위집계!#REF!</definedName>
    <definedName name="_13A_50">[4]연돌일위집계!#REF!</definedName>
    <definedName name="_13A_51">[4]연돌일위집계!#REF!</definedName>
    <definedName name="_13A_52">[4]연돌일위집계!#REF!</definedName>
    <definedName name="_13A_53">[4]연돌일위집계!#REF!</definedName>
    <definedName name="_13A_54">[4]연돌일위집계!#REF!</definedName>
    <definedName name="_13A_55">[4]연돌일위집계!#REF!</definedName>
    <definedName name="_13A_56">[4]연돌일위집계!#REF!</definedName>
    <definedName name="_13A_57">[4]연돌일위집계!#REF!</definedName>
    <definedName name="_13A_58">[4]연돌일위집계!#REF!</definedName>
    <definedName name="_13A_59">[4]연돌일위집계!#REF!</definedName>
    <definedName name="_13A_6">[4]연돌일위집계!#REF!</definedName>
    <definedName name="_13A_60">[4]연돌일위집계!#REF!</definedName>
    <definedName name="_13A_7">[4]연돌일위집계!#REF!</definedName>
    <definedName name="_13A_8">[4]연돌일위집계!#REF!</definedName>
    <definedName name="_13A_9">[4]연돌일위집계!#REF!</definedName>
    <definedName name="_13B_1">[4]연돌일위집계!#REF!</definedName>
    <definedName name="_13B_10">[4]연돌일위집계!#REF!</definedName>
    <definedName name="_13B_11">[4]연돌일위집계!#REF!</definedName>
    <definedName name="_13B_12">[4]연돌일위집계!#REF!</definedName>
    <definedName name="_13B_13">[4]연돌일위집계!#REF!</definedName>
    <definedName name="_13B_14">[4]연돌일위집계!#REF!</definedName>
    <definedName name="_13B_15">[4]연돌일위집계!#REF!</definedName>
    <definedName name="_13B_16">[4]연돌일위집계!#REF!</definedName>
    <definedName name="_13B_17">[4]연돌일위집계!#REF!</definedName>
    <definedName name="_13B_18">[4]연돌일위집계!#REF!</definedName>
    <definedName name="_13B_19">[4]연돌일위집계!#REF!</definedName>
    <definedName name="_13B_2">[4]연돌일위집계!#REF!</definedName>
    <definedName name="_13B_20">[4]연돌일위집계!#REF!</definedName>
    <definedName name="_13B_21">[4]연돌일위집계!#REF!</definedName>
    <definedName name="_13B_22">[4]연돌일위집계!#REF!</definedName>
    <definedName name="_13B_23">[4]연돌일위집계!#REF!</definedName>
    <definedName name="_13B_24">[4]연돌일위집계!#REF!</definedName>
    <definedName name="_13B_25">[4]연돌일위집계!#REF!</definedName>
    <definedName name="_13B_26">[4]연돌일위집계!#REF!</definedName>
    <definedName name="_13B_27">[4]연돌일위집계!#REF!</definedName>
    <definedName name="_13B_28">[4]연돌일위집계!#REF!</definedName>
    <definedName name="_13B_29">[4]연돌일위집계!#REF!</definedName>
    <definedName name="_13B_3">[4]연돌일위집계!#REF!</definedName>
    <definedName name="_13B_30">[4]연돌일위집계!#REF!</definedName>
    <definedName name="_13B_31">[4]연돌일위집계!#REF!</definedName>
    <definedName name="_13B_32">[4]연돌일위집계!#REF!</definedName>
    <definedName name="_13B_33">[4]연돌일위집계!#REF!</definedName>
    <definedName name="_13B_34">[4]연돌일위집계!#REF!</definedName>
    <definedName name="_13B_35">[4]연돌일위집계!#REF!</definedName>
    <definedName name="_13B_36">[4]연돌일위집계!#REF!</definedName>
    <definedName name="_13B_37">[4]연돌일위집계!#REF!</definedName>
    <definedName name="_13B_38">[4]연돌일위집계!#REF!</definedName>
    <definedName name="_13B_39">[4]연돌일위집계!#REF!</definedName>
    <definedName name="_13B_4">[4]연돌일위집계!#REF!</definedName>
    <definedName name="_13B_40">[4]연돌일위집계!#REF!</definedName>
    <definedName name="_13B_41">[4]연돌일위집계!#REF!</definedName>
    <definedName name="_13B_42">[4]연돌일위집계!#REF!</definedName>
    <definedName name="_13B_43">[4]연돌일위집계!#REF!</definedName>
    <definedName name="_13B_44">[4]연돌일위집계!#REF!</definedName>
    <definedName name="_13B_45">[4]연돌일위집계!#REF!</definedName>
    <definedName name="_13B_46">[4]연돌일위집계!#REF!</definedName>
    <definedName name="_13B_47">[4]연돌일위집계!#REF!</definedName>
    <definedName name="_13B_48">[4]연돌일위집계!#REF!</definedName>
    <definedName name="_13B_49">[4]연돌일위집계!#REF!</definedName>
    <definedName name="_13B_5">[4]연돌일위집계!#REF!</definedName>
    <definedName name="_13B_50">[4]연돌일위집계!#REF!</definedName>
    <definedName name="_13B_51">[4]연돌일위집계!#REF!</definedName>
    <definedName name="_13B_52">[4]연돌일위집계!#REF!</definedName>
    <definedName name="_13B_53">[4]연돌일위집계!#REF!</definedName>
    <definedName name="_13B_54">[4]연돌일위집계!#REF!</definedName>
    <definedName name="_13B_55">[4]연돌일위집계!#REF!</definedName>
    <definedName name="_13B_56">[4]연돌일위집계!#REF!</definedName>
    <definedName name="_13B_57">[4]연돌일위집계!#REF!</definedName>
    <definedName name="_13B_58">[4]연돌일위집계!#REF!</definedName>
    <definedName name="_13B_59">[4]연돌일위집계!#REF!</definedName>
    <definedName name="_13B_6">[4]연돌일위집계!#REF!</definedName>
    <definedName name="_13B_60">[4]연돌일위집계!#REF!</definedName>
    <definedName name="_13B_7">[4]연돌일위집계!#REF!</definedName>
    <definedName name="_13B_8">[4]연돌일위집계!#REF!</definedName>
    <definedName name="_13B_9">[4]연돌일위집계!#REF!</definedName>
    <definedName name="_13C_1">[4]연돌일위집계!#REF!</definedName>
    <definedName name="_13C_10">[4]연돌일위집계!#REF!</definedName>
    <definedName name="_13C_11">[4]연돌일위집계!#REF!</definedName>
    <definedName name="_13C_12">[4]연돌일위집계!#REF!</definedName>
    <definedName name="_13C_13">[4]연돌일위집계!#REF!</definedName>
    <definedName name="_13C_14">[4]연돌일위집계!#REF!</definedName>
    <definedName name="_13C_15">[4]연돌일위집계!#REF!</definedName>
    <definedName name="_13C_16">[4]연돌일위집계!#REF!</definedName>
    <definedName name="_13C_17">[4]연돌일위집계!#REF!</definedName>
    <definedName name="_13C_18">[4]연돌일위집계!#REF!</definedName>
    <definedName name="_13C_19">[4]연돌일위집계!#REF!</definedName>
    <definedName name="_13C_2">[4]연돌일위집계!#REF!</definedName>
    <definedName name="_13C_20">[4]연돌일위집계!#REF!</definedName>
    <definedName name="_13C_21">[4]연돌일위집계!#REF!</definedName>
    <definedName name="_13C_22">[4]연돌일위집계!#REF!</definedName>
    <definedName name="_13C_23">[4]연돌일위집계!#REF!</definedName>
    <definedName name="_13C_24">[4]연돌일위집계!#REF!</definedName>
    <definedName name="_13C_25">[4]연돌일위집계!#REF!</definedName>
    <definedName name="_13C_26">[4]연돌일위집계!#REF!</definedName>
    <definedName name="_13C_27">[4]연돌일위집계!#REF!</definedName>
    <definedName name="_13C_28">[4]연돌일위집계!#REF!</definedName>
    <definedName name="_13C_29">[4]연돌일위집계!#REF!</definedName>
    <definedName name="_13C_3">[4]연돌일위집계!#REF!</definedName>
    <definedName name="_13C_30">[4]연돌일위집계!#REF!</definedName>
    <definedName name="_13C_31">[4]연돌일위집계!#REF!</definedName>
    <definedName name="_13C_32">[4]연돌일위집계!#REF!</definedName>
    <definedName name="_13C_33">[4]연돌일위집계!#REF!</definedName>
    <definedName name="_13C_34">[4]연돌일위집계!#REF!</definedName>
    <definedName name="_13C_35">[4]연돌일위집계!#REF!</definedName>
    <definedName name="_13C_36">[4]연돌일위집계!#REF!</definedName>
    <definedName name="_13C_37">[4]연돌일위집계!#REF!</definedName>
    <definedName name="_13C_38">[4]연돌일위집계!#REF!</definedName>
    <definedName name="_13C_39">[4]연돌일위집계!#REF!</definedName>
    <definedName name="_13C_4">[4]연돌일위집계!#REF!</definedName>
    <definedName name="_13C_40">[4]연돌일위집계!#REF!</definedName>
    <definedName name="_13C_41">[4]연돌일위집계!#REF!</definedName>
    <definedName name="_13C_42">[4]연돌일위집계!#REF!</definedName>
    <definedName name="_13C_43">[4]연돌일위집계!#REF!</definedName>
    <definedName name="_13C_44">[4]연돌일위집계!#REF!</definedName>
    <definedName name="_13C_45">[4]연돌일위집계!#REF!</definedName>
    <definedName name="_13C_46">[4]연돌일위집계!#REF!</definedName>
    <definedName name="_13C_47">[4]연돌일위집계!#REF!</definedName>
    <definedName name="_13C_48">[4]연돌일위집계!#REF!</definedName>
    <definedName name="_13C_49">[4]연돌일위집계!#REF!</definedName>
    <definedName name="_13C_5">[4]연돌일위집계!#REF!</definedName>
    <definedName name="_13C_50">[4]연돌일위집계!#REF!</definedName>
    <definedName name="_13C_51">[4]연돌일위집계!#REF!</definedName>
    <definedName name="_13C_52">[4]연돌일위집계!#REF!</definedName>
    <definedName name="_13C_53">[4]연돌일위집계!#REF!</definedName>
    <definedName name="_13C_54">[4]연돌일위집계!#REF!</definedName>
    <definedName name="_13C_55">[4]연돌일위집계!#REF!</definedName>
    <definedName name="_13C_56">[4]연돌일위집계!#REF!</definedName>
    <definedName name="_13C_57">[4]연돌일위집계!#REF!</definedName>
    <definedName name="_13C_58">[4]연돌일위집계!#REF!</definedName>
    <definedName name="_13C_59">[4]연돌일위집계!#REF!</definedName>
    <definedName name="_13C_6">[4]연돌일위집계!#REF!</definedName>
    <definedName name="_13C_60">[4]연돌일위집계!#REF!</definedName>
    <definedName name="_13C_7">[4]연돌일위집계!#REF!</definedName>
    <definedName name="_13C_8">[4]연돌일위집계!#REF!</definedName>
    <definedName name="_13C_9">[4]연돌일위집계!#REF!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[5]금액내역서!$D$3:$D$10</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[4]연돌일위집계!#REF!</definedName>
    <definedName name="_16A_10">#REF!</definedName>
    <definedName name="_16A_11">#REF!</definedName>
    <definedName name="_16A_12">#REF!</definedName>
    <definedName name="_16A_13">#REF!</definedName>
    <definedName name="_16A_14">#REF!</definedName>
    <definedName name="_16A_15">#REF!</definedName>
    <definedName name="_16A_2">[4]연돌일위집계!#REF!</definedName>
    <definedName name="_16A_3">[4]연돌일위집계!#REF!</definedName>
    <definedName name="_16A_4">[4]연돌일위집계!#REF!</definedName>
    <definedName name="_16A_5">[4]연돌일위집계!#REF!</definedName>
    <definedName name="_16A_6">[4]연돌일위집계!#REF!</definedName>
    <definedName name="_16A_7">[4]연돌일위집계!#REF!</definedName>
    <definedName name="_16A_8">#REF!</definedName>
    <definedName name="_16A_9">#REF!</definedName>
    <definedName name="_16B_1">[4]연돌일위집계!#REF!</definedName>
    <definedName name="_16B_10">#REF!</definedName>
    <definedName name="_16B_11">#REF!</definedName>
    <definedName name="_16B_12">#REF!</definedName>
    <definedName name="_16B_13">#REF!</definedName>
    <definedName name="_16B_14">#REF!</definedName>
    <definedName name="_16B_15">#REF!</definedName>
    <definedName name="_16B_2">[4]연돌일위집계!#REF!</definedName>
    <definedName name="_16B_3">[4]연돌일위집계!#REF!</definedName>
    <definedName name="_16B_4">[4]연돌일위집계!#REF!</definedName>
    <definedName name="_16B_5">[4]연돌일위집계!#REF!</definedName>
    <definedName name="_16B_6">[4]연돌일위집계!#REF!</definedName>
    <definedName name="_16B_7">[4]연돌일위집계!#REF!</definedName>
    <definedName name="_16B_8">#REF!</definedName>
    <definedName name="_16B_9">#REF!</definedName>
    <definedName name="_16C_1">[4]연돌일위집계!#REF!</definedName>
    <definedName name="_16C_10">#REF!</definedName>
    <definedName name="_16C_11">#REF!</definedName>
    <definedName name="_16C_12">#REF!</definedName>
    <definedName name="_16C_13">#REF!</definedName>
    <definedName name="_16C_14">#REF!</definedName>
    <definedName name="_16C_15">#REF!</definedName>
    <definedName name="_16C_2">[4]연돌일위집계!#REF!</definedName>
    <definedName name="_16C_3">[4]연돌일위집계!#REF!</definedName>
    <definedName name="_16C_4">[4]연돌일위집계!#REF!</definedName>
    <definedName name="_16C_5">[4]연돌일위집계!#REF!</definedName>
    <definedName name="_16C_6">[4]연돌일위집계!#REF!</definedName>
    <definedName name="_16C_7">[4]연돌일위집계!#REF!</definedName>
    <definedName name="_16C_8">#REF!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[4]연돌일위집계!#REF!</definedName>
    <definedName name="_1A_10">[4]연돌일위집계!#REF!</definedName>
    <definedName name="_1A_11">[4]연돌일위집계!#REF!</definedName>
    <definedName name="_1A_12">[4]연돌일위집계!#REF!</definedName>
    <definedName name="_1A_13">[4]연돌일위집계!#REF!</definedName>
    <definedName name="_1A_14">[4]연돌일위집계!#REF!</definedName>
    <definedName name="_1A_15">[4]연돌일위집계!#REF!</definedName>
    <definedName name="_1A_16">[4]연돌일위집계!#REF!</definedName>
    <definedName name="_1A_17">[4]연돌일위집계!#REF!</definedName>
    <definedName name="_1A_18">[4]연돌일위집계!#REF!</definedName>
    <definedName name="_1A_19">[4]연돌일위집계!#REF!</definedName>
    <definedName name="_1A_2">[4]연돌일위집계!#REF!</definedName>
    <definedName name="_1A_20">[4]연돌일위집계!#REF!</definedName>
    <definedName name="_1A_21">[4]연돌일위집계!#REF!</definedName>
    <definedName name="_1A_22">[4]연돌일위집계!#REF!</definedName>
    <definedName name="_1A_23">[4]연돌일위집계!#REF!</definedName>
    <definedName name="_1A_24">[4]연돌일위집계!#REF!</definedName>
    <definedName name="_1A_25">[4]연돌일위집계!#REF!</definedName>
    <definedName name="_1A_26">[4]연돌일위집계!#REF!</definedName>
    <definedName name="_1A_27">[4]연돌일위집계!#REF!</definedName>
    <definedName name="_1A_28">[4]연돌일위집계!#REF!</definedName>
    <definedName name="_1A_29">[4]연돌일위집계!#REF!</definedName>
    <definedName name="_1A_3">[4]연돌일위집계!#REF!</definedName>
    <definedName name="_1A_30">[4]연돌일위집계!#REF!</definedName>
    <definedName name="_1A_4">[4]연돌일위집계!#REF!</definedName>
    <definedName name="_1A_5">[4]연돌일위집계!#REF!</definedName>
    <definedName name="_1A_6">[4]연돌일위집계!#REF!</definedName>
    <definedName name="_1A_7">[4]연돌일위집계!#REF!</definedName>
    <definedName name="_1A_8">[4]연돌일위집계!#REF!</definedName>
    <definedName name="_1A_9">[4]연돌일위집계!#REF!</definedName>
    <definedName name="_1B_1">[4]연돌일위집계!#REF!</definedName>
    <definedName name="_1B_10">[4]연돌일위집계!#REF!</definedName>
    <definedName name="_1B_11">[4]연돌일위집계!#REF!</definedName>
    <definedName name="_1B_12">[4]연돌일위집계!#REF!</definedName>
    <definedName name="_1B_13">[4]연돌일위집계!#REF!</definedName>
    <definedName name="_1B_14">[4]연돌일위집계!#REF!</definedName>
    <definedName name="_1B_15">[4]연돌일위집계!#REF!</definedName>
    <definedName name="_1B_16">[4]연돌일위집계!#REF!</definedName>
    <definedName name="_1B_17">[4]연돌일위집계!#REF!</definedName>
    <definedName name="_1B_18">[4]연돌일위집계!#REF!</definedName>
    <definedName name="_1B_19">[4]연돌일위집계!#REF!</definedName>
    <definedName name="_1B_2">[4]연돌일위집계!#REF!</definedName>
    <definedName name="_1B_20">[4]연돌일위집계!#REF!</definedName>
    <definedName name="_1B_21">[4]연돌일위집계!#REF!</definedName>
    <definedName name="_1B_22">[4]연돌일위집계!#REF!</definedName>
    <definedName name="_1B_23">[4]연돌일위집계!#REF!</definedName>
    <definedName name="_1B_24">[4]연돌일위집계!#REF!</definedName>
    <definedName name="_1B_25">[4]연돌일위집계!#REF!</definedName>
    <definedName name="_1B_26">[4]연돌일위집계!#REF!</definedName>
    <definedName name="_1B_27">[4]연돌일위집계!#REF!</definedName>
    <definedName name="_1B_28">[4]연돌일위집계!#REF!</definedName>
    <definedName name="_1B_29">[4]연돌일위집계!#REF!</definedName>
    <definedName name="_1B_3">[4]연돌일위집계!#REF!</definedName>
    <definedName name="_1B_30">[4]연돌일위집계!#REF!</definedName>
    <definedName name="_1B_4">[4]연돌일위집계!#REF!</definedName>
    <definedName name="_1B_5">[4]연돌일위집계!#REF!</definedName>
    <definedName name="_1B_6">[4]연돌일위집계!#REF!</definedName>
    <definedName name="_1B_7">[4]연돌일위집계!#REF!</definedName>
    <definedName name="_1B_8">[4]연돌일위집계!#REF!</definedName>
    <definedName name="_1B_9">[4]연돌일위집계!#REF!</definedName>
    <definedName name="_1C_1">[4]연돌일위집계!#REF!</definedName>
    <definedName name="_1C_10">[4]연돌일위집계!#REF!</definedName>
    <definedName name="_1C_11">[4]연돌일위집계!#REF!</definedName>
    <definedName name="_1C_12">[4]연돌일위집계!#REF!</definedName>
    <definedName name="_1C_13">[4]연돌일위집계!#REF!</definedName>
    <definedName name="_1C_14">[4]연돌일위집계!#REF!</definedName>
    <definedName name="_1C_15">[4]연돌일위집계!#REF!</definedName>
    <definedName name="_1C_16">[4]연돌일위집계!#REF!</definedName>
    <definedName name="_1C_17">[4]연돌일위집계!#REF!</definedName>
    <definedName name="_1C_18">[4]연돌일위집계!#REF!</definedName>
    <definedName name="_1C_19">[4]연돌일위집계!#REF!</definedName>
    <definedName name="_1C_2">[4]연돌일위집계!#REF!</definedName>
    <definedName name="_1C_20">[4]연돌일위집계!#REF!</definedName>
    <definedName name="_1C_21">[4]연돌일위집계!#REF!</definedName>
    <definedName name="_1C_22">[4]연돌일위집계!#REF!</definedName>
    <definedName name="_1C_23">[4]연돌일위집계!#REF!</definedName>
    <definedName name="_1C_24">[4]연돌일위집계!#REF!</definedName>
    <definedName name="_1C_25">[4]연돌일위집계!#REF!</definedName>
    <definedName name="_1C_26">[4]연돌일위집계!#REF!</definedName>
    <definedName name="_1C_27">[4]연돌일위집계!#REF!</definedName>
    <definedName name="_1C_28">[4]연돌일위집계!#REF!</definedName>
    <definedName name="_1C_29">[4]연돌일위집계!#REF!</definedName>
    <definedName name="_1C_3">[4]연돌일위집계!#REF!</definedName>
    <definedName name="_1C_30">[4]연돌일위집계!#REF!</definedName>
    <definedName name="_1C_4">[4]연돌일위집계!#REF!</definedName>
    <definedName name="_1C_5">[4]연돌일위집계!#REF!</definedName>
    <definedName name="_1C_6">[4]연돌일위집계!#REF!</definedName>
    <definedName name="_1C_7">[4]연돌일위집계!#REF!</definedName>
    <definedName name="_1C_8">[4]연돌일위집계!#REF!</definedName>
    <definedName name="_1C_9">[4]연돌일위집계!#REF!</definedName>
    <definedName name="_1q45_" localSheetId="2" hidden="1">{"'용역비'!$A$4:$C$8"}</definedName>
    <definedName name="_2">#N/A</definedName>
    <definedName name="_2__PIPING__">#REF!</definedName>
    <definedName name="_21¤§¤_¤¡" hidden="1">{#N/A,#N/A,FALSE,"Sheet1"}</definedName>
    <definedName name="_22">#N/A</definedName>
    <definedName name="_2A_1">[4]연돌일위집계!#REF!</definedName>
    <definedName name="_2A_10">[4]연돌일위집계!#REF!</definedName>
    <definedName name="_2A_11">[4]연돌일위집계!#REF!</definedName>
    <definedName name="_2A_12">[4]연돌일위집계!#REF!</definedName>
    <definedName name="_2A_13">[4]연돌일위집계!#REF!</definedName>
    <definedName name="_2A_14">[4]연돌일위집계!#REF!</definedName>
    <definedName name="_2A_15">[4]연돌일위집계!#REF!</definedName>
    <definedName name="_2A_16">[4]연돌일위집계!#REF!</definedName>
    <definedName name="_2A_17">[4]연돌일위집계!#REF!</definedName>
    <definedName name="_2A_18">[4]연돌일위집계!#REF!</definedName>
    <definedName name="_2A_19">[4]연돌일위집계!#REF!</definedName>
    <definedName name="_2A_2">[4]연돌일위집계!#REF!</definedName>
    <definedName name="_2A_20">[4]연돌일위집계!#REF!</definedName>
    <definedName name="_2A_21">[4]연돌일위집계!#REF!</definedName>
    <definedName name="_2A_22">[4]연돌일위집계!#REF!</definedName>
    <definedName name="_2A_23">[4]연돌일위집계!#REF!</definedName>
    <definedName name="_2A_24">[4]연돌일위집계!#REF!</definedName>
    <definedName name="_2A_25">[4]연돌일위집계!#REF!</definedName>
    <definedName name="_2A_26">[4]연돌일위집계!#REF!</definedName>
    <definedName name="_2A_27">[4]연돌일위집계!#REF!</definedName>
    <definedName name="_2A_28">[4]연돌일위집계!#REF!</definedName>
    <definedName name="_2A_29">[4]연돌일위집계!#REF!</definedName>
    <definedName name="_2A_3">[4]연돌일위집계!#REF!</definedName>
    <definedName name="_2A_30">[4]연돌일위집계!#REF!</definedName>
    <definedName name="_2A_4">[4]연돌일위집계!#REF!</definedName>
    <definedName name="_2A_5">[4]연돌일위집계!#REF!</definedName>
    <definedName name="_2A_6">[4]연돌일위집계!#REF!</definedName>
    <definedName name="_2A_7">[4]연돌일위집계!#REF!</definedName>
    <definedName name="_2A_8">[4]연돌일위집계!#REF!</definedName>
    <definedName name="_2A_9">[4]연돌일위집계!#REF!</definedName>
    <definedName name="_2B_1">[4]연돌일위집계!#REF!</definedName>
    <definedName name="_2B_10">[4]연돌일위집계!#REF!</definedName>
    <definedName name="_2B_11">[4]연돌일위집계!#REF!</definedName>
    <definedName name="_2B_12">[4]연돌일위집계!#REF!</definedName>
    <definedName name="_2B_13">[4]연돌일위집계!#REF!</definedName>
    <definedName name="_2B_14">[4]연돌일위집계!#REF!</definedName>
    <definedName name="_2B_15">[4]연돌일위집계!#REF!</definedName>
    <definedName name="_2B_16">[4]연돌일위집계!#REF!</definedName>
    <definedName name="_2B_17">[4]연돌일위집계!#REF!</definedName>
    <definedName name="_2B_18">[4]연돌일위집계!#REF!</definedName>
    <definedName name="_2B_19">[4]연돌일위집계!#REF!</definedName>
    <definedName name="_2B_2">[4]연돌일위집계!#REF!</definedName>
    <definedName name="_2B_20">[4]연돌일위집계!#REF!</definedName>
    <definedName name="_2B_21">[4]연돌일위집계!#REF!</definedName>
    <definedName name="_2B_22">[4]연돌일위집계!#REF!</definedName>
    <definedName name="_2B_23">[4]연돌일위집계!#REF!</definedName>
    <definedName name="_2B_24">[4]연돌일위집계!#REF!</definedName>
    <definedName name="_2B_25">[4]연돌일위집계!#REF!</definedName>
    <definedName name="_2B_26">[4]연돌일위집계!#REF!</definedName>
    <definedName name="_2B_27">[4]연돌일위집계!#REF!</definedName>
    <definedName name="_2B_28">[4]연돌일위집계!#REF!</definedName>
    <definedName name="_2B_29">[4]연돌일위집계!#REF!</definedName>
    <definedName name="_2B_3">[4]연돌일위집계!#REF!</definedName>
    <definedName name="_2B_30">[4]연돌일위집계!#REF!</definedName>
    <definedName name="_2B_4">[4]연돌일위집계!#REF!</definedName>
    <definedName name="_2B_5">[4]연돌일위집계!#REF!</definedName>
    <definedName name="_2B_6">[4]연돌일위집계!#REF!</definedName>
    <definedName name="_2B_7">[4]연돌일위집계!#REF!</definedName>
    <definedName name="_2B_8">[4]연돌일위집계!#REF!</definedName>
    <definedName name="_2B_9">[4]연돌일위집계!#REF!</definedName>
    <definedName name="_2C_1">[4]연돌일위집계!#REF!</definedName>
    <definedName name="_2C_10">[4]연돌일위집계!#REF!</definedName>
    <definedName name="_2C_11">[4]연돌일위집계!#REF!</definedName>
    <definedName name="_2C_12">[4]연돌일위집계!#REF!</definedName>
    <definedName name="_2C_13">[4]연돌일위집계!#REF!</definedName>
    <definedName name="_2C_14">[4]연돌일위집계!#REF!</definedName>
    <definedName name="_2C_15">[4]연돌일위집계!#REF!</definedName>
    <definedName name="_2C_16">[4]연돌일위집계!#REF!</definedName>
    <definedName name="_2C_17">[4]연돌일위집계!#REF!</definedName>
    <definedName name="_2C_18">[4]연돌일위집계!#REF!</definedName>
    <definedName name="_2C_19">[4]연돌일위집계!#REF!</definedName>
    <definedName name="_2C_2">[4]연돌일위집계!#REF!</definedName>
    <definedName name="_2C_20">[4]연돌일위집계!#REF!</definedName>
    <definedName name="_2C_21">[4]연돌일위집계!#REF!</definedName>
    <definedName name="_2C_22">[4]연돌일위집계!#REF!</definedName>
    <definedName name="_2C_23">[4]연돌일위집계!#REF!</definedName>
    <definedName name="_2C_24">[4]연돌일위집계!#REF!</definedName>
    <definedName name="_2C_25">[4]연돌일위집계!#REF!</definedName>
    <definedName name="_2C_26">[4]연돌일위집계!#REF!</definedName>
    <definedName name="_2C_27">[4]연돌일위집계!#REF!</definedName>
    <definedName name="_2C_28">[4]연돌일위집계!#REF!</definedName>
    <definedName name="_2C_29">[4]연돌일위집계!#REF!</definedName>
    <definedName name="_2C_3">[4]연돌일위집계!#REF!</definedName>
    <definedName name="_2C_30">[4]연돌일위집계!#REF!</definedName>
    <definedName name="_2C_4">[4]연돌일위집계!#REF!</definedName>
    <definedName name="_2C_5">[4]연돌일위집계!#REF!</definedName>
    <definedName name="_2C_6">[4]연돌일위집계!#REF!</definedName>
    <definedName name="_2C_7">[4]연돌일위집계!#REF!</definedName>
    <definedName name="_2C_8">[4]연돌일위집계!#REF!</definedName>
    <definedName name="_2C_9">[4]연돌일위집계!#REF!</definedName>
    <definedName name="_2q45_" localSheetId="0" hidden="1">{"'용역비'!$A$4:$C$8"}</definedName>
    <definedName name="_2q45_" localSheetId="2" hidden="1">{"'용역비'!$A$4:$C$8"}</definedName>
    <definedName name="_2q45_" hidden="1">{"'용역비'!$A$4:$C$8"}</definedName>
    <definedName name="_3">#N/A</definedName>
    <definedName name="_3__STR_STEEL__">#REF!</definedName>
    <definedName name="_3A_1">[4]연돌일위집계!#REF!</definedName>
    <definedName name="_3A_10">[4]연돌일위집계!#REF!</definedName>
    <definedName name="_3A_11">[4]연돌일위집계!#REF!</definedName>
    <definedName name="_3A_12">[4]연돌일위집계!#REF!</definedName>
    <definedName name="_3A_13">[4]연돌일위집계!#REF!</definedName>
    <definedName name="_3A_14">[4]연돌일위집계!#REF!</definedName>
    <definedName name="_3A_15">[4]연돌일위집계!#REF!</definedName>
    <definedName name="_3A_16">[4]연돌일위집계!#REF!</definedName>
    <definedName name="_3A_17">[4]연돌일위집계!#REF!</definedName>
    <definedName name="_3A_18">[4]연돌일위집계!#REF!</definedName>
    <definedName name="_3A_19">[4]연돌일위집계!#REF!</definedName>
    <definedName name="_3A_2">[4]연돌일위집계!#REF!</definedName>
    <definedName name="_3A_20">[4]연돌일위집계!#REF!</definedName>
    <definedName name="_3A_21">[4]연돌일위집계!#REF!</definedName>
    <definedName name="_3A_22">[4]연돌일위집계!#REF!</definedName>
    <definedName name="_3A_23">[4]연돌일위집계!#REF!</definedName>
    <definedName name="_3A_24">[4]연돌일위집계!#REF!</definedName>
    <definedName name="_3A_25">[4]연돌일위집계!#REF!</definedName>
    <definedName name="_3A_26">[4]연돌일위집계!#REF!</definedName>
    <definedName name="_3A_27">[4]연돌일위집계!#REF!</definedName>
    <definedName name="_3A_28">[4]연돌일위집계!#REF!</definedName>
    <definedName name="_3A_29">[4]연돌일위집계!#REF!</definedName>
    <definedName name="_3A_3">[4]연돌일위집계!#REF!</definedName>
    <definedName name="_3A_30">[4]연돌일위집계!#REF!</definedName>
    <definedName name="_3A_4">[4]연돌일위집계!#REF!</definedName>
    <definedName name="_3A_5">[4]연돌일위집계!#REF!</definedName>
    <definedName name="_3A_6">[4]연돌일위집계!#REF!</definedName>
    <definedName name="_3A_7">[4]연돌일위집계!#REF!</definedName>
    <definedName name="_3A_8">[4]연돌일위집계!#REF!</definedName>
    <definedName name="_3A_9">[4]연돌일위집계!#REF!</definedName>
    <definedName name="_3B_1">[4]연돌일위집계!#REF!</definedName>
    <definedName name="_3B_10">[4]연돌일위집계!#REF!</definedName>
    <definedName name="_3B_11">[4]연돌일위집계!#REF!</definedName>
    <definedName name="_3B_12">[4]연돌일위집계!#REF!</definedName>
    <definedName name="_3B_13">[4]연돌일위집계!#REF!</definedName>
    <definedName name="_3B_14">[4]연돌일위집계!#REF!</definedName>
    <definedName name="_3B_15">[4]연돌일위집계!#REF!</definedName>
    <definedName name="_3B_16">[4]연돌일위집계!#REF!</definedName>
    <definedName name="_3B_17">[4]연돌일위집계!#REF!</definedName>
    <definedName name="_3B_18">[4]연돌일위집계!#REF!</definedName>
    <definedName name="_3B_19">[4]연돌일위집계!#REF!</definedName>
    <definedName name="_3B_2">[4]연돌일위집계!#REF!</definedName>
    <definedName name="_3B_20">[4]연돌일위집계!#REF!</definedName>
    <definedName name="_3B_21">[4]연돌일위집계!#REF!</definedName>
    <definedName name="_3B_22">[4]연돌일위집계!#REF!</definedName>
    <definedName name="_3B_23">[4]연돌일위집계!#REF!</definedName>
    <definedName name="_3B_24">[4]연돌일위집계!#REF!</definedName>
    <definedName name="_3B_25">[4]연돌일위집계!#REF!</definedName>
    <definedName name="_3B_26">[4]연돌일위집계!#REF!</definedName>
    <definedName name="_3B_27">[4]연돌일위집계!#REF!</definedName>
    <definedName name="_3B_28">[4]연돌일위집계!#REF!</definedName>
    <definedName name="_3B_29">[4]연돌일위집계!#REF!</definedName>
    <definedName name="_3B_3">[4]연돌일위집계!#REF!</definedName>
    <definedName name="_3B_30">[4]연돌일위집계!#REF!</definedName>
    <definedName name="_3B_4">[4]연돌일위집계!#REF!</definedName>
    <definedName name="_3B_5">[4]연돌일위집계!#REF!</definedName>
    <definedName name="_3B_6">[4]연돌일위집계!#REF!</definedName>
    <definedName name="_3B_7">[4]연돌일위집계!#REF!</definedName>
    <definedName name="_3B_8">[4]연돌일위집계!#REF!</definedName>
    <definedName name="_3B_9">[4]연돌일위집계!#REF!</definedName>
    <definedName name="_3C_1">[4]연돌일위집계!#REF!</definedName>
    <definedName name="_3C_10">[4]연돌일위집계!#REF!</definedName>
    <definedName name="_3C_11">[4]연돌일위집계!#REF!</definedName>
    <definedName name="_3C_12">[4]연돌일위집계!#REF!</definedName>
    <definedName name="_3C_13">[4]연돌일위집계!#REF!</definedName>
    <definedName name="_3C_14">[4]연돌일위집계!#REF!</definedName>
    <definedName name="_3C_15">[4]연돌일위집계!#REF!</definedName>
    <definedName name="_3C_16">[4]연돌일위집계!#REF!</definedName>
    <definedName name="_3C_17">[4]연돌일위집계!#REF!</definedName>
    <definedName name="_3C_18">[4]연돌일위집계!#REF!</definedName>
    <definedName name="_3C_19">[4]연돌일위집계!#REF!</definedName>
    <definedName name="_3C_2">[4]연돌일위집계!#REF!</definedName>
    <definedName name="_3C_20">[4]연돌일위집계!#REF!</definedName>
    <definedName name="_3C_21">[4]연돌일위집계!#REF!</definedName>
    <definedName name="_3C_22">[4]연돌일위집계!#REF!</definedName>
    <definedName name="_3C_23">[4]연돌일위집계!#REF!</definedName>
    <definedName name="_3C_24">[4]연돌일위집계!#REF!</definedName>
    <definedName name="_3C_25">[4]연돌일위집계!#REF!</definedName>
    <definedName name="_3C_26">[4]연돌일위집계!#REF!</definedName>
    <definedName name="_3C_27">[4]연돌일위집계!#REF!</definedName>
    <definedName name="_3C_28">[4]연돌일위집계!#REF!</definedName>
    <definedName name="_3C_29">[4]연돌일위집계!#REF!</definedName>
    <definedName name="_3C_3">[4]연돌일위집계!#REF!</definedName>
    <definedName name="_3C_30">[4]연돌일위집계!#REF!</definedName>
    <definedName name="_3C_4">[4]연돌일위집계!#REF!</definedName>
    <definedName name="_3C_5">[4]연돌일위집계!#REF!</definedName>
    <definedName name="_3C_6">[4]연돌일위집계!#REF!</definedName>
    <definedName name="_3C_7">[4]연돌일위집계!#REF!</definedName>
    <definedName name="_3C_8">[4]연돌일위집계!#REF!</definedName>
    <definedName name="_3C_9">[4]연돌일위집계!#REF!</definedName>
    <definedName name="_4">#REF!</definedName>
    <definedName name="_44wrn.Ã¶°ñÁý°èÇ_._.5Ä­." hidden="1">{#N/A,#N/A,FALSE,"Sheet1"}</definedName>
    <definedName name="_4A_1">[4]연돌일위집계!#REF!</definedName>
    <definedName name="_4A_10">[4]연돌일위집계!#REF!</definedName>
    <definedName name="_4A_11">[4]연돌일위집계!#REF!</definedName>
    <definedName name="_4A_12">[4]연돌일위집계!#REF!</definedName>
    <definedName name="_4A_13">[4]연돌일위집계!#REF!</definedName>
    <definedName name="_4A_14">[4]연돌일위집계!#REF!</definedName>
    <definedName name="_4A_15">[4]연돌일위집계!#REF!</definedName>
    <definedName name="_4A_16">[4]연돌일위집계!#REF!</definedName>
    <definedName name="_4A_17">[4]연돌일위집계!#REF!</definedName>
    <definedName name="_4A_18">[4]연돌일위집계!#REF!</definedName>
    <definedName name="_4A_19">[4]연돌일위집계!#REF!</definedName>
    <definedName name="_4A_2">[4]연돌일위집계!#REF!</definedName>
    <definedName name="_4A_20">[4]연돌일위집계!#REF!</definedName>
    <definedName name="_4A_21">[4]연돌일위집계!#REF!</definedName>
    <definedName name="_4A_22">[4]연돌일위집계!#REF!</definedName>
    <definedName name="_4A_23">[4]연돌일위집계!#REF!</definedName>
    <definedName name="_4A_24">[4]연돌일위집계!#REF!</definedName>
    <definedName name="_4A_25">[4]연돌일위집계!#REF!</definedName>
    <definedName name="_4A_26">[4]연돌일위집계!#REF!</definedName>
    <definedName name="_4A_27">[4]연돌일위집계!#REF!</definedName>
    <definedName name="_4A_28">[4]연돌일위집계!#REF!</definedName>
    <definedName name="_4A_29">[4]연돌일위집계!#REF!</definedName>
    <definedName name="_4A_3">[4]연돌일위집계!#REF!</definedName>
    <definedName name="_4A_30">[4]연돌일위집계!#REF!</definedName>
    <definedName name="_4A_4">[4]연돌일위집계!#REF!</definedName>
    <definedName name="_4A_5">[4]연돌일위집계!#REF!</definedName>
    <definedName name="_4A_6">[4]연돌일위집계!#REF!</definedName>
    <definedName name="_4A_7">[4]연돌일위집계!#REF!</definedName>
    <definedName name="_4A_8">[4]연돌일위집계!#REF!</definedName>
    <definedName name="_4A_9">[4]연돌일위집계!#REF!</definedName>
    <definedName name="_4B_1">[4]연돌일위집계!#REF!</definedName>
    <definedName name="_4B_10">[4]연돌일위집계!#REF!</definedName>
    <definedName name="_4B_11">[4]연돌일위집계!#REF!</definedName>
    <definedName name="_4B_12">[4]연돌일위집계!#REF!</definedName>
    <definedName name="_4B_13">[4]연돌일위집계!#REF!</definedName>
    <definedName name="_4B_14">[4]연돌일위집계!#REF!</definedName>
    <definedName name="_4B_15">[4]연돌일위집계!#REF!</definedName>
    <definedName name="_4B_16">[4]연돌일위집계!#REF!</definedName>
    <definedName name="_4B_17">[4]연돌일위집계!#REF!</definedName>
    <definedName name="_4B_18">[4]연돌일위집계!#REF!</definedName>
    <definedName name="_4B_19">[4]연돌일위집계!#REF!</definedName>
    <definedName name="_4B_2">[4]연돌일위집계!#REF!</definedName>
    <definedName name="_4B_20">[4]연돌일위집계!#REF!</definedName>
    <definedName name="_4B_21">[4]연돌일위집계!#REF!</definedName>
    <definedName name="_4B_22">[4]연돌일위집계!#REF!</definedName>
    <definedName name="_4B_23">[4]연돌일위집계!#REF!</definedName>
    <definedName name="_4B_24">[4]연돌일위집계!#REF!</definedName>
    <definedName name="_4B_25">[4]연돌일위집계!#REF!</definedName>
    <definedName name="_4B_26">[4]연돌일위집계!#REF!</definedName>
    <definedName name="_4B_27">[4]연돌일위집계!#REF!</definedName>
    <definedName name="_4B_28">[4]연돌일위집계!#REF!</definedName>
    <definedName name="_4B_29">[4]연돌일위집계!#REF!</definedName>
    <definedName name="_4B_3">[4]연돌일위집계!#REF!</definedName>
    <definedName name="_4B_30">[4]연돌일위집계!#REF!</definedName>
    <definedName name="_4B_4">[4]연돌일위집계!#REF!</definedName>
    <definedName name="_4B_5">[4]연돌일위집계!#REF!</definedName>
    <definedName name="_4B_6">[4]연돌일위집계!#REF!</definedName>
    <definedName name="_4B_7">[4]연돌일위집계!#REF!</definedName>
    <definedName name="_4B_8">[4]연돌일위집계!#REF!</definedName>
    <definedName name="_4B_9">[4]연돌일위집계!#REF!</definedName>
    <definedName name="_4C_1">[4]연돌일위집계!#REF!</definedName>
    <definedName name="_4C_10">[4]연돌일위집계!#REF!</definedName>
    <definedName name="_4C_11">[4]연돌일위집계!#REF!</definedName>
    <definedName name="_4C_12">[4]연돌일위집계!#REF!</definedName>
    <definedName name="_4C_13">[4]연돌일위집계!#REF!</definedName>
    <definedName name="_4C_14">[4]연돌일위집계!#REF!</definedName>
    <definedName name="_4C_15">[4]연돌일위집계!#REF!</definedName>
    <definedName name="_4C_16">[4]연돌일위집계!#REF!</definedName>
    <definedName name="_4C_17">[4]연돌일위집계!#REF!</definedName>
    <definedName name="_4C_18">[4]연돌일위집계!#REF!</definedName>
    <definedName name="_4C_19">[4]연돌일위집계!#REF!</definedName>
    <definedName name="_4C_2">[4]연돌일위집계!#REF!</definedName>
    <definedName name="_4C_20">[4]연돌일위집계!#REF!</definedName>
    <definedName name="_4C_21">[4]연돌일위집계!#REF!</definedName>
    <definedName name="_4C_22">[4]연돌일위집계!#REF!</definedName>
    <definedName name="_4C_23">[4]연돌일위집계!#REF!</definedName>
    <definedName name="_4C_24">[4]연돌일위집계!#REF!</definedName>
    <definedName name="_4C_25">[4]연돌일위집계!#REF!</definedName>
    <definedName name="_4C_26">[4]연돌일위집계!#REF!</definedName>
    <definedName name="_4C_27">[4]연돌일위집계!#REF!</definedName>
    <definedName name="_4C_28">[4]연돌일위집계!#REF!</definedName>
    <definedName name="_4C_29">[4]연돌일위집계!#REF!</definedName>
    <definedName name="_4C_3">[4]연돌일위집계!#REF!</definedName>
    <definedName name="_4C_30">[4]연돌일위집계!#REF!</definedName>
    <definedName name="_4C_4">[4]연돌일위집계!#REF!</definedName>
    <definedName name="_4C_5">[4]연돌일위집계!#REF!</definedName>
    <definedName name="_4C_6">[4]연돌일위집계!#REF!</definedName>
    <definedName name="_4C_7">[4]연돌일위집계!#REF!</definedName>
    <definedName name="_4C_8">[4]연돌일위집계!#REF!</definedName>
    <definedName name="_4C_9">[4]연돌일위집계!#REF!</definedName>
    <definedName name="_4q45_" localSheetId="0" hidden="1">{"'용역비'!$A$4:$C$8"}</definedName>
    <definedName name="_4q45_" localSheetId="2" hidden="1">{"'용역비'!$A$4:$C$8"}</definedName>
    <definedName name="_4q45_" hidden="1">{"'용역비'!$A$4:$C$8"}</definedName>
    <definedName name="_5">#REF!</definedName>
    <definedName name="_5A_1">[4]연돌일위집계!#REF!</definedName>
    <definedName name="_5A_10">[4]연돌일위집계!#REF!</definedName>
    <definedName name="_5A_11">[4]연돌일위집계!#REF!</definedName>
    <definedName name="_5A_12">[4]연돌일위집계!#REF!</definedName>
    <definedName name="_5A_13">[4]연돌일위집계!#REF!</definedName>
    <definedName name="_5A_14">[4]연돌일위집계!#REF!</definedName>
    <definedName name="_5A_15">[4]연돌일위집계!#REF!</definedName>
    <definedName name="_5A_16">[4]연돌일위집계!#REF!</definedName>
    <definedName name="_5A_17">[4]연돌일위집계!#REF!</definedName>
    <definedName name="_5A_18">[4]연돌일위집계!#REF!</definedName>
    <definedName name="_5A_19">[4]연돌일위집계!#REF!</definedName>
    <definedName name="_5A_2">[4]연돌일위집계!#REF!</definedName>
    <definedName name="_5A_20">[4]연돌일위집계!#REF!</definedName>
    <definedName name="_5A_21">[4]연돌일위집계!#REF!</definedName>
    <definedName name="_5A_22">[4]연돌일위집계!#REF!</definedName>
    <definedName name="_5A_23">[4]연돌일위집계!#REF!</definedName>
    <definedName name="_5A_24">[4]연돌일위집계!#REF!</definedName>
    <definedName name="_5A_25">[4]연돌일위집계!#REF!</definedName>
    <definedName name="_5A_26">[4]연돌일위집계!#REF!</definedName>
    <definedName name="_5A_27">[4]연돌일위집계!#REF!</definedName>
    <definedName name="_5A_28">[4]연돌일위집계!#REF!</definedName>
    <definedName name="_5A_29">[4]연돌일위집계!#REF!</definedName>
    <definedName name="_5A_3">[4]연돌일위집계!#REF!</definedName>
    <definedName name="_5A_30">[4]연돌일위집계!#REF!</definedName>
    <definedName name="_5A_4">[4]연돌일위집계!#REF!</definedName>
    <definedName name="_5A_5">[4]연돌일위집계!#REF!</definedName>
    <definedName name="_5A_6">[4]연돌일위집계!#REF!</definedName>
    <definedName name="_5A_7">[4]연돌일위집계!#REF!</definedName>
    <definedName name="_5A_8">[4]연돌일위집계!#REF!</definedName>
    <definedName name="_5A_9">[4]연돌일위집계!#REF!</definedName>
    <definedName name="_5B_1">[4]연돌일위집계!#REF!</definedName>
    <definedName name="_5B_10">[4]연돌일위집계!#REF!</definedName>
    <definedName name="_5B_11">[4]연돌일위집계!#REF!</definedName>
    <definedName name="_5B_12">[4]연돌일위집계!#REF!</definedName>
    <definedName name="_5B_13">[4]연돌일위집계!#REF!</definedName>
    <definedName name="_5B_14">[4]연돌일위집계!#REF!</definedName>
    <definedName name="_5B_15">[4]연돌일위집계!#REF!</definedName>
    <definedName name="_5B_16">[4]연돌일위집계!#REF!</definedName>
    <definedName name="_5B_17">[4]연돌일위집계!#REF!</definedName>
    <definedName name="_5B_18">[4]연돌일위집계!#REF!</definedName>
    <definedName name="_5B_19">[4]연돌일위집계!#REF!</definedName>
    <definedName name="_5B_2">[4]연돌일위집계!#REF!</definedName>
    <definedName name="_5B_20">[4]연돌일위집계!#REF!</definedName>
    <definedName name="_5B_21">[4]연돌일위집계!#REF!</definedName>
    <definedName name="_5B_22">[4]연돌일위집계!#REF!</definedName>
    <definedName name="_5B_23">[4]연돌일위집계!#REF!</definedName>
    <definedName name="_5B_24">[4]연돌일위집계!#REF!</definedName>
    <definedName name="_5B_25">[4]연돌일위집계!#REF!</definedName>
    <definedName name="_5B_26">[4]연돌일위집계!#REF!</definedName>
    <definedName name="_5B_27">[4]연돌일위집계!#REF!</definedName>
    <definedName name="_5B_28">[4]연돌일위집계!#REF!</definedName>
    <definedName name="_5B_29">[4]연돌일위집계!#REF!</definedName>
    <definedName name="_5B_3">[4]연돌일위집계!#REF!</definedName>
    <definedName name="_5B_30">[4]연돌일위집계!#REF!</definedName>
    <definedName name="_5B_4">[4]연돌일위집계!#REF!</definedName>
    <definedName name="_5B_5">[4]연돌일위집계!#REF!</definedName>
    <definedName name="_5B_6">[4]연돌일위집계!#REF!</definedName>
    <definedName name="_5B_7">[4]연돌일위집계!#REF!</definedName>
    <definedName name="_5B_8">[4]연돌일위집계!#REF!</definedName>
    <definedName name="_5B_9">[4]연돌일위집계!#REF!</definedName>
    <definedName name="_5C_1">[4]연돌일위집계!#REF!</definedName>
    <definedName name="_5C_10">[4]연돌일위집계!#REF!</definedName>
    <definedName name="_5C_11">[4]연돌일위집계!#REF!</definedName>
    <definedName name="_5C_12">[4]연돌일위집계!#REF!</definedName>
    <definedName name="_5C_13">[4]연돌일위집계!#REF!</definedName>
    <definedName name="_5C_14">[4]연돌일위집계!#REF!</definedName>
    <definedName name="_5C_15">[4]연돌일위집계!#REF!</definedName>
    <definedName name="_5C_16">[4]연돌일위집계!#REF!</definedName>
    <definedName name="_5C_17">[4]연돌일위집계!#REF!</definedName>
    <definedName name="_5C_18">[4]연돌일위집계!#REF!</definedName>
    <definedName name="_5C_19">[4]연돌일위집계!#REF!</definedName>
    <definedName name="_5C_2">[4]연돌일위집계!#REF!</definedName>
    <definedName name="_5C_20">[4]연돌일위집계!#REF!</definedName>
    <definedName name="_5C_21">[4]연돌일위집계!#REF!</definedName>
    <definedName name="_5C_22">[4]연돌일위집계!#REF!</definedName>
    <definedName name="_5C_23">[4]연돌일위집계!#REF!</definedName>
    <definedName name="_5C_24">[4]연돌일위집계!#REF!</definedName>
    <definedName name="_5C_25">[4]연돌일위집계!#REF!</definedName>
    <definedName name="_5C_26">[4]연돌일위집계!#REF!</definedName>
    <definedName name="_5C_27">[4]연돌일위집계!#REF!</definedName>
    <definedName name="_5C_28">[4]연돌일위집계!#REF!</definedName>
    <definedName name="_5C_29">[4]연돌일위집계!#REF!</definedName>
    <definedName name="_5C_3">[4]연돌일위집계!#REF!</definedName>
    <definedName name="_5C_30">[4]연돌일위집계!#REF!</definedName>
    <definedName name="_5C_4">[4]연돌일위집계!#REF!</definedName>
    <definedName name="_5C_5">[4]연돌일위집계!#REF!</definedName>
    <definedName name="_5C_6">[4]연돌일위집계!#REF!</definedName>
    <definedName name="_5C_7">[4]연돌일위집계!#REF!</definedName>
    <definedName name="_5C_8">[4]연돌일위집계!#REF!</definedName>
    <definedName name="_5C_9">[4]연돌일위집계!#REF!</definedName>
    <definedName name="_6__EQUIPMENT__">#REF!</definedName>
    <definedName name="_6A_1">[4]연돌일위집계!#REF!</definedName>
    <definedName name="_6A_10">[4]연돌일위집계!#REF!</definedName>
    <definedName name="_6A_11">[4]연돌일위집계!#REF!</definedName>
    <definedName name="_6A_12">[4]연돌일위집계!#REF!</definedName>
    <definedName name="_6A_13">[4]연돌일위집계!#REF!</definedName>
    <definedName name="_6A_14">[4]연돌일위집계!#REF!</definedName>
    <definedName name="_6A_15">[4]연돌일위집계!#REF!</definedName>
    <definedName name="_6A_16">[4]연돌일위집계!#REF!</definedName>
    <definedName name="_6A_17">[4]연돌일위집계!#REF!</definedName>
    <definedName name="_6A_18">[4]연돌일위집계!#REF!</definedName>
    <definedName name="_6A_19">[4]연돌일위집계!#REF!</definedName>
    <definedName name="_6A_2">[4]연돌일위집계!#REF!</definedName>
    <definedName name="_6A_20">[4]연돌일위집계!#REF!</definedName>
    <definedName name="_6A_21">[4]연돌일위집계!#REF!</definedName>
    <definedName name="_6A_22">[4]연돌일위집계!#REF!</definedName>
    <definedName name="_6A_23">[4]연돌일위집계!#REF!</definedName>
    <definedName name="_6A_24">[4]연돌일위집계!#REF!</definedName>
    <definedName name="_6A_25">[4]연돌일위집계!#REF!</definedName>
    <definedName name="_6A_26">[4]연돌일위집계!#REF!</definedName>
    <definedName name="_6A_27">[4]연돌일위집계!#REF!</definedName>
    <definedName name="_6A_28">[4]연돌일위집계!#REF!</definedName>
    <definedName name="_6A_29">[4]연돌일위집계!#REF!</definedName>
    <definedName name="_6A_3">[4]연돌일위집계!#REF!</definedName>
    <definedName name="_6A_30">[4]연돌일위집계!#REF!</definedName>
    <definedName name="_6A_4">[4]연돌일위집계!#REF!</definedName>
    <definedName name="_6A_5">[4]연돌일위집계!#REF!</definedName>
    <definedName name="_6A_6">[4]연돌일위집계!#REF!</definedName>
    <definedName name="_6A_7">[4]연돌일위집계!#REF!</definedName>
    <definedName name="_6A_8">[4]연돌일위집계!#REF!</definedName>
    <definedName name="_6A_9">[4]연돌일위집계!#REF!</definedName>
    <definedName name="_6B_1">[4]연돌일위집계!#REF!</definedName>
    <definedName name="_6B_10">[4]연돌일위집계!#REF!</definedName>
    <definedName name="_6B_11">[4]연돌일위집계!#REF!</definedName>
    <definedName name="_6B_12">[4]연돌일위집계!#REF!</definedName>
    <definedName name="_6B_13">[4]연돌일위집계!#REF!</definedName>
    <definedName name="_6B_14">[4]연돌일위집계!#REF!</definedName>
    <definedName name="_6B_15">[4]연돌일위집계!#REF!</definedName>
    <definedName name="_6B_16">[4]연돌일위집계!#REF!</definedName>
    <definedName name="_6B_17">[4]연돌일위집계!#REF!</definedName>
    <definedName name="_6B_18">[4]연돌일위집계!#REF!</definedName>
    <definedName name="_6B_19">[4]연돌일위집계!#REF!</definedName>
    <definedName name="_6B_2">[4]연돌일위집계!#REF!</definedName>
    <definedName name="_6B_20">[4]연돌일위집계!#REF!</definedName>
    <definedName name="_6B_21">[4]연돌일위집계!#REF!</definedName>
    <definedName name="_6B_22">[4]연돌일위집계!#REF!</definedName>
    <definedName name="_6B_23">[4]연돌일위집계!#REF!</definedName>
    <definedName name="_6B_24">[4]연돌일위집계!#REF!</definedName>
    <definedName name="_6B_25">[4]연돌일위집계!#REF!</definedName>
    <definedName name="_6B_26">[4]연돌일위집계!#REF!</definedName>
    <definedName name="_6B_27">[4]연돌일위집계!#REF!</definedName>
    <definedName name="_6B_28">[4]연돌일위집계!#REF!</definedName>
    <definedName name="_6B_29">[4]연돌일위집계!#REF!</definedName>
    <definedName name="_6B_3">[4]연돌일위집계!#REF!</definedName>
    <definedName name="_6B_30">[4]연돌일위집계!#REF!</definedName>
    <definedName name="_6B_4">[4]연돌일위집계!#REF!</definedName>
    <definedName name="_6B_5">[4]연돌일위집계!#REF!</definedName>
    <definedName name="_6B_6">[4]연돌일위집계!#REF!</definedName>
    <definedName name="_6B_7">[4]연돌일위집계!#REF!</definedName>
    <definedName name="_6B_8">[4]연돌일위집계!#REF!</definedName>
    <definedName name="_6B_9">[4]연돌일위집계!#REF!</definedName>
    <definedName name="_6C_1">[4]연돌일위집계!#REF!</definedName>
    <definedName name="_6C_10">[4]연돌일위집계!#REF!</definedName>
    <definedName name="_6C_11">[4]연돌일위집계!#REF!</definedName>
    <definedName name="_6C_12">[4]연돌일위집계!#REF!</definedName>
    <definedName name="_6C_13">[4]연돌일위집계!#REF!</definedName>
    <definedName name="_6C_14">[4]연돌일위집계!#REF!</definedName>
    <definedName name="_6C_15">[4]연돌일위집계!#REF!</definedName>
    <definedName name="_6C_16">[4]연돌일위집계!#REF!</definedName>
    <definedName name="_6C_17">[4]연돌일위집계!#REF!</definedName>
    <definedName name="_6C_18">[4]연돌일위집계!#REF!</definedName>
    <definedName name="_6C_19">[4]연돌일위집계!#REF!</definedName>
    <definedName name="_6C_2">[4]연돌일위집계!#REF!</definedName>
    <definedName name="_6C_20">[4]연돌일위집계!#REF!</definedName>
    <definedName name="_6C_21">[4]연돌일위집계!#REF!</definedName>
    <definedName name="_6C_22">[4]연돌일위집계!#REF!</definedName>
    <definedName name="_6C_23">[4]연돌일위집계!#REF!</definedName>
    <definedName name="_6C_24">[4]연돌일위집계!#REF!</definedName>
    <definedName name="_6C_25">[4]연돌일위집계!#REF!</definedName>
    <definedName name="_6C_26">[4]연돌일위집계!#REF!</definedName>
    <definedName name="_6C_27">[4]연돌일위집계!#REF!</definedName>
    <definedName name="_6C_28">[4]연돌일위집계!#REF!</definedName>
    <definedName name="_6C_29">[4]연돌일위집계!#REF!</definedName>
    <definedName name="_6C_3">[4]연돌일위집계!#REF!</definedName>
    <definedName name="_6C_30">[4]연돌일위집계!#REF!</definedName>
    <definedName name="_6C_4">[4]연돌일위집계!#REF!</definedName>
    <definedName name="_6C_5">[4]연돌일위집계!#REF!</definedName>
    <definedName name="_6C_6">[4]연돌일위집계!#REF!</definedName>
    <definedName name="_6C_7">[4]연돌일위집계!#REF!</definedName>
    <definedName name="_6C_8">[4]연돌일위집계!#REF!</definedName>
    <definedName name="_6C_9">[4]연돌일위집계!#REF!</definedName>
    <definedName name="_7__INSULATION_">#REF!</definedName>
    <definedName name="_7A_1">[4]연돌일위집계!#REF!</definedName>
    <definedName name="_7A_10">[4]연돌일위집계!#REF!</definedName>
    <definedName name="_7A_11">[4]연돌일위집계!#REF!</definedName>
    <definedName name="_7A_12">[4]연돌일위집계!#REF!</definedName>
    <definedName name="_7A_13">[4]연돌일위집계!#REF!</definedName>
    <definedName name="_7A_14">[4]연돌일위집계!#REF!</definedName>
    <definedName name="_7A_15">[4]연돌일위집계!#REF!</definedName>
    <definedName name="_7A_16">[4]연돌일위집계!#REF!</definedName>
    <definedName name="_7A_17">[4]연돌일위집계!#REF!</definedName>
    <definedName name="_7A_18">[4]연돌일위집계!#REF!</definedName>
    <definedName name="_7A_19">[4]연돌일위집계!#REF!</definedName>
    <definedName name="_7A_2">[4]연돌일위집계!#REF!</definedName>
    <definedName name="_7A_20">[4]연돌일위집계!#REF!</definedName>
    <definedName name="_7A_21">[4]연돌일위집계!#REF!</definedName>
    <definedName name="_7A_22">[4]연돌일위집계!#REF!</definedName>
    <definedName name="_7A_23">[4]연돌일위집계!#REF!</definedName>
    <definedName name="_7A_24">[4]연돌일위집계!#REF!</definedName>
    <definedName name="_7A_25">[4]연돌일위집계!#REF!</definedName>
    <definedName name="_7A_26">[4]연돌일위집계!#REF!</definedName>
    <definedName name="_7A_27">[4]연돌일위집계!#REF!</definedName>
    <definedName name="_7A_28">[4]연돌일위집계!#REF!</definedName>
    <definedName name="_7A_29">[4]연돌일위집계!#REF!</definedName>
    <definedName name="_7A_3">[4]연돌일위집계!#REF!</definedName>
    <definedName name="_7A_30">[4]연돌일위집계!#REF!</definedName>
    <definedName name="_7A_4">[4]연돌일위집계!#REF!</definedName>
    <definedName name="_7A_5">[4]연돌일위집계!#REF!</definedName>
    <definedName name="_7A_6">[4]연돌일위집계!#REF!</definedName>
    <definedName name="_7A_7">[4]연돌일위집계!#REF!</definedName>
    <definedName name="_7A_8">[4]연돌일위집계!#REF!</definedName>
    <definedName name="_7A_9">[4]연돌일위집계!#REF!</definedName>
    <definedName name="_7B_1">[4]연돌일위집계!#REF!</definedName>
    <definedName name="_7B_10">[4]연돌일위집계!#REF!</definedName>
    <definedName name="_7B_11">[4]연돌일위집계!#REF!</definedName>
    <definedName name="_7B_12">[4]연돌일위집계!#REF!</definedName>
    <definedName name="_7B_13">[4]연돌일위집계!#REF!</definedName>
    <definedName name="_7B_14">[4]연돌일위집계!#REF!</definedName>
    <definedName name="_7B_15">[4]연돌일위집계!#REF!</definedName>
    <definedName name="_7B_16">[4]연돌일위집계!#REF!</definedName>
    <definedName name="_7B_17">[4]연돌일위집계!#REF!</definedName>
    <definedName name="_7B_18">[4]연돌일위집계!#REF!</definedName>
    <definedName name="_7B_19">[4]연돌일위집계!#REF!</definedName>
    <definedName name="_7B_2">[4]연돌일위집계!#REF!</definedName>
    <definedName name="_7B_20">[4]연돌일위집계!#REF!</definedName>
    <definedName name="_7B_21">[4]연돌일위집계!#REF!</definedName>
    <definedName name="_7B_22">[4]연돌일위집계!#REF!</definedName>
    <definedName name="_7B_23">[4]연돌일위집계!#REF!</definedName>
    <definedName name="_7B_24">[4]연돌일위집계!#REF!</definedName>
    <definedName name="_7B_25">[4]연돌일위집계!#REF!</definedName>
    <definedName name="_7B_26">[4]연돌일위집계!#REF!</definedName>
    <definedName name="_7B_27">[4]연돌일위집계!#REF!</definedName>
    <definedName name="_7B_28">[4]연돌일위집계!#REF!</definedName>
    <definedName name="_7B_29">[4]연돌일위집계!#REF!</definedName>
    <definedName name="_7B_3">[4]연돌일위집계!#REF!</definedName>
    <definedName name="_7B_30">[4]연돌일위집계!#REF!</definedName>
    <definedName name="_7B_4">[4]연돌일위집계!#REF!</definedName>
    <definedName name="_7B_5">[4]연돌일위집계!#REF!</definedName>
    <definedName name="_7B_6">[4]연돌일위집계!#REF!</definedName>
    <definedName name="_7B_7">[4]연돌일위집계!#REF!</definedName>
    <definedName name="_7B_8">[4]연돌일위집계!#REF!</definedName>
    <definedName name="_7B_9">[4]연돌일위집계!#REF!</definedName>
    <definedName name="_7C_1">[4]연돌일위집계!#REF!</definedName>
    <definedName name="_7C_10">[4]연돌일위집계!#REF!</definedName>
    <definedName name="_7C_11">[4]연돌일위집계!#REF!</definedName>
    <definedName name="_7C_12">[4]연돌일위집계!#REF!</definedName>
    <definedName name="_7C_13">[4]연돌일위집계!#REF!</definedName>
    <definedName name="_7C_14">[4]연돌일위집계!#REF!</definedName>
    <definedName name="_7C_15">[4]연돌일위집계!#REF!</definedName>
    <definedName name="_7C_16">[4]연돌일위집계!#REF!</definedName>
    <definedName name="_7C_17">[4]연돌일위집계!#REF!</definedName>
    <definedName name="_7C_18">[4]연돌일위집계!#REF!</definedName>
    <definedName name="_7C_19">[4]연돌일위집계!#REF!</definedName>
    <definedName name="_7C_2">[4]연돌일위집계!#REF!</definedName>
    <definedName name="_7C_20">[4]연돌일위집계!#REF!</definedName>
    <definedName name="_7C_21">[4]연돌일위집계!#REF!</definedName>
    <definedName name="_7C_22">[4]연돌일위집계!#REF!</definedName>
    <definedName name="_7C_23">[4]연돌일위집계!#REF!</definedName>
    <definedName name="_7C_24">[4]연돌일위집계!#REF!</definedName>
    <definedName name="_7C_25">[4]연돌일위집계!#REF!</definedName>
    <definedName name="_7C_26">[4]연돌일위집계!#REF!</definedName>
    <definedName name="_7C_27">[4]연돌일위집계!#REF!</definedName>
    <definedName name="_7C_28">[4]연돌일위집계!#REF!</definedName>
    <definedName name="_7C_29">[4]연돌일위집계!#REF!</definedName>
    <definedName name="_7C_3">[4]연돌일위집계!#REF!</definedName>
    <definedName name="_7C_30">[4]연돌일위집계!#REF!</definedName>
    <definedName name="_7C_4">[4]연돌일위집계!#REF!</definedName>
    <definedName name="_7C_5">[4]연돌일위집계!#REF!</definedName>
    <definedName name="_7C_6">[4]연돌일위집계!#REF!</definedName>
    <definedName name="_7C_7">[4]연돌일위집계!#REF!</definedName>
    <definedName name="_7C_8">[4]연돌일위집계!#REF!</definedName>
    <definedName name="_7C_9">[4]연돌일위집계!#REF!</definedName>
    <definedName name="_8__PAINTING__">#REF!</definedName>
    <definedName name="_8A_1">[4]연돌일위집계!#REF!</definedName>
    <definedName name="_8A_10">[4]연돌일위집계!#REF!</definedName>
    <definedName name="_8A_11">[4]연돌일위집계!#REF!</definedName>
    <definedName name="_8A_12">[4]연돌일위집계!#REF!</definedName>
    <definedName name="_8A_13">[4]연돌일위집계!#REF!</definedName>
    <definedName name="_8A_14">[4]연돌일위집계!#REF!</definedName>
    <definedName name="_8A_15">[4]연돌일위집계!#REF!</definedName>
    <definedName name="_8A_16">[4]연돌일위집계!#REF!</definedName>
    <definedName name="_8A_17">[4]연돌일위집계!#REF!</definedName>
    <definedName name="_8A_18">[4]연돌일위집계!#REF!</definedName>
    <definedName name="_8A_19">[4]연돌일위집계!#REF!</definedName>
    <definedName name="_8A_2">[4]연돌일위집계!#REF!</definedName>
    <definedName name="_8A_20">[4]연돌일위집계!#REF!</definedName>
    <definedName name="_8A_21">[4]연돌일위집계!#REF!</definedName>
    <definedName name="_8A_22">[4]연돌일위집계!#REF!</definedName>
    <definedName name="_8A_23">[4]연돌일위집계!#REF!</definedName>
    <definedName name="_8A_24">[4]연돌일위집계!#REF!</definedName>
    <definedName name="_8A_25">[4]연돌일위집계!#REF!</definedName>
    <definedName name="_8A_26">[4]연돌일위집계!#REF!</definedName>
    <definedName name="_8A_27">[4]연돌일위집계!#REF!</definedName>
    <definedName name="_8A_28">[4]연돌일위집계!#REF!</definedName>
    <definedName name="_8A_29">[4]연돌일위집계!#REF!</definedName>
    <definedName name="_8A_3">[4]연돌일위집계!#REF!</definedName>
    <definedName name="_8A_30">[4]연돌일위집계!#REF!</definedName>
    <definedName name="_8A_4">[4]연돌일위집계!#REF!</definedName>
    <definedName name="_8A_5">[4]연돌일위집계!#REF!</definedName>
    <definedName name="_8A_6">[4]연돌일위집계!#REF!</definedName>
    <definedName name="_8A_7">[4]연돌일위집계!#REF!</definedName>
    <definedName name="_8A_8">[4]연돌일위집계!#REF!</definedName>
    <definedName name="_8A_9">[4]연돌일위집계!#REF!</definedName>
    <definedName name="_8B_1">[4]연돌일위집계!#REF!</definedName>
    <definedName name="_8B_10">[4]연돌일위집계!#REF!</definedName>
    <definedName name="_8B_11">[4]연돌일위집계!#REF!</definedName>
    <definedName name="_8B_12">[4]연돌일위집계!#REF!</definedName>
    <definedName name="_8B_13">[4]연돌일위집계!#REF!</definedName>
    <definedName name="_8B_14">[4]연돌일위집계!#REF!</definedName>
    <definedName name="_8B_15">[4]연돌일위집계!#REF!</definedName>
    <definedName name="_8B_16">[4]연돌일위집계!#REF!</definedName>
    <definedName name="_8B_17">[4]연돌일위집계!#REF!</definedName>
    <definedName name="_8B_18">[4]연돌일위집계!#REF!</definedName>
    <definedName name="_8B_19">[4]연돌일위집계!#REF!</definedName>
    <definedName name="_8B_2">[4]연돌일위집계!#REF!</definedName>
    <definedName name="_8B_20">[4]연돌일위집계!#REF!</definedName>
    <definedName name="_8B_21">[4]연돌일위집계!#REF!</definedName>
    <definedName name="_8B_22">[4]연돌일위집계!#REF!</definedName>
    <definedName name="_8B_23">[4]연돌일위집계!#REF!</definedName>
    <definedName name="_8B_24">[4]연돌일위집계!#REF!</definedName>
    <definedName name="_8B_25">[4]연돌일위집계!#REF!</definedName>
    <definedName name="_8B_26">[4]연돌일위집계!#REF!</definedName>
    <definedName name="_8B_27">[4]연돌일위집계!#REF!</definedName>
    <definedName name="_8B_28">[4]연돌일위집계!#REF!</definedName>
    <definedName name="_8B_29">[4]연돌일위집계!#REF!</definedName>
    <definedName name="_8B_3">[4]연돌일위집계!#REF!</definedName>
    <definedName name="_8B_30">[4]연돌일위집계!#REF!</definedName>
    <definedName name="_8B_4">[4]연돌일위집계!#REF!</definedName>
    <definedName name="_8B_5">[4]연돌일위집계!#REF!</definedName>
    <definedName name="_8B_6">[4]연돌일위집계!#REF!</definedName>
    <definedName name="_8B_7">[4]연돌일위집계!#REF!</definedName>
    <definedName name="_8B_8">[4]연돌일위집계!#REF!</definedName>
    <definedName name="_8B_9">[4]연돌일위집계!#REF!</definedName>
    <definedName name="_8C_1">[4]연돌일위집계!#REF!</definedName>
    <definedName name="_8C_10">[4]연돌일위집계!#REF!</definedName>
    <definedName name="_8C_11">[4]연돌일위집계!#REF!</definedName>
    <definedName name="_8C_12">[4]연돌일위집계!#REF!</definedName>
    <definedName name="_8C_13">[4]연돌일위집계!#REF!</definedName>
    <definedName name="_8C_14">[4]연돌일위집계!#REF!</definedName>
    <definedName name="_8C_15">[4]연돌일위집계!#REF!</definedName>
    <definedName name="_8C_16">[4]연돌일위집계!#REF!</definedName>
    <definedName name="_8C_17">[4]연돌일위집계!#REF!</definedName>
    <definedName name="_8C_18">[4]연돌일위집계!#REF!</definedName>
    <definedName name="_8C_19">[4]연돌일위집계!#REF!</definedName>
    <definedName name="_8C_2">[4]연돌일위집계!#REF!</definedName>
    <definedName name="_8C_20">[4]연돌일위집계!#REF!</definedName>
    <definedName name="_8C_21">[4]연돌일위집계!#REF!</definedName>
    <definedName name="_8C_22">[4]연돌일위집계!#REF!</definedName>
    <definedName name="_8C_23">[4]연돌일위집계!#REF!</definedName>
    <definedName name="_8C_24">[4]연돌일위집계!#REF!</definedName>
    <definedName name="_8C_25">[4]연돌일위집계!#REF!</definedName>
    <definedName name="_8C_26">[4]연돌일위집계!#REF!</definedName>
    <definedName name="_8C_27">[4]연돌일위집계!#REF!</definedName>
    <definedName name="_8C_28">[4]연돌일위집계!#REF!</definedName>
    <definedName name="_8C_29">[4]연돌일위집계!#REF!</definedName>
    <definedName name="_8C_3">[4]연돌일위집계!#REF!</definedName>
    <definedName name="_8C_30">[4]연돌일위집계!#REF!</definedName>
    <definedName name="_8C_4">[4]연돌일위집계!#REF!</definedName>
    <definedName name="_8C_5">[4]연돌일위집계!#REF!</definedName>
    <definedName name="_8C_6">[4]연돌일위집계!#REF!</definedName>
    <definedName name="_8C_7">[4]연돌일위집계!#REF!</definedName>
    <definedName name="_8C_8">[4]연돌일위집계!#REF!</definedName>
    <definedName name="_8C_9">[4]연돌일위집계!#REF!</definedName>
    <definedName name="_9A_1">[4]연돌일위집계!#REF!</definedName>
    <definedName name="_9A_10">[4]연돌일위집계!#REF!</definedName>
    <definedName name="_9A_11">[4]연돌일위집계!#REF!</definedName>
    <definedName name="_9A_12">[4]연돌일위집계!#REF!</definedName>
    <definedName name="_9A_13">[4]연돌일위집계!#REF!</definedName>
    <definedName name="_9A_14">[4]연돌일위집계!#REF!</definedName>
    <definedName name="_9A_15">[4]연돌일위집계!#REF!</definedName>
    <definedName name="_9A_16">[4]연돌일위집계!#REF!</definedName>
    <definedName name="_9A_17">[4]연돌일위집계!#REF!</definedName>
    <definedName name="_9A_18">[4]연돌일위집계!#REF!</definedName>
    <definedName name="_9A_19">[4]연돌일위집계!#REF!</definedName>
    <definedName name="_9A_2">[4]연돌일위집계!#REF!</definedName>
    <definedName name="_9A_20">[4]연돌일위집계!#REF!</definedName>
    <definedName name="_9A_21">[4]연돌일위집계!#REF!</definedName>
    <definedName name="_9A_22">[4]연돌일위집계!#REF!</definedName>
    <definedName name="_9A_23">[4]연돌일위집계!#REF!</definedName>
    <definedName name="_9A_24">[4]연돌일위집계!#REF!</definedName>
    <definedName name="_9A_25">[4]연돌일위집계!#REF!</definedName>
    <definedName name="_9A_26">[4]연돌일위집계!#REF!</definedName>
    <definedName name="_9A_27">[4]연돌일위집계!#REF!</definedName>
    <definedName name="_9A_28">[4]연돌일위집계!#REF!</definedName>
    <definedName name="_9A_29">[4]연돌일위집계!#REF!</definedName>
    <definedName name="_9A_3">[4]연돌일위집계!#REF!</definedName>
    <definedName name="_9A_30">[4]연돌일위집계!#REF!</definedName>
    <definedName name="_9A_4">[4]연돌일위집계!#REF!</definedName>
    <definedName name="_9A_5">[4]연돌일위집계!#REF!</definedName>
    <definedName name="_9A_6">[4]연돌일위집계!#REF!</definedName>
    <definedName name="_9A_7">[4]연돌일위집계!#REF!</definedName>
    <definedName name="_9A_8">[4]연돌일위집계!#REF!</definedName>
    <definedName name="_9A_9">[4]연돌일위집계!#REF!</definedName>
    <definedName name="_9B_1">[4]연돌일위집계!#REF!</definedName>
    <definedName name="_9B_10">[4]연돌일위집계!#REF!</definedName>
    <definedName name="_9B_11">[4]연돌일위집계!#REF!</definedName>
    <definedName name="_9B_12">[4]연돌일위집계!#REF!</definedName>
    <definedName name="_9B_13">[4]연돌일위집계!#REF!</definedName>
    <definedName name="_9B_14">[4]연돌일위집계!#REF!</definedName>
    <definedName name="_9B_15">[4]연돌일위집계!#REF!</definedName>
    <definedName name="_9B_16">[4]연돌일위집계!#REF!</definedName>
    <definedName name="_9B_17">[4]연돌일위집계!#REF!</definedName>
    <definedName name="_9B_18">[4]연돌일위집계!#REF!</definedName>
    <definedName name="_9B_19">[4]연돌일위집계!#REF!</definedName>
    <definedName name="_9B_2">[4]연돌일위집계!#REF!</definedName>
    <definedName name="_9B_20">[4]연돌일위집계!#REF!</definedName>
    <definedName name="_9B_21">[4]연돌일위집계!#REF!</definedName>
    <definedName name="_9B_22">[4]연돌일위집계!#REF!</definedName>
    <definedName name="_9B_23">[4]연돌일위집계!#REF!</definedName>
    <definedName name="_9B_24">[4]연돌일위집계!#REF!</definedName>
    <definedName name="_9B_25">[4]연돌일위집계!#REF!</definedName>
    <definedName name="_9B_26">[4]연돌일위집계!#REF!</definedName>
    <definedName name="_9B_27">[4]연돌일위집계!#REF!</definedName>
    <definedName name="_9B_28">[4]연돌일위집계!#REF!</definedName>
    <definedName name="_9B_29">[4]연돌일위집계!#REF!</definedName>
    <definedName name="_9B_3">[4]연돌일위집계!#REF!</definedName>
    <definedName name="_9B_30">[4]연돌일위집계!#REF!</definedName>
    <definedName name="_9B_4">[4]연돌일위집계!#REF!</definedName>
    <definedName name="_9B_5">[4]연돌일위집계!#REF!</definedName>
    <definedName name="_9B_6">[4]연돌일위집계!#REF!</definedName>
    <definedName name="_9B_7">[4]연돌일위집계!#REF!</definedName>
    <definedName name="_9B_8">[4]연돌일위집계!#REF!</definedName>
    <definedName name="_9B_9">[4]연돌일위집계!#REF!</definedName>
    <definedName name="_9C_1">[4]연돌일위집계!#REF!</definedName>
    <definedName name="_9C_10">[4]연돌일위집계!#REF!</definedName>
    <definedName name="_9C_11">[4]연돌일위집계!#REF!</definedName>
    <definedName name="_9C_12">[4]연돌일위집계!#REF!</definedName>
    <definedName name="_9C_13">[4]연돌일위집계!#REF!</definedName>
    <definedName name="_9C_14">[4]연돌일위집계!#REF!</definedName>
    <definedName name="_9C_15">[4]연돌일위집계!#REF!</definedName>
    <definedName name="_9C_16">[4]연돌일위집계!#REF!</definedName>
    <definedName name="_9C_17">[4]연돌일위집계!#REF!</definedName>
    <definedName name="_9C_18">[4]연돌일위집계!#REF!</definedName>
    <definedName name="_9C_19">[4]연돌일위집계!#REF!</definedName>
    <definedName name="_9C_2">[4]연돌일위집계!#REF!</definedName>
    <definedName name="_9C_20">[4]연돌일위집계!#REF!</definedName>
    <definedName name="_9C_21">[4]연돌일위집계!#REF!</definedName>
    <definedName name="_9C_22">[4]연돌일위집계!#REF!</definedName>
    <definedName name="_9C_23">[4]연돌일위집계!#REF!</definedName>
    <definedName name="_9C_24">[4]연돌일위집계!#REF!</definedName>
    <definedName name="_9C_25">[4]연돌일위집계!#REF!</definedName>
    <definedName name="_9C_26">[4]연돌일위집계!#REF!</definedName>
    <definedName name="_9C_27">[4]연돌일위집계!#REF!</definedName>
    <definedName name="_9C_28">[4]연돌일위집계!#REF!</definedName>
    <definedName name="_9C_29">[4]연돌일위집계!#REF!</definedName>
    <definedName name="_9C_3">[4]연돌일위집계!#REF!</definedName>
    <definedName name="_9C_30">[4]연돌일위집계!#REF!</definedName>
    <definedName name="_9C_4">[4]연돌일위집계!#REF!</definedName>
    <definedName name="_9C_5">[4]연돌일위집계!#REF!</definedName>
    <definedName name="_9C_6">[4]연돌일위집계!#REF!</definedName>
    <definedName name="_9C_7">[4]연돌일위집계!#REF!</definedName>
    <definedName name="_9C_8">[4]연돌일위집계!#REF!</definedName>
    <definedName name="_9C_9">[4]연돌일위집계!#REF!</definedName>
    <definedName name="_A20000">#REF!</definedName>
    <definedName name="_AHU2">[0]!_AHU2</definedName>
    <definedName name="_AHU222">[0]!_AHU222</definedName>
    <definedName name="_AHU3">[0]!_AHU3</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ist_Bin" hidden="1">#REF!</definedName>
    <definedName name="_Dist_Values" hidden="1">#REF!</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E1" hidden="1">{#N/A,#N/A,FALSE,"단가표지"}</definedName>
    <definedName name="_ELL45">#REF!</definedName>
    <definedName name="_ELL90">#REF!</definedName>
    <definedName name="_Fill" localSheetId="0" hidden="1">#REF!</definedName>
    <definedName name="_Fill" localSheetId="2" hidden="1">'[6]N賃率-職'!$I$5:$I$30</definedName>
    <definedName name="_Fill" hidden="1">#REF!</definedName>
    <definedName name="_JKS1" hidden="1">{#N/A,#N/A,TRUE,"일정"}</definedName>
    <definedName name="_K115" hidden="1">{#N/A,#N/A,FALSE,"인원";#N/A,#N/A,FALSE,"비용2";#N/A,#N/A,FALSE,"비용1";#N/A,#N/A,FALSE,"비용";#N/A,#N/A,FALSE,"보증2";#N/A,#N/A,FALSE,"보증1";#N/A,#N/A,FALSE,"보증";#N/A,#N/A,FALSE,"손익1";#N/A,#N/A,FALSE,"손익";#N/A,#N/A,FALSE,"부서별매출";#N/A,#N/A,FALSE,"매출"}</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D2" hidden="1">#REF!</definedName>
    <definedName name="_KD3" hidden="1">#REF!</definedName>
    <definedName name="_KE2" hidden="1">#REF!</definedName>
    <definedName name="_Key1" localSheetId="0" hidden="1">#REF!</definedName>
    <definedName name="_Key1" localSheetId="2" hidden="1">#REF!</definedName>
    <definedName name="_Key1" hidden="1">#REF!</definedName>
    <definedName name="_Key2" localSheetId="0" hidden="1">#REF!</definedName>
    <definedName name="_Key2" localSheetId="2" hidden="1">#REF!</definedName>
    <definedName name="_Key2" hidden="1">#REF!</definedName>
    <definedName name="_kfkf" hidden="1">#REF!</definedName>
    <definedName name="_KHM111" localSheetId="0" hidden="1">{#N/A,#N/A,FALSE,"제목"}</definedName>
    <definedName name="_KHM111" hidden="1">{#N/A,#N/A,FALSE,"제목"}</definedName>
    <definedName name="_KHM888" localSheetId="0" hidden="1">{#N/A,#N/A,FALSE,"제목"}</definedName>
    <definedName name="_KHM888" hidden="1">{#N/A,#N/A,FALSE,"제목"}</definedName>
    <definedName name="_KK1" hidden="1">#REF!</definedName>
    <definedName name="_KK2" hidden="1">#REF!</definedName>
    <definedName name="_KK3" hidden="1">#REF!</definedName>
    <definedName name="_LPS2" hidden="1">{#N/A,#N/A,FALSE,"단축1";#N/A,#N/A,FALSE,"단축2";#N/A,#N/A,FALSE,"단축3";#N/A,#N/A,FALSE,"장축";#N/A,#N/A,FALSE,"4WD"}</definedName>
    <definedName name="_MD1">'[2]할증 '!$B$8</definedName>
    <definedName name="_MD2">'[2]할증 '!$B$9</definedName>
    <definedName name="_NEW1">ROUND([3]!_NEW1*0.0254,3)</definedName>
    <definedName name="_NPS2" hidden="1">{#N/A,#N/A,FALSE,"인원";#N/A,#N/A,FALSE,"비용2";#N/A,#N/A,FALSE,"비용1";#N/A,#N/A,FALSE,"비용";#N/A,#N/A,FALSE,"보증2";#N/A,#N/A,FALSE,"보증1";#N/A,#N/A,FALSE,"보증";#N/A,#N/A,FALSE,"손익1";#N/A,#N/A,FALSE,"손익";#N/A,#N/A,FALSE,"부서별매출";#N/A,#N/A,FALSE,"매출"}</definedName>
    <definedName name="_Order1" hidden="1">255</definedName>
    <definedName name="_Order2" hidden="1">255</definedName>
    <definedName name="_p1">#REF!</definedName>
    <definedName name="_p2">#REF!</definedName>
    <definedName name="_p3">#REF!</definedName>
    <definedName name="_P4">#REF!</definedName>
    <definedName name="_P5">#REF!</definedName>
    <definedName name="_P6">#REF!</definedName>
    <definedName name="_Parse_Out" hidden="1">'[7]갑지(추정)'!#REF!</definedName>
    <definedName name="_q45" localSheetId="0" hidden="1">{"'용역비'!$A$4:$C$8"}</definedName>
    <definedName name="_q45" localSheetId="2" hidden="1">{"'용역비'!$A$4:$C$8"}</definedName>
    <definedName name="_q45" hidden="1">{"'용역비'!$A$4:$C$8"}</definedName>
    <definedName name="_QQ1" hidden="1">{#N/A,#N/A,FALSE,"단가표지"}</definedName>
    <definedName name="_QW1" hidden="1">{#N/A,#N/A,FALSE,"단가표지"}</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hidden="1">#REF!</definedName>
    <definedName name="_Regression_X" hidden="1">#REF!</definedName>
    <definedName name="_Regression_Y" hidden="1">#REF!</definedName>
    <definedName name="_S01" hidden="1">#REF!</definedName>
    <definedName name="_SDW1" hidden="1">'[8]#REF'!#REF!</definedName>
    <definedName name="_Sort" localSheetId="0" hidden="1">#REF!</definedName>
    <definedName name="_Sort" localSheetId="2" hidden="1">#REF!</definedName>
    <definedName name="_Sort" hidden="1">#REF!</definedName>
    <definedName name="_ss1">ROUND([3]!_ss1*0.0254,3)</definedName>
    <definedName name="_Table1_In1" hidden="1">#REF!</definedName>
    <definedName name="_Table1_Out" hidden="1">#REF!</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oogi" hidden="1">#REF!</definedName>
    <definedName name="_woogi2" hidden="1">#REF!</definedName>
    <definedName name="_woogi24" hidden="1">#REF!</definedName>
    <definedName name="_woogi3" hidden="1">#REF!</definedName>
    <definedName name="_재ㅐ햐" hidden="1">#REF!</definedName>
    <definedName name="´Ü°¡1">'[9]할증 '!$B$13</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0">#REF!</definedName>
    <definedName name="\a">[10]당초!#REF!</definedName>
    <definedName name="\b">#N/A</definedName>
    <definedName name="\c">[11]sum!#REF!</definedName>
    <definedName name="\d">[11]sum!#REF!</definedName>
    <definedName name="\e">#REF!</definedName>
    <definedName name="\f">[11]sum!#REF!</definedName>
    <definedName name="\g">[11]sum!#REF!</definedName>
    <definedName name="\h">[11]sum!#REF!</definedName>
    <definedName name="\i">[11]sum!#REF!</definedName>
    <definedName name="\j">[11]sum!#REF!</definedName>
    <definedName name="\k">[11]sum!#REF!</definedName>
    <definedName name="\l">[11]sum!#REF!</definedName>
    <definedName name="\LARGE">#REF!</definedName>
    <definedName name="\m">[11]sum!#REF!</definedName>
    <definedName name="\MIDDLE">#REF!</definedName>
    <definedName name="\n">[11]sum!#REF!</definedName>
    <definedName name="\o">[11]sum!#REF!</definedName>
    <definedName name="\p">#N/A</definedName>
    <definedName name="\q">#REF!</definedName>
    <definedName name="\SMALL">#REF!</definedName>
    <definedName name="\v">#REF!</definedName>
    <definedName name="\w">#REF!</definedName>
    <definedName name="\x">#REF!</definedName>
    <definedName name="\y">#REF!</definedName>
    <definedName name="\z">#REF!</definedName>
    <definedName name="A">#REF!</definedName>
    <definedName name="A1_00근거" hidden="1">{#N/A,#N/A,FALSE,"단축1";#N/A,#N/A,FALSE,"단축2";#N/A,#N/A,FALSE,"단축3";#N/A,#N/A,FALSE,"장축";#N/A,#N/A,FALSE,"4WD"}</definedName>
    <definedName name="AA">#REF!</definedName>
    <definedName name="AAA">[0]!AAA</definedName>
    <definedName name="AAAA">[0]!AAAA</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[0]!AAAAAAAAAAA</definedName>
    <definedName name="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'[12]98비정기소모'!#REF!</definedName>
    <definedName name="AAC">'[12]98비정기소모'!#REF!</definedName>
    <definedName name="AAD">'[12]98비정기소모'!#REF!</definedName>
    <definedName name="AAE">'[12]98비정기소모'!#REF!</definedName>
    <definedName name="AAK">'[12]98비정기소모'!#REF!</definedName>
    <definedName name="AAL">'[12]98비정기소모'!#REF!</definedName>
    <definedName name="aaqwz" hidden="1">{#N/A,#N/A,TRUE,"일정"}</definedName>
    <definedName name="AAT">'[12]98비정기소모'!#REF!</definedName>
    <definedName name="AAY">'[12]98비정기소모'!#REF!</definedName>
    <definedName name="ab_R_BREAKDOWN_PART1">[13]XZLC003_PART1!$A$7:$G$7</definedName>
    <definedName name="ab_R_BREAKDOWN_PART2">[14]XZLC004_PART2!$A$7:$G$7</definedName>
    <definedName name="ABC">[15]CAT_5!#REF!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DP">'[16]기초데이타입력 및 계산'!#REF!</definedName>
    <definedName name="ADF" hidden="1">{#N/A,#N/A,FALSE,"신규dep";#N/A,#N/A,FALSE,"신규dep-금형상각후";#N/A,#N/A,FALSE,"신규dep-연구비상각후";#N/A,#N/A,FALSE,"신규dep-기계,공구상각후"}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_PIPE">#REF!</definedName>
    <definedName name="air_trap">#REF!</definedName>
    <definedName name="AN" hidden="1">{#N/A,#N/A,FALSE,"단축1";#N/A,#N/A,FALSE,"단축2";#N/A,#N/A,FALSE,"단축3";#N/A,#N/A,FALSE,"장축";#N/A,#N/A,FALSE,"4WD"}</definedName>
    <definedName name="angle">#REF!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[17]현장관리비!$A$9:$L$194</definedName>
    <definedName name="as">#REF!</definedName>
    <definedName name="ASCII">#REF!</definedName>
    <definedName name="ASD"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SDASd" hidden="1">{#N/A,#N/A,FALSE,"단축1";#N/A,#N/A,FALSE,"단축2";#N/A,#N/A,FALSE,"단축3";#N/A,#N/A,FALSE,"장축";#N/A,#N/A,FALSE,"4WD"}</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S">[0]!ASSSS</definedName>
    <definedName name="ASTM">#REF!</definedName>
    <definedName name="AT">#REF!</definedName>
    <definedName name="AV" hidden="1">{#N/A,#N/A,FALSE,"단축1";#N/A,#N/A,FALSE,"단축2";#N/A,#N/A,FALSE,"단축3";#N/A,#N/A,FALSE,"장축";#N/A,#N/A,FALSE,"4WD"}</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X" hidden="1">{#N/A,#N/A,FALSE,"단축1";#N/A,#N/A,FALSE,"단축2";#N/A,#N/A,FALSE,"단축3";#N/A,#N/A,FALSE,"장축";#N/A,#N/A,FALSE,"4WD"}</definedName>
    <definedName name="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BlankMacro1</definedName>
    <definedName name="B__OTHERS__">#REF!</definedName>
    <definedName name="B_FLG">#REF!</definedName>
    <definedName name="back_pressure">#REF!</definedName>
    <definedName name="ball">#REF!</definedName>
    <definedName name="BB030100M">#REF!</definedName>
    <definedName name="BB030100Q">#REF!</definedName>
    <definedName name="BB0303001M">#REF!</definedName>
    <definedName name="BB0303001Q">[18]AILC004!$F$30:$F$50,[18]AILC004!$F$63</definedName>
    <definedName name="BB030300M">#REF!</definedName>
    <definedName name="BB030300Q">[18]AILC004!$F$72,[18]AILC004!$F$76:$F$84</definedName>
    <definedName name="BB030400M">#REF!</definedName>
    <definedName name="BB030400Q">#REF!</definedName>
    <definedName name="bbb">'[12]98비정기소모'!#REF!</definedName>
    <definedName name="BBC">'[12]98비정기소모'!#REF!</definedName>
    <definedName name="BBD">'[12]98비정기소모'!#REF!</definedName>
    <definedName name="BBE">'[12]98비정기소모'!#REF!</definedName>
    <definedName name="bj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BL" hidden="1">{#N/A,#N/A,FALSE,"단축1";#N/A,#N/A,FALSE,"단축2";#N/A,#N/A,FALSE,"단축3";#N/A,#N/A,FALSE,"장축";#N/A,#N/A,FALSE,"4WD"}</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LT">#REF!</definedName>
    <definedName name="BOOK2" hidden="1">{#N/A,#N/A,TRUE,"손익보고"}</definedName>
    <definedName name="BOSS">#REF!</definedName>
    <definedName name="BREAKDOWN">'[19]Summary Sheets'!$A$2:$K$36</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tterfly">#REF!</definedName>
    <definedName name="C_">[1]A!#REF!</definedName>
    <definedName name="cable">#REF!</definedName>
    <definedName name="CAE해석" hidden="1">{#N/A,#N/A,FALSE,"단축1";#N/A,#N/A,FALSE,"단축2";#N/A,#N/A,FALSE,"단축3";#N/A,#N/A,FALSE,"장축";#N/A,#N/A,FALSE,"4WD"}</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C">[20]F5!$I$30</definedName>
    <definedName name="CCC">'[12]98비정기소모'!#REF!</definedName>
    <definedName name="CCD">'[12]98비정기소모'!#REF!</definedName>
    <definedName name="CCE">'[12]98비정기소모'!#REF!</definedName>
    <definedName name="CCF">'[12]98비정기소모'!#REF!</definedName>
    <definedName name="CCK">'[12]98비정기소모'!#REF!</definedName>
    <definedName name="cgmh" localSheetId="0" hidden="1">{"'용역비'!$A$4:$C$8"}</definedName>
    <definedName name="cgmh" localSheetId="2" hidden="1">{"'용역비'!$A$4:$C$8"}</definedName>
    <definedName name="cgmh" hidden="1">{"'용역비'!$A$4:$C$8"}</definedName>
    <definedName name="check">#REF!</definedName>
    <definedName name="CheckBox80_Click">[0]!CheckBox80_Click</definedName>
    <definedName name="choi">ROUND([3]!choi*0.0254,3)</definedName>
    <definedName name="Client">#REF!</definedName>
    <definedName name="cm">#REF!</definedName>
    <definedName name="CMH" hidden="1">{#N/A,#N/A,FALSE,"Sheet1"}</definedName>
    <definedName name="COA_10">#REF!</definedName>
    <definedName name="COA_11">'[21]COA-17'!#REF!</definedName>
    <definedName name="COA_12">'[21]COA-17'!#REF!</definedName>
    <definedName name="COA_13">'[21]COA-17'!#REF!</definedName>
    <definedName name="COA_14">'[21]COA-17'!#REF!</definedName>
    <definedName name="COA_15">'[21]COA-17'!#REF!</definedName>
    <definedName name="COA_16">'[21]COA-17'!#REF!</definedName>
    <definedName name="COA_17">'[21]COA-17'!#REF!</definedName>
    <definedName name="COA_18">'[21]COA-17'!#REF!</definedName>
    <definedName name="COA_19">'[21]COA-17'!#REF!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DE">[22]노임단가!$AG$3:$AI$222</definedName>
    <definedName name="CODE1">[22]노임단가!$AE$3:$AI$222</definedName>
    <definedName name="COM">#REF!</definedName>
    <definedName name="COM할">[23]FACTOR!#REF!</definedName>
    <definedName name="CONSUM">#REF!</definedName>
    <definedName name="CON할">[23]FACTOR!#REF!</definedName>
    <definedName name="COS">'[24]간접비내역-1'!#REF!</definedName>
    <definedName name="COST">[25]Sheet1!$B$2</definedName>
    <definedName name="COVER50">[15]CAT_5!#REF!</definedName>
    <definedName name="COㅜ할">[23]FACTOR!#REF!</definedName>
    <definedName name="CPLG">#REF!</definedName>
    <definedName name="CRANE">ROUND([3]!CRANE*0.0254,3)</definedName>
    <definedName name="CS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_1">'[21]C-18'!#REF!</definedName>
    <definedName name="CV_11">'[21]C-18'!#REF!</definedName>
    <definedName name="CV_12">'[21]C-18'!#REF!</definedName>
    <definedName name="CV_13">'[21]C-18'!#REF!</definedName>
    <definedName name="CV_14">'[21]C-18'!#REF!</definedName>
    <definedName name="CV_15">'[21]C-18'!#REF!</definedName>
    <definedName name="CV_16">'[21]C-18'!#REF!</definedName>
    <definedName name="CV_17">'[21]C-18'!#REF!</definedName>
    <definedName name="CV_18">#REF!</definedName>
    <definedName name="CV_19">'[21]C-18'!#REF!</definedName>
    <definedName name="CV_20">'[21]C-18'!#REF!</definedName>
    <definedName name="CV_30">'[21]C-18'!#REF!</definedName>
    <definedName name="CV_40">'[21]C-18'!#REF!</definedName>
    <definedName name="CV_50">'[21]C-18'!#REF!</definedName>
    <definedName name="CV_60">'[21]C-18'!#REF!</definedName>
    <definedName name="CV_70">'[21]C-18'!#REF!</definedName>
    <definedName name="CV_80">'[21]C-18'!#REF!</definedName>
    <definedName name="cvj" hidden="1">{#N/A,#N/A,FALSE,"KMC최종회의(7월) 자료"}</definedName>
    <definedName name="CV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YCLE___LVL_1____1_HEXENE">'[19]Summary Sheets'!$L$382:$V$416</definedName>
    <definedName name="CYCLE___LVL_1____DOCK">'[19]Summary Sheets'!$L$762:$V$796</definedName>
    <definedName name="CYCLE___LVL_1____NFGP">'[26]ITB COST'!$L$398:$V$438</definedName>
    <definedName name="CYCLE___LVL_1____OFFSITES">'[19]Summary Sheets'!$L$572:$V$606</definedName>
    <definedName name="CYCLE___LVL_1____PIPELINE">'[26]ITB COST'!$L$574:$V$614</definedName>
    <definedName name="CYCLE___LVL_1____TANK">'[26]ITB COST'!$L$706:$V$746</definedName>
    <definedName name="CYCLE___LVL_1_DKADU">'[26]ITB COST'!$L$2:$V$42</definedName>
    <definedName name="CYCLE___LVL_1_ETHYLENE">'[19]Summary Sheets'!$L$2:$V$36</definedName>
    <definedName name="CYCLE___LVL_1_NGL4">'[26]ITB COST'!$L$178:$V$218</definedName>
    <definedName name="CYCLE___LVL_1_POLYETHYLENE">'[19]Summary Sheets'!$L$192:$V$226</definedName>
    <definedName name="CYCLE_LVL_1_PGM">'[26]ITB COST'!$L$881:$V$922</definedName>
    <definedName name="C할">[23]FACTOR!#REF!</definedName>
    <definedName name="D">BlankMacro1</definedName>
    <definedName name="DADADS">[0]!DADADS</definedName>
    <definedName name="dasf" hidden="1">{#N/A,#N/A,FALSE,"구조2"}</definedName>
    <definedName name="DATA">#REF!</definedName>
    <definedName name="_xlnm.Database">#REF!</definedName>
    <definedName name="dataww" hidden="1">#REF!</definedName>
    <definedName name="DATE">'[12]98비정기소모'!#REF!</definedName>
    <definedName name="Date_Bidding">#REF!</definedName>
    <definedName name="DD">[20]F5!$O$30</definedName>
    <definedName name="DDD" hidden="1">#REF!</definedName>
    <definedName name="DDDD">[0]!DDDD</definedName>
    <definedName name="ddddd" localSheetId="0" hidden="1">#REF!</definedName>
    <definedName name="ddddd" localSheetId="2"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B_LIS">#REF!</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hj" localSheetId="0" hidden="1">{"'용역비'!$A$4:$C$8"}</definedName>
    <definedName name="dhj" localSheetId="2" hidden="1">{"'용역비'!$A$4:$C$8"}</definedName>
    <definedName name="dhj" hidden="1">{"'용역비'!$A$4:$C$8"}</definedName>
    <definedName name="diameter">#REF!</definedName>
    <definedName name="diaphragm">#REF!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kdkdkd" hidden="1">{#N/A,#N/A,FALSE,"명세표"}</definedName>
    <definedName name="dn" hidden="1">{#N/A,#N/A,FALSE,"혼합골재"}</definedName>
    <definedName name="DO할">[23]FACTOR!#REF!</definedName>
    <definedName name="drain_trap">#REF!</definedName>
    <definedName name="DRFDGH" hidden="1">{#N/A,#N/A,FALSE,"단축1";#N/A,#N/A,FALSE,"단축2";#N/A,#N/A,FALSE,"단축3";#N/A,#N/A,FALSE,"장축";#N/A,#N/A,FALSE,"4WD"}</definedName>
    <definedName name="DRIVEABILITY" hidden="1">{#N/A,#N/A,FALSE,"단축1";#N/A,#N/A,FALSE,"단축2";#N/A,#N/A,FALSE,"단축3";#N/A,#N/A,FALSE,"장축";#N/A,#N/A,FALSE,"4WD"}</definedName>
    <definedName name="DSA" localSheetId="0" hidden="1">{#N/A,#N/A,FALSE,"제목"}</definedName>
    <definedName name="DSA" hidden="1">{#N/A,#N/A,FALSE,"제목"}</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hidden="1">{#N/A,#N/A,FALSE,"운반시간"}</definedName>
    <definedName name="DSFDSFSD">[0]!DSFDSFSD</definedName>
    <definedName name="DSFSFSDAFDS">[0]!DSFSFSDAFDS</definedName>
    <definedName name="D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ual_plate_check">#REF!</definedName>
    <definedName name="DUCT_GONG">#REF!</definedName>
    <definedName name="duplex_strainer">#REF!</definedName>
    <definedName name="DW" localSheetId="0" hidden="1">{"'용역비'!$A$4:$C$8"}</definedName>
    <definedName name="DW" localSheetId="2" hidden="1">{"'용역비'!$A$4:$C$8"}</definedName>
    <definedName name="DW" hidden="1">{"'용역비'!$A$4:$C$8"}</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X코일">[0]!DX코일</definedName>
    <definedName name="D할">[23]FACTOR!#REF!</definedName>
    <definedName name="D할1">[23]FACTOR!#REF!</definedName>
    <definedName name="E" localSheetId="2" hidden="1">{"'용역비'!$A$4:$C$8"}</definedName>
    <definedName name="e">[27]지수!$E$14</definedName>
    <definedName name="EB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dssqq" hidden="1">{#N/A,#N/A,FALSE,"혼합골재"}</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0" hidden="1">{"'용역비'!$A$4:$C$8"}</definedName>
    <definedName name="EFG" localSheetId="2" hidden="1">{"'용역비'!$A$4:$C$8"}</definedName>
    <definedName name="EFG" hidden="1">{"'용역비'!$A$4:$C$8"}</definedName>
    <definedName name="EF제동" hidden="1">{#N/A,#N/A,FALSE,"단축1";#N/A,#N/A,FALSE,"단축2";#N/A,#N/A,FALSE,"단축3";#N/A,#N/A,FALSE,"장축";#N/A,#N/A,FALSE,"4WD"}</definedName>
    <definedName name="EGE" localSheetId="0" hidden="1">{"'용역비'!$A$4:$C$8"}</definedName>
    <definedName name="EGE" localSheetId="2" hidden="1">{"'용역비'!$A$4:$C$8"}</definedName>
    <definedName name="EGE" hidden="1">{"'용역비'!$A$4:$C$8"}</definedName>
    <definedName name="ej" localSheetId="0" hidden="1">{"'용역비'!$A$4:$C$8"}</definedName>
    <definedName name="ej" localSheetId="2" hidden="1">{"'용역비'!$A$4:$C$8"}</definedName>
    <definedName name="ej" hidden="1">{"'용역비'!$A$4:$C$8"}</definedName>
    <definedName name="EL_FILTER">#REF!</definedName>
    <definedName name="EOL">#REF!</definedName>
    <definedName name="EP">[28]FACTOR!$C$21</definedName>
    <definedName name="ERERER">#REF!</definedName>
    <definedName name="ERRE" hidden="1">{#N/A,#N/A,FALSE,"단축1";#N/A,#N/A,FALSE,"단축2";#N/A,#N/A,FALSE,"단축3";#N/A,#N/A,FALSE,"장축";#N/A,#N/A,FALSE,"4WD"}</definedName>
    <definedName name="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tyertye" localSheetId="0" hidden="1">{"'용역비'!$A$4:$C$8"}</definedName>
    <definedName name="ertyertye" localSheetId="2" hidden="1">{"'용역비'!$A$4:$C$8"}</definedName>
    <definedName name="ertyertye" hidden="1">{"'용역비'!$A$4:$C$8"}</definedName>
    <definedName name="ETYETY" localSheetId="0" hidden="1">{"'용역비'!$A$4:$C$8"}</definedName>
    <definedName name="ETYETY" localSheetId="2" hidden="1">{"'용역비'!$A$4:$C$8"}</definedName>
    <definedName name="ETYETY" hidden="1">{"'용역비'!$A$4:$C$8"}</definedName>
    <definedName name="etyj" localSheetId="0" hidden="1">{"'용역비'!$A$4:$C$8"}</definedName>
    <definedName name="etyj" localSheetId="2" hidden="1">{"'용역비'!$A$4:$C$8"}</definedName>
    <definedName name="etyj" hidden="1">{"'용역비'!$A$4:$C$8"}</definedName>
    <definedName name="etyjj" localSheetId="0" hidden="1">{"'용역비'!$A$4:$C$8"}</definedName>
    <definedName name="etyjj" localSheetId="2" hidden="1">{"'용역비'!$A$4:$C$8"}</definedName>
    <definedName name="etyjj" hidden="1">{"'용역비'!$A$4:$C$8"}</definedName>
    <definedName name="ETYJTYJ" localSheetId="0" hidden="1">{"'용역비'!$A$4:$C$8"}</definedName>
    <definedName name="ETYJTYJ" localSheetId="2" hidden="1">{"'용역비'!$A$4:$C$8"}</definedName>
    <definedName name="ETYJTYJ" hidden="1">{"'용역비'!$A$4:$C$8"}</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x_joint">#REF!</definedName>
    <definedName name="EXC"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xchange_Rate">#REF!</definedName>
    <definedName name="EXP">[25]Sheet1!$B$4</definedName>
    <definedName name="EXPENSE">[29]내역서!#REF!</definedName>
    <definedName name="E할">[30]FACTOR!$B$4</definedName>
    <definedName name="f">BlankMacro1</definedName>
    <definedName name="FASFDAS" hidden="1">{#N/A,#N/A,FALSE,"신규dep";#N/A,#N/A,FALSE,"신규dep-금형상각후";#N/A,#N/A,FALSE,"신규dep-연구비상각후";#N/A,#N/A,FALSE,"신규dep-기계,공구상각후"}</definedName>
    <definedName name="fchend">#REF!</definedName>
    <definedName name="fcheno">#REF!</definedName>
    <definedName name="fchurd">#REF!</definedName>
    <definedName name="fcurdo">#REF!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 localSheetId="0" hidden="1">{#N/A,#N/A,FALSE,"제목"}</definedName>
    <definedName name="FDG" hidden="1">{#N/A,#N/A,FALSE,"제목"}</definedName>
    <definedName name="FDS" localSheetId="0" hidden="1">{#N/A,#N/A,FALSE,"제목"}</definedName>
    <definedName name="FDS" hidden="1">{#N/A,#N/A,FALSE,"제목"}</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hidden="1">#REF!</definedName>
    <definedName name="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JG" hidden="1">{#N/A,#N/A,FALSE,"단축1";#N/A,#N/A,FALSE,"단축2";#N/A,#N/A,FALSE,"단축3";#N/A,#N/A,FALSE,"장축";#N/A,#N/A,FALSE,"4WD"}</definedName>
    <definedName name="FK" localSheetId="0" hidden="1">{"'용역비'!$A$4:$C$8"}</definedName>
    <definedName name="FK" localSheetId="2" hidden="1">{"'용역비'!$A$4:$C$8"}</definedName>
    <definedName name="FK" hidden="1">{"'용역비'!$A$4:$C$8"}</definedName>
    <definedName name="FLG">#REF!</definedName>
    <definedName name="FLG_Orifice">#REF!</definedName>
    <definedName name="FSD" localSheetId="0" hidden="1">{#N/A,#N/A,FALSE,"제목"}</definedName>
    <definedName name="FSD" hidden="1">{#N/A,#N/A,FALSE,"제목"}</definedName>
    <definedName name="FSDAF" localSheetId="0" hidden="1">{#N/A,#N/A,FALSE,"제목"}</definedName>
    <definedName name="FSDAF" hidden="1">{#N/A,#N/A,FALSE,"제목"}</definedName>
    <definedName name="FSDFSDFDSFDSF">[0]!FSDFSDFDSFDSF</definedName>
    <definedName name="ft">[31]PUMP!$A$6</definedName>
    <definedName name="F할">[23]FACTOR!#REF!</definedName>
    <definedName name="G" localSheetId="0" hidden="1">{"'용역비'!$A$4:$C$8"}</definedName>
    <definedName name="G" localSheetId="2" hidden="1">{"'용역비'!$A$4:$C$8"}</definedName>
    <definedName name="G" hidden="1">{"'용역비'!$A$4:$C$8"}</definedName>
    <definedName name="gate">#REF!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[32]차액보증!#REF!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#REF!</definedName>
    <definedName name="G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hhhh" hidden="1">{#N/A,#N/A,FALSE,"단축1";#N/A,#N/A,FALSE,"단축2";#N/A,#N/A,FALSE,"단축3";#N/A,#N/A,FALSE,"장축";#N/A,#N/A,FALSE,"4WD"}</definedName>
    <definedName name="GHUTGHF" hidden="1">{#N/A,#N/A,FALSE,"96 3월물량표";#N/A,#N/A,FALSE,"96 4월물량표";#N/A,#N/A,FALSE,"96 5월물량표"}</definedName>
    <definedName name="GJH" localSheetId="0" hidden="1">{#N/A,#N/A,FALSE,"제목"}</definedName>
    <definedName name="GJH" hidden="1">{#N/A,#N/A,FALSE,"제목"}</definedName>
    <definedName name="gkdfgjldg" hidden="1">{#N/A,#N/A,FALSE,"신규dep";#N/A,#N/A,FALSE,"신규dep-금형상각후";#N/A,#N/A,FALSE,"신규dep-연구비상각후";#N/A,#N/A,FALSE,"신규dep-기계,공구상각후"}</definedName>
    <definedName name="globe">#REF!</definedName>
    <definedName name="grew" hidden="1">#REF!</definedName>
    <definedName name="GTTA">'[33]공사비 내역 (가)'!$AE$54</definedName>
    <definedName name="GTTB">'[33]공사비 내역 (가)'!$AF$54</definedName>
    <definedName name="GUKMSDF" hidden="1">{#N/A,#N/A,FALSE,"단축1";#N/A,#N/A,FALSE,"단축2";#N/A,#N/A,FALSE,"단축3";#N/A,#N/A,FALSE,"장축";#N/A,#N/A,FALSE,"4WD"}</definedName>
    <definedName name="G견적" hidden="1">{#N/A,#N/A,TRUE,"손익보고"}</definedName>
    <definedName name="H" localSheetId="0" hidden="1">{"'용역비'!$A$4:$C$8"}</definedName>
    <definedName name="H" localSheetId="2" hidden="1">{"'용역비'!$A$4:$C$8"}</definedName>
    <definedName name="H" hidden="1">{"'용역비'!$A$4:$C$8"}</definedName>
    <definedName name="han" hidden="1">#REF!</definedName>
    <definedName name="hardwar" hidden="1">#REF!</definedName>
    <definedName name="HBD">[34]공사비내역서!#REF!</definedName>
    <definedName name="HBY">[34]공사비내역서!#REF!</definedName>
    <definedName name="HCY">[34]공사비내역서!#REF!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ADER">[35]도급양식!$1:$3</definedName>
    <definedName name="HEAR" hidden="1">{#N/A,#N/A,FALSE,"단축1";#N/A,#N/A,FALSE,"단축2";#N/A,#N/A,FALSE,"단축3";#N/A,#N/A,FALSE,"장축";#N/A,#N/A,FALSE,"4WD"}</definedName>
    <definedName name="HERE" hidden="1">{#N/A,#N/A,TRUE,"손익보고"}</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GH" localSheetId="0" hidden="1">{#N/A,#N/A,FALSE,"제목"}</definedName>
    <definedName name="HGGGH" hidden="1">{#N/A,#N/A,FALSE,"제목"}</definedName>
    <definedName name="HHH">BlankMacro1</definedName>
    <definedName name="HJ" localSheetId="0" hidden="1">{#N/A,#N/A,FALSE,"제목"}</definedName>
    <definedName name="HJ" hidden="1">{#N/A,#N/A,FALSE,"제목"}</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OKUP">#REF!</definedName>
    <definedName name="hpv" hidden="1">{#N/A,#N/A,FALSE,"단축1";#N/A,#N/A,FALSE,"단축2";#N/A,#N/A,FALSE,"단축3";#N/A,#N/A,FALSE,"장축";#N/A,#N/A,FALSE,"4WD"}</definedName>
    <definedName name="HRT" hidden="1">{#N/A,#N/A,FALSE,"신규dep";#N/A,#N/A,FALSE,"신규dep-금형상각후";#N/A,#N/A,FALSE,"신규dep-연구비상각후";#N/A,#N/A,FALSE,"신규dep-기계,공구상각후"}</definedName>
    <definedName name="HSR" localSheetId="0" hidden="1">{"'용역비'!$A$4:$C$8"}</definedName>
    <definedName name="HSR" localSheetId="2" hidden="1">{"'용역비'!$A$4:$C$8"}</definedName>
    <definedName name="HSR" hidden="1">{"'용역비'!$A$4:$C$8"}</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{"'용역비'!$A$4:$C$8"}</definedName>
    <definedName name="HTML_Control" localSheetId="2" hidden="1">{"'용역비'!$A$4:$C$8"}</definedName>
    <definedName name="HTML_Control" hidden="1">{"'용역비'!$A$4:$C$8"}</definedName>
    <definedName name="HTML_Description" hidden="1">""</definedName>
    <definedName name="HTML_Email" hidden="1">""</definedName>
    <definedName name="HTML_Header" hidden="1">"용역비"</definedName>
    <definedName name="HTML_LastUpdate" hidden="1">"99-07-01"</definedName>
    <definedName name="HTML_LineAfter" hidden="1">FALSE</definedName>
    <definedName name="HTML_LineBefore" hidden="1">FALSE</definedName>
    <definedName name="HTML_Name" hidden="1">"전산실"</definedName>
    <definedName name="HTML_OBDlg2" hidden="1">TRUE</definedName>
    <definedName name="HTML_OBDlg4" hidden="1">TRUE</definedName>
    <definedName name="HTML_OS" hidden="1">0</definedName>
    <definedName name="HTML_PathFile" hidden="1">"C:\My Documents\MyHTML.htm"</definedName>
    <definedName name="HTML_Title" hidden="1">"전체금액"</definedName>
    <definedName name="HYY">[34]공사비내역서!#REF!</definedName>
    <definedName name="H할">[36]FACTOR!#REF!</definedName>
    <definedName name="I" localSheetId="0" hidden="1">{"'용역비'!$A$4:$C$8"}</definedName>
    <definedName name="I" localSheetId="2" hidden="1">{"'용역비'!$A$4:$C$8"}</definedName>
    <definedName name="I" hidden="1">{"'용역비'!$A$4:$C$8"}</definedName>
    <definedName name="II" localSheetId="0" hidden="1">{"'용역비'!$A$4:$C$8"}</definedName>
    <definedName name="II" localSheetId="2" hidden="1">{"'용역비'!$A$4:$C$8"}</definedName>
    <definedName name="II" hidden="1">{"'용역비'!$A$4:$C$8"}</definedName>
    <definedName name="IIII" localSheetId="0" hidden="1">{"'용역비'!$A$4:$C$8"}</definedName>
    <definedName name="IIII" localSheetId="2" hidden="1">{"'용역비'!$A$4:$C$8"}</definedName>
    <definedName name="IIII" hidden="1">{"'용역비'!$A$4:$C$8"}</definedName>
    <definedName name="IIIII" localSheetId="0" hidden="1">{"'용역비'!$A$4:$C$8"}</definedName>
    <definedName name="IIIII" localSheetId="2" hidden="1">{"'용역비'!$A$4:$C$8"}</definedName>
    <definedName name="IIIII" hidden="1">{"'용역비'!$A$4:$C$8"}</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MPORT">[23]FACTOR!#REF!</definedName>
    <definedName name="INSTDKADU">#REF!</definedName>
    <definedName name="INSTNFGP">#REF!</definedName>
    <definedName name="INSTNGL4">#REF!</definedName>
    <definedName name="INSTPGM">#REF!</definedName>
    <definedName name="INSTPIPELINE">#REF!</definedName>
    <definedName name="INSTTANK">#REF!</definedName>
    <definedName name="INSTTYPE">#REF!</definedName>
    <definedName name="IOI" localSheetId="0" hidden="1">{"'용역비'!$A$4:$C$8"}</definedName>
    <definedName name="IOI" localSheetId="2" hidden="1">{"'용역비'!$A$4:$C$8"}</definedName>
    <definedName name="IOI" hidden="1">{"'용역비'!$A$4:$C$8"}</definedName>
    <definedName name="ITEM_1">#REF!</definedName>
    <definedName name="ITEM_10">#REF!</definedName>
    <definedName name="ITEM_11">#REF!</definedName>
    <definedName name="ITEM_12">#REF!</definedName>
    <definedName name="ITEM_13">#REF!</definedName>
    <definedName name="ITEM_14">#REF!</definedName>
    <definedName name="ITEM_15">#REF!</definedName>
    <definedName name="ITEM_16">#REF!</definedName>
    <definedName name="ITEM_17">#REF!</definedName>
    <definedName name="ITEM_18">#REF!</definedName>
    <definedName name="ITEM_19">#REF!</definedName>
    <definedName name="ITEM_2">#REF!</definedName>
    <definedName name="ITEM_20">#REF!</definedName>
    <definedName name="ITEM_21">#REF!</definedName>
    <definedName name="ITEM_22">#REF!</definedName>
    <definedName name="ITEM_23">#REF!</definedName>
    <definedName name="ITEM_24">#REF!</definedName>
    <definedName name="ITEM_25">#REF!</definedName>
    <definedName name="ITEM_26">#REF!</definedName>
    <definedName name="ITEM_27">#REF!</definedName>
    <definedName name="ITEM_28">#REF!</definedName>
    <definedName name="ITEM_29">#REF!</definedName>
    <definedName name="ITEM_3">#REF!</definedName>
    <definedName name="ITEM_4">#REF!</definedName>
    <definedName name="ITEM_5">#REF!</definedName>
    <definedName name="ITEM_6">#REF!</definedName>
    <definedName name="ITEM_7">#REF!</definedName>
    <definedName name="ITEM_8">#REF!</definedName>
    <definedName name="ITEM_9">#REF!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localSheetId="0" hidden="1">{"'용역비'!$A$4:$C$8"}</definedName>
    <definedName name="J" localSheetId="2" hidden="1">{"'용역비'!$A$4:$C$8"}</definedName>
    <definedName name="J" hidden="1">{"'용역비'!$A$4:$C$8"}</definedName>
    <definedName name="JA">#REF!</definedName>
    <definedName name="JA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B">#REF!</definedName>
    <definedName name="JIY">[34]공사비내역서!#REF!</definedName>
    <definedName name="JJJ" hidden="1">{#N/A,#N/A,FALSE,"전력간선"}</definedName>
    <definedName name="JK" hidden="1">{#N/A,#N/A,TRUE,"Y생산";#N/A,#N/A,TRUE,"Y판매";#N/A,#N/A,TRUE,"Y총물량";#N/A,#N/A,TRUE,"Y능력";#N/A,#N/A,TRUE,"YKD"}</definedName>
    <definedName name="JKP"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KS" hidden="1">{#N/A,#N/A,TRUE,"일정"}</definedName>
    <definedName name="JOKM" hidden="1">{#N/A,#N/A,FALSE,"단축1";#N/A,#N/A,FALSE,"단축2";#N/A,#N/A,FALSE,"단축3";#N/A,#N/A,FALSE,"장축";#N/A,#N/A,FALSE,"4WD"}</definedName>
    <definedName name="JQ">#REF!</definedName>
    <definedName name="JUNC_BOX">#REF!</definedName>
    <definedName name="JW">#REF!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NG" hidden="1">{#N/A,#N/A,FALSE,"인원";#N/A,#N/A,FALSE,"비용2";#N/A,#N/A,FALSE,"비용1";#N/A,#N/A,FALSE,"비용";#N/A,#N/A,FALSE,"보증2";#N/A,#N/A,FALSE,"보증1";#N/A,#N/A,FALSE,"보증";#N/A,#N/A,FALSE,"손익1";#N/A,#N/A,FALSE,"손익";#N/A,#N/A,FALSE,"부서별매출";#N/A,#N/A,FALSE,"매출"}</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I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K">#REF!</definedName>
    <definedName name="KKK" localSheetId="2" hidden="1">'[37]N賃率-職'!$I$5:$I$30</definedName>
    <definedName name="kkk">'[12]98비정기소모'!#REF!</definedName>
    <definedName name="KKKK" hidden="1">{#N/A,#N/A,FALSE,"단축1";#N/A,#N/A,FALSE,"단축2";#N/A,#N/A,FALSE,"단축3";#N/A,#N/A,FALSE,"장축";#N/A,#N/A,FALSE,"4WD"}</definedName>
    <definedName name="kmc매출" hidden="1">{#N/A,#N/A,FALSE,"ROW DATA"}</definedName>
    <definedName name="KMC매출1" hidden="1">{#N/A,#N/A,FALSE,"ROW DATA"}</definedName>
    <definedName name="KQQ">'[12]98비정기소모'!#REF!</definedName>
    <definedName name="KRR">'[12]98비정기소모'!#REF!</definedName>
    <definedName name="KTA">'[24]간접비내역-1'!#REF!</definedName>
    <definedName name="KTB">'[24]간접비내역-1'!#REF!</definedName>
    <definedName name="ktf" hidden="1">#REF!</definedName>
    <definedName name="KTX">'[24]간접비내역-1'!#REF!</definedName>
    <definedName name="kty" hidden="1">#REF!</definedName>
    <definedName name="KU" hidden="1">{#N/A,#N/A,TRUE,"Y생산";#N/A,#N/A,TRUE,"Y판매";#N/A,#N/A,TRUE,"Y총물량";#N/A,#N/A,TRUE,"Y능력";#N/A,#N/A,TRUE,"YKD"}</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ABOR">[25]Sheet1!$B$3</definedName>
    <definedName name="LEVEL_2_1_HEXENE_PG.1">'[19]Summary Sheets'!$W$382:$AG$416</definedName>
    <definedName name="LEVEL_2_1_HEXENE_PG.2">'[19]Summary Sheets'!$W$420:$AG$454</definedName>
    <definedName name="LEVEL_2_1_HEXENE_PG.3">'[19]Summary Sheets'!$W$458:$AG$492</definedName>
    <definedName name="LEVEL_2_1_HEXENE_PG.4">'[19]Summary Sheets'!$W$496:$AG$530</definedName>
    <definedName name="LEVEL_2_1_HEXENE_PG_5">'[19]Summary Sheets'!$W$534:$AG$568</definedName>
    <definedName name="LEVEL_2_DKADU_PG.1">'[26]ITB COST'!$W$2:$AG$42</definedName>
    <definedName name="LEVEL_2_DKADU_PG.2">'[26]ITB COST'!$W$46:$AG$86</definedName>
    <definedName name="LEVEL_2_DKADU_PG.3">'[26]ITB COST'!$W$90:$AG$130</definedName>
    <definedName name="LEVEL_2_DKADU_PG.4">'[26]ITB COST'!$W$134:$AG$174</definedName>
    <definedName name="LEVEL_2_DOCK_PG.1">'[19]Summary Sheets'!$W$762:$AG$796</definedName>
    <definedName name="LEVEL_2_DOCK_PG.2">'[19]Summary Sheets'!$W$800:$AG$834</definedName>
    <definedName name="LEVEL_2_DOCK_PG.3">'[19]Summary Sheets'!$W$838:$AG$872</definedName>
    <definedName name="LEVEL_2_DOCK_PG.4">'[19]Summary Sheets'!$W$876:$AG$910</definedName>
    <definedName name="LEVEL_2_DOCK_PG_5">'[19]Summary Sheets'!$W$914:$AG$948</definedName>
    <definedName name="LEVEL_2_ETHYLENE_PG.1">'[19]Summary Sheets'!$W$2:$AG$36</definedName>
    <definedName name="LEVEL_2_ETHYLENE_PG.2">'[19]Summary Sheets'!$W$40:$AG$74</definedName>
    <definedName name="LEVEL_2_ETHYLENE_PG.3">'[19]Summary Sheets'!$W$78:$AG$112</definedName>
    <definedName name="LEVEL_2_ETHYLENE_PG.4">'[19]Summary Sheets'!$W$116:$AG$150</definedName>
    <definedName name="LEVEL_2_ETHYLENE_PG_5">'[19]Summary Sheets'!$W$154:$AG$188</definedName>
    <definedName name="LEVEL_2_NFGP_PG.1">'[26]ITB COST'!$W$398:$AG$438</definedName>
    <definedName name="LEVEL_2_NFGP_PG.2">'[26]ITB COST'!$W$442:$AG$482</definedName>
    <definedName name="LEVEL_2_NFGP_PG.3">'[26]ITB COST'!$W$486:$AG$526</definedName>
    <definedName name="LEVEL_2_NFGP_PG.4">'[26]ITB COST'!$W$530:$AG$570</definedName>
    <definedName name="LEVEL_2_NGL4_PG.1">'[26]ITB COST'!$W$178:$AG$218</definedName>
    <definedName name="LEVEL_2_NGL4_PG.2">'[26]ITB COST'!$W$222:$AG$262</definedName>
    <definedName name="LEVEL_2_NGL4_PG.3">'[26]ITB COST'!$W$266:$AG$306</definedName>
    <definedName name="LEVEL_2_NGL4_PG.4">'[26]ITB COST'!$W$310:$AG$350</definedName>
    <definedName name="LEVEL_2_OFFSITES_PG.1">'[19]Summary Sheets'!$W$572:$AG$606</definedName>
    <definedName name="LEVEL_2_OFFSITES_PG.2">'[19]Summary Sheets'!$W$610:$AG$644</definedName>
    <definedName name="LEVEL_2_OFFSITES_PG.3">'[19]Summary Sheets'!$W$648:$AG$682</definedName>
    <definedName name="LEVEL_2_OFFSITES_PG.4">'[19]Summary Sheets'!$W$686:$AG$720</definedName>
    <definedName name="LEVEL_2_OFFSITES_PG_5">'[19]Summary Sheets'!$W$724:$AG$758</definedName>
    <definedName name="LEVEL_2_PGM_PG.1">'[26]ITB COST'!$W$881:$AG$922</definedName>
    <definedName name="LEVEL_2_PGM_PG.2">'[26]ITB COST'!$W$925:$AG$966</definedName>
    <definedName name="LEVEL_2_PIPELINE_PG.1">'[26]ITB COST'!$W$574:$AG$614</definedName>
    <definedName name="LEVEL_2_PIPELINE_PG.2">'[26]ITB COST'!$W$618:$AG$658</definedName>
    <definedName name="LEVEL_2_PIPELINE_PG.3">'[26]ITB COST'!$W$662:$AG$702</definedName>
    <definedName name="LEVEL_2_POLYETHYLENE_PG.1">'[19]Summary Sheets'!$W$192:$AG$226</definedName>
    <definedName name="LEVEL_2_POLYETHYLENE_PG.2">'[19]Summary Sheets'!$W$230:$AG$264</definedName>
    <definedName name="LEVEL_2_POLYETHYLENE_PG.3">'[19]Summary Sheets'!$W$268:$AG$302</definedName>
    <definedName name="LEVEL_2_POLYETHYLENE_PG.4">'[19]Summary Sheets'!$W$306:$AG$340</definedName>
    <definedName name="LEVEL_2_POLYETHYLENE_PG_5">'[19]Summary Sheets'!$W$344:$AG$378</definedName>
    <definedName name="LEVEL_2_TANK_PG.1">'[26]ITB COST'!$W$706:$AG$746</definedName>
    <definedName name="LEVEL_2_TANK_PG.2">'[26]ITB COST'!$W$750:$AG$790</definedName>
    <definedName name="LEVEL_2_TANK_PG.3">'[26]ITB COST'!$W$794:$AG$834</definedName>
    <definedName name="LEVEL_2_TANK_PG.4">'[26]ITB COST'!$W$838:$AG$878</definedName>
    <definedName name="LEVEL_3_1_HEXENE_EQUIP_PG_1">'[19]Summary Sheets'!$AH$382:$AR$416</definedName>
    <definedName name="LEVEL_3_1_HEXENE_EQUIP_PG_2">'[19]Summary Sheets'!$AH$420:$AR$454</definedName>
    <definedName name="LEVEL_3_1_HEXENE_EQUIP_PG_3">'[19]Summary Sheets'!$AH$458:$AR$492</definedName>
    <definedName name="LEVEL_3_DKADU_EQUIP_PG_1">'[26]ITB COST'!$AH$2:$AR$42</definedName>
    <definedName name="LEVEL_3_DKADU_EQUIP_PG_2">'[26]ITB COST'!$AH$46:$AR$86</definedName>
    <definedName name="LEVEL_3_DKADU_EQUIP_PG_3">'[26]ITB COST'!$AH$90:$AR$130</definedName>
    <definedName name="LEVEL_3_DOCK_EQUIP_PG_1">'[19]Summary Sheets'!$AH$762:$AR$796</definedName>
    <definedName name="LEVEL_3_DOCK_EQUIP_PG_2">'[19]Summary Sheets'!$AH$800:$AR$834</definedName>
    <definedName name="LEVEL_3_DOCK_EQUIP_PG_3">'[19]Summary Sheets'!$AH$838:$AR$872</definedName>
    <definedName name="LEVEL_3_ETHYLENE_EQUIP_PG_1">'[19]Summary Sheets'!$AH$2:$AR$36</definedName>
    <definedName name="LEVEL_3_ETHYLENE_EQUIP_PG_2">'[19]Summary Sheets'!$AH$40:$AR$74</definedName>
    <definedName name="LEVEL_3_ETHYLENE_EQUIP_PG_3">'[19]Summary Sheets'!$AH$78:$AR$112</definedName>
    <definedName name="LEVEL_3_NFGP_EQUIP_PG_1">'[26]ITB COST'!$AH$398:$AR$438</definedName>
    <definedName name="LEVEL_3_NFGP_EQUIP_PG_2">'[26]ITB COST'!$AH$442:$AR$482</definedName>
    <definedName name="LEVEL_3_NFGP_EQUIP_PG_3">'[26]ITB COST'!$AH$486:$AR$526</definedName>
    <definedName name="LEVEL_3_NGL4_EQUIP_PG_1">'[26]ITB COST'!$AH$178:$AR$218</definedName>
    <definedName name="LEVEL_3_NGL4_EQUIP_PG_2">'[26]ITB COST'!$AH$222:$AR$262</definedName>
    <definedName name="LEVEL_3_NGL4_EQUIP_PG_3">'[26]ITB COST'!$AH$266:$AR$306</definedName>
    <definedName name="LEVEL_3_NGL4_EQUIP_PG_4">'[26]ITB COST'!$AH$310:$AR$350</definedName>
    <definedName name="LEVEL_3_NGL4_EQUIP_PG_5">'[26]ITB COST'!$AH$354:$AR$394</definedName>
    <definedName name="LEVEL_3_OFFSITES_EQUIP_PG_1">'[19]Summary Sheets'!$AH$572:$AR$606</definedName>
    <definedName name="LEVEL_3_OFFSITES_EQUIP_PG_2">'[19]Summary Sheets'!$AH$610:$AR$644</definedName>
    <definedName name="LEVEL_3_OFFSITES_EQUIP_PG_3">'[19]Summary Sheets'!$AH$648:$AR$682</definedName>
    <definedName name="LEVEL_3_PIPELINE_EQUIP_PG_1">'[26]ITB COST'!$AH$574:$AR$614</definedName>
    <definedName name="LEVEL_3_POLYETHYLENE_EQUIP_PG_1">'[19]Summary Sheets'!$AH$192:$AR$226</definedName>
    <definedName name="LEVEL_3_POLYETHYLENE_EQUIP_PG_2">'[19]Summary Sheets'!$AH$230:$AR$264</definedName>
    <definedName name="LEVEL_3_POLYETHYLENE_EQUIP_PG_3">'[19]Summary Sheets'!$AH$268:$AR$302</definedName>
    <definedName name="LEVEL_3_TANK_EQUIP_PG_1">'[26]ITB COST'!$AH$706:$AR$746</definedName>
    <definedName name="li" localSheetId="0" hidden="1">{"'용역비'!$A$4:$C$8"}</definedName>
    <definedName name="li" localSheetId="2" hidden="1">{"'용역비'!$A$4:$C$8"}</definedName>
    <definedName name="li" hidden="1">{"'용역비'!$A$4:$C$8"}</definedName>
    <definedName name="LIGNO">#REF!</definedName>
    <definedName name="LINE1">#REF!</definedName>
    <definedName name="LINE검토2" hidden="1">{#N/A,#N/A,TRUE,"Y생산";#N/A,#N/A,TRUE,"Y판매";#N/A,#N/A,TRUE,"Y총물량";#N/A,#N/A,TRUE,"Y능력";#N/A,#N/A,TRUE,"YKD"}</definedName>
    <definedName name="LIS_F">#REF!</definedName>
    <definedName name="LISFP">#REF!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ll"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lll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OP_F">#REF!</definedName>
    <definedName name="lps" hidden="1">{#N/A,#N/A,FALSE,"단축1";#N/A,#N/A,FALSE,"단축2";#N/A,#N/A,FALSE,"단축3";#N/A,#N/A,FALSE,"장축";#N/A,#N/A,FALSE,"4WD"}</definedName>
    <definedName name="Macro1">[0]!Macro1</definedName>
    <definedName name="Macro2">[0]!Macro2</definedName>
    <definedName name="Macro3">[0]!Macro3</definedName>
    <definedName name="MACRO33">[0]!MACRO33</definedName>
    <definedName name="Macro4">[0]!Macro4</definedName>
    <definedName name="MANPOWER">'[38]할증 '!#REF!</definedName>
    <definedName name="MASTER" hidden="1">{#N/A,#N/A,TRUE,"일정"}</definedName>
    <definedName name="MATERIAL">[29]내역서!#REF!</definedName>
    <definedName name="MD">'[2]할증 '!$B$8</definedName>
    <definedName name="MD_1">'[2]할증 '!$D$8</definedName>
    <definedName name="MD2_2">'[2]할증 '!$D$9</definedName>
    <definedName name="MENU1">#REF!</definedName>
    <definedName name="MENU2">#REF!</definedName>
    <definedName name="mm">#REF!</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eedle">#REF!</definedName>
    <definedName name="NET">[25]Sheet1!$B$1</definedName>
    <definedName name="NEW">ROUND([3]!NEW*0.0254,3)</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IPP">#REF!</definedName>
    <definedName name="nred">#REF!</definedName>
    <definedName name="nreo">#REF!</definedName>
    <definedName name="NTR" hidden="1">{#N/A,#N/A,FALSE,"단축1";#N/A,#N/A,FALSE,"단축2";#N/A,#N/A,FALSE,"단축3";#N/A,#N/A,FALSE,"장축";#N/A,#N/A,FALSE,"4WD"}</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HP" hidden="1">{#N/A,#N/A,FALSE,"인원";#N/A,#N/A,FALSE,"비용2";#N/A,#N/A,FALSE,"비용1";#N/A,#N/A,FALSE,"비용";#N/A,#N/A,FALSE,"보증2";#N/A,#N/A,FALSE,"보증1";#N/A,#N/A,FALSE,"보증";#N/A,#N/A,FALSE,"손익1";#N/A,#N/A,FALSE,"손익";#N/A,#N/A,FALSE,"부서별매출";#N/A,#N/A,FALSE,"매출"}</definedName>
    <definedName name="OIL" localSheetId="0" hidden="1">{"'용역비'!$A$4:$C$8"}</definedName>
    <definedName name="OIL" localSheetId="2" hidden="1">{"'용역비'!$A$4:$C$8"}</definedName>
    <definedName name="OIL" hidden="1">{"'용역비'!$A$4:$C$8"}</definedName>
    <definedName name="old예산" hidden="1">{#N/A,#N/A,TRUE,"손익보고"}</definedName>
    <definedName name="OTHERS">'[38]할증 '!#REF!</definedName>
    <definedName name="Out_of_Scope">#REF!</definedName>
    <definedName name="PACKAGE3" hidden="1">{#N/A,#N/A,FALSE,"단축1";#N/A,#N/A,FALSE,"단축2";#N/A,#N/A,FALSE,"단축3";#N/A,#N/A,FALSE,"장축";#N/A,#N/A,FALSE,"4WD"}</definedName>
    <definedName name="Pd">[28]FACTOR!$G$21</definedName>
    <definedName name="per" hidden="1">{#N/A,#N/A,FALSE,"인원";#N/A,#N/A,FALSE,"비용2";#N/A,#N/A,FALSE,"비용1";#N/A,#N/A,FALSE,"비용";#N/A,#N/A,FALSE,"보증2";#N/A,#N/A,FALSE,"보증1";#N/A,#N/A,FALSE,"보증";#N/A,#N/A,FALSE,"손익1";#N/A,#N/A,FALSE,"손익";#N/A,#N/A,FALSE,"부서별매출";#N/A,#N/A,FALSE,"매출"}</definedName>
    <definedName name="Period_Const">#REF!</definedName>
    <definedName name="PH">[0]!PH</definedName>
    <definedName name="pi">ROUND([3]!pi*0.0254,3)</definedName>
    <definedName name="picture1">#REF!</definedName>
    <definedName name="PID_F">#REF!</definedName>
    <definedName name="PIPE">#REF!</definedName>
    <definedName name="PIPEDATA">'[39]Piping Design Data'!$B$3:$E$1823</definedName>
    <definedName name="PLANT_JE_GWAN_GONG">#REF!</definedName>
    <definedName name="PLIGNE">#REF!</definedName>
    <definedName name="PLUG">#REF!</definedName>
    <definedName name="PO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und">#REF!</definedName>
    <definedName name="PPK" hidden="1">{#N/A,#N/A,FALSE,"96 3월물량표";#N/A,#N/A,FALSE,"96 4월물량표";#N/A,#N/A,FALSE,"96 5월물량표"}</definedName>
    <definedName name="price">[22]단가조사서!$A$11:$L$374</definedName>
    <definedName name="_xlnm.Print_Area" localSheetId="0">갑지!$A$1:$K$44</definedName>
    <definedName name="_xlnm.Print_Area" localSheetId="1">공사원가내역서!$A$1:$H$36</definedName>
    <definedName name="_xlnm.Print_Area" localSheetId="3">'실행예산서 갑지'!$A$1:$W$32</definedName>
    <definedName name="_xlnm.Print_Area" localSheetId="2">을지!$A$1:$M$109</definedName>
    <definedName name="_xlnm.Print_Area">#REF!</definedName>
    <definedName name="PRINT_AREA_MI">#REF!</definedName>
    <definedName name="PRINT_AREA_MI1">#REF!</definedName>
    <definedName name="PRINT_TITLE">#REF!</definedName>
    <definedName name="_xlnm.Print_Titles" localSheetId="2">을지!$1:$4</definedName>
    <definedName name="_xlnm.Print_Titles">#REF!</definedName>
    <definedName name="PRINT_TITLES_MI">#REF!</definedName>
    <definedName name="PRINT_TITLES_MI1">#REF!</definedName>
    <definedName name="PrintArea">#REF!</definedName>
    <definedName name="PROJECT_TOTAL">'[19]Summary Sheets'!$A$2:$K$36</definedName>
    <definedName name="psychro_hdbrh">[0]!psychro_hdbrh</definedName>
    <definedName name="pvc">[28]FACTOR!$E$21</definedName>
    <definedName name="P할">[23]FACTOR!#REF!</definedName>
    <definedName name="Q" localSheetId="0" hidden="1">{"'용역비'!$A$4:$C$8"}</definedName>
    <definedName name="Q" localSheetId="2" hidden="1">{"'용역비'!$A$4:$C$8"}</definedName>
    <definedName name="Q" hidden="1">{"'용역비'!$A$4:$C$8"}</definedName>
    <definedName name="q1u">#REF!</definedName>
    <definedName name="q234562456" localSheetId="0" hidden="1">{"'용역비'!$A$4:$C$8"}</definedName>
    <definedName name="q234562456" localSheetId="2" hidden="1">{"'용역비'!$A$4:$C$8"}</definedName>
    <definedName name="q234562456" hidden="1">{"'용역비'!$A$4:$C$8"}</definedName>
    <definedName name="QAAAA">[0]!QAAAA</definedName>
    <definedName name="qkqh1" hidden="1">{#N/A,#N/A,FALSE,"명세표"}</definedName>
    <definedName name="qnthr" hidden="1">{#N/A,#N/A,FALSE,"월공사비집계표양식 (7)";#N/A,#N/A,FALSE,"월공사비집계표양식 (7)"}</definedName>
    <definedName name="qor" hidden="1">[40]실행철강하도!$A$1:$A$4</definedName>
    <definedName name="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{#N/A,#N/A,FALSE,"단가표지"}</definedName>
    <definedName name="QW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yk" localSheetId="0" hidden="1">{"'용역비'!$A$4:$C$8"}</definedName>
    <definedName name="qyk" localSheetId="2" hidden="1">{"'용역비'!$A$4:$C$8"}</definedName>
    <definedName name="qyk" hidden="1">{"'용역비'!$A$4:$C$8"}</definedName>
    <definedName name="R_COVER" hidden="1">{#N/A,#N/A,FALSE,"단축1";#N/A,#N/A,FALSE,"단축2";#N/A,#N/A,FALSE,"단축3";#N/A,#N/A,FALSE,"장축";#N/A,#N/A,FALSE,"4WD"}</definedName>
    <definedName name="RE_SIZE">#REF!</definedName>
    <definedName name="_xlnm.Recorder">#REF!</definedName>
    <definedName name="RED">#REF!</definedName>
    <definedName name="RESISTOR" hidden="1">{#N/A,#N/A,FALSE,"단축1";#N/A,#N/A,FALSE,"단축2";#N/A,#N/A,FALSE,"단축3";#N/A,#N/A,FALSE,"장축";#N/A,#N/A,FALSE,"4WD"}</definedName>
    <definedName name="REW" hidden="1">{#N/A,#N/A,FALSE,"단축1";#N/A,#N/A,FALSE,"단축2";#N/A,#N/A,FALSE,"단축3";#N/A,#N/A,FALSE,"장축";#N/A,#N/A,FALSE,"4WD"}</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DG" hidden="1">{#N/A,#N/A,FALSE,"단축1";#N/A,#N/A,FALSE,"단축2";#N/A,#N/A,FALSE,"단축3";#N/A,#N/A,FALSE,"장축";#N/A,#N/A,FALSE,"4WD"}</definedName>
    <definedName name="RH" localSheetId="0" hidden="1">{"'용역비'!$A$4:$C$8"}</definedName>
    <definedName name="RH" localSheetId="2" hidden="1">{"'용역비'!$A$4:$C$8"}</definedName>
    <definedName name="RH" hidden="1">{"'용역비'!$A$4:$C$8"}</definedName>
    <definedName name="rkdkd" hidden="1">{#N/A,#N/A,FALSE,"2~8번"}</definedName>
    <definedName name="rkrjfk" hidden="1">{#N/A,#N/A,FALSE,"단축1";#N/A,#N/A,FALSE,"단축2";#N/A,#N/A,FALSE,"단축3";#N/A,#N/A,FALSE,"장축";#N/A,#N/A,FALSE,"4WD"}</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RHKWJD1" hidden="1">{#N/A,#N/A,FALSE,"단축1";#N/A,#N/A,FALSE,"단축2";#N/A,#N/A,FALSE,"단축3";#N/A,#N/A,FALSE,"장축";#N/A,#N/A,FALSE,"4WD"}</definedName>
    <definedName name="Royalty" hidden="1">{#N/A,#N/A,FALSE,"Sheet1"}</definedName>
    <definedName name="RRR">'[12]98비정기소모'!#REF!</definedName>
    <definedName name="RT" localSheetId="0" hidden="1">{"'용역비'!$A$4:$C$8"}</definedName>
    <definedName name="RT" localSheetId="2" hidden="1">{"'용역비'!$A$4:$C$8"}</definedName>
    <definedName name="RT" hidden="1">{"'용역비'!$A$4:$C$8"}</definedName>
    <definedName name="RTGH" localSheetId="0" hidden="1">{"'용역비'!$A$4:$C$8"}</definedName>
    <definedName name="RTGH" localSheetId="2" hidden="1">{"'용역비'!$A$4:$C$8"}</definedName>
    <definedName name="RTGH" hidden="1">{"'용역비'!$A$4:$C$8"}</definedName>
    <definedName name="rth" localSheetId="0" hidden="1">{"'용역비'!$A$4:$C$8"}</definedName>
    <definedName name="rth" localSheetId="2" hidden="1">{"'용역비'!$A$4:$C$8"}</definedName>
    <definedName name="rth" hidden="1">{"'용역비'!$A$4:$C$8"}</definedName>
    <definedName name="rty" localSheetId="0" hidden="1">{"'용역비'!$A$4:$C$8"}</definedName>
    <definedName name="rty" localSheetId="2" hidden="1">{"'용역비'!$A$4:$C$8"}</definedName>
    <definedName name="rty" hidden="1">{"'용역비'!$A$4:$C$8"}</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R" localSheetId="0" hidden="1">{#N/A,#N/A,FALSE,"제목"}</definedName>
    <definedName name="RWER" hidden="1">{#N/A,#N/A,FALSE,"제목"}</definedName>
    <definedName name="RYUIRYU" localSheetId="0" hidden="1">{"'용역비'!$A$4:$C$8"}</definedName>
    <definedName name="RYUIRYU" localSheetId="2" hidden="1">{"'용역비'!$A$4:$C$8"}</definedName>
    <definedName name="RYUIRYU" hidden="1">{"'용역비'!$A$4:$C$8"}</definedName>
    <definedName name="ryuk" localSheetId="0" hidden="1">{"'용역비'!$A$4:$C$8"}</definedName>
    <definedName name="ryuk" localSheetId="2" hidden="1">{"'용역비'!$A$4:$C$8"}</definedName>
    <definedName name="ryuk" hidden="1">{"'용역비'!$A$4:$C$8"}</definedName>
    <definedName name="S">[28]FACTOR!$D$21</definedName>
    <definedName name="SAFDSFSDFSDFSDF">[0]!SAFDSFSDFSDFSDF</definedName>
    <definedName name="SALE">[23]FACTOR!#REF!</definedName>
    <definedName name="sb">ROUND([3]!sb*0.0254,3)</definedName>
    <definedName name="SD" localSheetId="2" hidden="1">{"'용역비'!$A$4:$C$8"}</definedName>
    <definedName name="SD">[28]FACTOR!$F$21</definedName>
    <definedName name="SDAFDAS" hidden="1">{#N/A,#N/A,FALSE,"단축1";#N/A,#N/A,FALSE,"단축2";#N/A,#N/A,FALSE,"단축3";#N/A,#N/A,FALSE,"장축";#N/A,#N/A,FALSE,"4WD"}</definedName>
    <definedName name="SDAS" hidden="1">{"'Firr(선)'!$AS$1:$AY$62","'Firr(사)'!$AS$1:$AY$62","'Firr(회)'!$AS$1:$AY$62","'Firr(선)'!$L$1:$V$62","'Firr(사)'!$L$1:$V$62","'Firr(회)'!$L$1:$V$62"}</definedName>
    <definedName name="sdd" hidden="1">{#N/A,#N/A,FALSE,"전력간선"}</definedName>
    <definedName name="SDDDDDD">[0]!SDDDDDD</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SDF">[0]!SDFSDF</definedName>
    <definedName name="SDFSDF2">[0]!SDFSDF2</definedName>
    <definedName name="SDFSDFDSF">[0]!SDFSDFDSF</definedName>
    <definedName name="sdg" hidden="1">#REF!</definedName>
    <definedName name="sdryhj" localSheetId="0" hidden="1">{"'용역비'!$A$4:$C$8"}</definedName>
    <definedName name="sdryhj" localSheetId="2" hidden="1">{"'용역비'!$A$4:$C$8"}</definedName>
    <definedName name="sdryhj" hidden="1">{"'용역비'!$A$4:$C$8"}</definedName>
    <definedName name="sdsds" localSheetId="0" hidden="1">#REF!</definedName>
    <definedName name="sdsds" localSheetId="2" hidden="1">#REF!</definedName>
    <definedName name="sdsds" hidden="1">#REF!</definedName>
    <definedName name="SDSDSD" hidden="1">{#N/A,#N/A,FALSE,"단축1";#N/A,#N/A,FALSE,"단축2";#N/A,#N/A,FALSE,"단축3";#N/A,#N/A,FALSE,"장축";#N/A,#N/A,FALSE,"4WD"}</definedName>
    <definedName name="SE" localSheetId="0" hidden="1">{"'용역비'!$A$4:$C$8"}</definedName>
    <definedName name="SE" localSheetId="2" hidden="1">{"'용역비'!$A$4:$C$8"}</definedName>
    <definedName name="SE" hidden="1">{"'용역비'!$A$4:$C$8"}</definedName>
    <definedName name="seZ" hidden="1">{#N/A,#N/A,FALSE,"월공사비집계표양식 (7)";#N/A,#N/A,FALSE,"월공사비집계표양식 (7)"}</definedName>
    <definedName name="SFC" hidden="1">{#N/A,#N/A,FALSE,"단축1";#N/A,#N/A,FALSE,"단축2";#N/A,#N/A,FALSE,"단축3";#N/A,#N/A,FALSE,"장축";#N/A,#N/A,FALSE,"4WD"}</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 localSheetId="0" hidden="1">{#N/A,#N/A,FALSE,"제목"}</definedName>
    <definedName name="SH" hidden="1">{#N/A,#N/A,FALSE,"제목"}</definedName>
    <definedName name="sheet3">#REF!</definedName>
    <definedName name="SIZE">#REF!</definedName>
    <definedName name="SIZE2">#REF!</definedName>
    <definedName name="SIZEC">#REF!</definedName>
    <definedName name="SMLTOOLS">#REF!</definedName>
    <definedName name="SOL">#REF!</definedName>
    <definedName name="SORT1" hidden="1">#REF!</definedName>
    <definedName name="srth" localSheetId="0" hidden="1">{"'용역비'!$A$4:$C$8"}</definedName>
    <definedName name="srth" localSheetId="2" hidden="1">{"'용역비'!$A$4:$C$8"}</definedName>
    <definedName name="srth" hidden="1">{"'용역비'!$A$4:$C$8"}</definedName>
    <definedName name="ss">ROUND([3]!ss*0.0254,3)</definedName>
    <definedName name="SSS">#REF!</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[0]!SSSSSS</definedName>
    <definedName name="steam_trap">#REF!</definedName>
    <definedName name="STI">#REF!</definedName>
    <definedName name="Story_Total">#REF!</definedName>
    <definedName name="Struct_Type">#REF!</definedName>
    <definedName name="STS" localSheetId="0" hidden="1">{"'용역비'!$A$4:$C$8"}</definedName>
    <definedName name="STS" localSheetId="2" hidden="1">{"'용역비'!$A$4:$C$8"}</definedName>
    <definedName name="STS" hidden="1">{"'용역비'!$A$4:$C$8"}</definedName>
    <definedName name="SUB">#REF!</definedName>
    <definedName name="SUM">#REF!</definedName>
    <definedName name="SUMARY">#REF!</definedName>
    <definedName name="SUMMARY">#REF!</definedName>
    <definedName name="SU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 localSheetId="0" hidden="1">{"'용역비'!$A$4:$C$8"}</definedName>
    <definedName name="T" localSheetId="2" hidden="1">{"'용역비'!$A$4:$C$8"}</definedName>
    <definedName name="T" hidden="1">{"'용역비'!$A$4:$C$8"}</definedName>
    <definedName name="T6AY10">[41]견적서!#REF!</definedName>
    <definedName name="TAG_F">#REF!</definedName>
    <definedName name="TEE">#REF!</definedName>
    <definedName name="temp">#REF!</definedName>
    <definedName name="temp_strainer">#REF!</definedName>
    <definedName name="temp2">#REF!</definedName>
    <definedName name="TEYJ" localSheetId="0" hidden="1">{"'용역비'!$A$4:$C$8"}</definedName>
    <definedName name="TEYJ" localSheetId="2" hidden="1">{"'용역비'!$A$4:$C$8"}</definedName>
    <definedName name="TEYJ" hidden="1">{"'용역비'!$A$4:$C$8"}</definedName>
    <definedName name="TFUI" localSheetId="0" hidden="1">{"'용역비'!$A$4:$C$8"}</definedName>
    <definedName name="TFUI" localSheetId="2" hidden="1">{"'용역비'!$A$4:$C$8"}</definedName>
    <definedName name="TFUI" hidden="1">{"'용역비'!$A$4:$C$8"}</definedName>
    <definedName name="THEME2" hidden="1">{#N/A,#N/A,FALSE,"96 3월물량표";#N/A,#N/A,FALSE,"96 4월물량표";#N/A,#N/A,FALSE,"96 5월물량표"}</definedName>
    <definedName name="THK">#REF!</definedName>
    <definedName name="three" hidden="1">{"midlpg1",#N/A,FALSE,"MIDEAST LPG";"midlpg2",#N/A,FALSE,"MIDEAST LPG"}</definedName>
    <definedName name="time" hidden="1">{"japcurrent1",#N/A,FALSE,"JAPAN PRODUCTS";"japcurrent2",#N/A,FALSE,"JAPAN PRODUCTS"}</definedName>
    <definedName name="TLS" hidden="1">{#N/A,#N/A,FALSE,"단축1";#N/A,#N/A,FALSE,"단축2";#N/A,#N/A,FALSE,"단축3";#N/A,#N/A,FALSE,"장축";#N/A,#N/A,FALSE,"4WD"}</definedName>
    <definedName name="to">#REF!</definedName>
    <definedName name="TOL">#REF!</definedName>
    <definedName name="TOPLISF">#REF!</definedName>
    <definedName name="TOTAL">#REF!</definedName>
    <definedName name="Total_Floor_Area">#REF!</definedName>
    <definedName name="tower">#REF!</definedName>
    <definedName name="tr" hidden="1">#REF!</definedName>
    <definedName name="TT">#REF!</definedName>
    <definedName name="TTA">'[33]공사비 내역 (가)'!$AE$41</definedName>
    <definedName name="TTB">'[33]공사비 내역 (가)'!$AF$41</definedName>
    <definedName name="TTX">'[33]공사비 내역 (가)'!$AD$41</definedName>
    <definedName name="tu" localSheetId="0" hidden="1">{"'용역비'!$A$4:$C$8"}</definedName>
    <definedName name="tu" localSheetId="2" hidden="1">{"'용역비'!$A$4:$C$8"}</definedName>
    <definedName name="tu" hidden="1">{"'용역비'!$A$4:$C$8"}</definedName>
    <definedName name="tuilol" localSheetId="0" hidden="1">{"'용역비'!$A$4:$C$8"}</definedName>
    <definedName name="tuilol" localSheetId="2" hidden="1">{"'용역비'!$A$4:$C$8"}</definedName>
    <definedName name="tuilol" hidden="1">{"'용역비'!$A$4:$C$8"}</definedName>
    <definedName name="TUIO" localSheetId="0" hidden="1">{"'용역비'!$A$4:$C$8"}</definedName>
    <definedName name="TUIO" localSheetId="2" hidden="1">{"'용역비'!$A$4:$C$8"}</definedName>
    <definedName name="TUIO" hidden="1">{"'용역비'!$A$4:$C$8"}</definedName>
    <definedName name="TUIO.L" localSheetId="0" hidden="1">{"'용역비'!$A$4:$C$8"}</definedName>
    <definedName name="TUIO.L" localSheetId="2" hidden="1">{"'용역비'!$A$4:$C$8"}</definedName>
    <definedName name="TUIO.L" hidden="1">{"'용역비'!$A$4:$C$8"}</definedName>
    <definedName name="TUIOTUI" localSheetId="0" hidden="1">{"'용역비'!$A$4:$C$8"}</definedName>
    <definedName name="TUIOTUI" localSheetId="2" hidden="1">{"'용역비'!$A$4:$C$8"}</definedName>
    <definedName name="TUIOTUI" hidden="1">{"'용역비'!$A$4:$C$8"}</definedName>
    <definedName name="two" hidden="1">{"japlpg1",#N/A,FALSE,"JAPAN LPG ";"japllpg2",#N/A,FALSE,"JAPAN LPG "}</definedName>
    <definedName name="TYJ" localSheetId="0" hidden="1">{"'용역비'!$A$4:$C$8"}</definedName>
    <definedName name="TYJ" localSheetId="2" hidden="1">{"'용역비'!$A$4:$C$8"}</definedName>
    <definedName name="TYJ" hidden="1">{"'용역비'!$A$4:$C$8"}</definedName>
    <definedName name="tyje" localSheetId="0" hidden="1">{"'용역비'!$A$4:$C$8"}</definedName>
    <definedName name="tyje" localSheetId="2" hidden="1">{"'용역비'!$A$4:$C$8"}</definedName>
    <definedName name="tyje" hidden="1">{"'용역비'!$A$4:$C$8"}</definedName>
    <definedName name="tyjet" localSheetId="0" hidden="1">{"'용역비'!$A$4:$C$8"}</definedName>
    <definedName name="tyjet" localSheetId="2" hidden="1">{"'용역비'!$A$4:$C$8"}</definedName>
    <definedName name="tyjet" hidden="1">{"'용역비'!$A$4:$C$8"}</definedName>
    <definedName name="TYPE_1">#REF!</definedName>
    <definedName name="TYPE_2">#REF!</definedName>
    <definedName name="TYPE_3">#REF!</definedName>
    <definedName name="TYPE_4">#REF!</definedName>
    <definedName name="tyu" localSheetId="0" hidden="1">{"'용역비'!$A$4:$C$8"}</definedName>
    <definedName name="tyu" localSheetId="2" hidden="1">{"'용역비'!$A$4:$C$8"}</definedName>
    <definedName name="tyu" hidden="1">{"'용역비'!$A$4:$C$8"}</definedName>
    <definedName name="U" localSheetId="2" hidden="1">{"'용역비'!$A$4:$C$8"}</definedName>
    <definedName name="U">'[33]공사비 내역 (가)'!$AE$13</definedName>
    <definedName name="UFF">[42]지수!$E$12</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lo" localSheetId="0" hidden="1">{"'용역비'!$A$4:$C$8"}</definedName>
    <definedName name="ulo" localSheetId="2" hidden="1">{"'용역비'!$A$4:$C$8"}</definedName>
    <definedName name="ulo" hidden="1">{"'용역비'!$A$4:$C$8"}</definedName>
    <definedName name="UMC">#REF!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S">#REF!</definedName>
    <definedName name="UTI" localSheetId="0" hidden="1">{"'용역비'!$A$4:$C$8"}</definedName>
    <definedName name="UTI" localSheetId="2" hidden="1">{"'용역비'!$A$4:$C$8"}</definedName>
    <definedName name="UTI" hidden="1">{"'용역비'!$A$4:$C$8"}</definedName>
    <definedName name="UTIOL" localSheetId="0" hidden="1">{"'용역비'!$A$4:$C$8"}</definedName>
    <definedName name="UTIOL" localSheetId="2" hidden="1">{"'용역비'!$A$4:$C$8"}</definedName>
    <definedName name="UTIOL" hidden="1">{"'용역비'!$A$4:$C$8"}</definedName>
    <definedName name="uu" localSheetId="0" hidden="1">{"'용역비'!$A$4:$C$8"}</definedName>
    <definedName name="uu" localSheetId="2" hidden="1">{"'용역비'!$A$4:$C$8"}</definedName>
    <definedName name="uu" hidden="1">{"'용역비'!$A$4:$C$8"}</definedName>
    <definedName name="VALVE">'[38]할증 '!#REF!</definedName>
    <definedName name="VMB3MCAP">#REF!</definedName>
    <definedName name="VMB3MELBOW">#REF!</definedName>
    <definedName name="VMB3MTEE">#REF!</definedName>
    <definedName name="VMB3MVALVE">#REF!</definedName>
    <definedName name="VMB3RED">#REF!</definedName>
    <definedName name="VMB3SCAP">#REF!</definedName>
    <definedName name="VMB3SELBOW">#REF!</definedName>
    <definedName name="VMB3STEE">#REF!</definedName>
    <definedName name="VMB3SVALVE">#REF!</definedName>
    <definedName name="VMB4MCAP">#REF!</definedName>
    <definedName name="VMB4MELBOW">#REF!</definedName>
    <definedName name="VMB4MTEE">#REF!</definedName>
    <definedName name="VMB4MVALVE">#REF!</definedName>
    <definedName name="VMB4RED">#REF!</definedName>
    <definedName name="VMB4SCAP">#REF!</definedName>
    <definedName name="VMB4SELBOW">#REF!</definedName>
    <definedName name="VMB4STEE">#REF!</definedName>
    <definedName name="VMB4SVALVE">#REF!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ud" hidden="1">{#N/A,#N/A,FALSE,"월공사비집계표양식 (7)";#N/A,#N/A,FALSE,"월공사비집계표양식 (7)"}</definedName>
    <definedName name="vvvvv" hidden="1">{#N/A,#N/A,FALSE,"KMC최종회의(7월) 자료"}</definedName>
    <definedName name="V할">[23]FACTOR!#REF!</definedName>
    <definedName name="WASDASD">[0]!WASDASD</definedName>
    <definedName name="W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RWE" hidden="1">{#N/A,#N/A,FALSE,"단축1";#N/A,#N/A,FALSE,"단축2";#N/A,#N/A,FALSE,"단축3";#N/A,#N/A,FALSE,"장축";#N/A,#N/A,FALSE,"4WD"}</definedName>
    <definedName name="W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V"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LQ" hidden="1">{#N/A,#N/A,FALSE,"명세표"}</definedName>
    <definedName name="wm.조골재1" hidden="1">{#N/A,#N/A,FALSE,"조골재"}</definedName>
    <definedName name="WOL">#REF!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 hidden="1">{#N/A,#N/A,FALSE,"단축1";#N/A,#N/A,FALSE,"단축2";#N/A,#N/A,FALSE,"단축3";#N/A,#N/A,FALSE,"장축";#N/A,#N/A,FALSE,"4WD"}</definedName>
    <definedName name="wrn.111." localSheetId="0" hidden="1">{#N/A,#N/A,FALSE,"제목"}</definedName>
    <definedName name="wrn.111." hidden="1">{#N/A,#N/A,FALSE,"제목"}</definedName>
    <definedName name="wrn.2번." hidden="1">{#N/A,#N/A,FALSE,"2~8번"}</definedName>
    <definedName name="wrn.345." hidden="1">{#N/A,#N/A,FALSE,"96 3월물량표";#N/A,#N/A,FALSE,"96 4월물량표";#N/A,#N/A,FALSE,"96 5월물량표"}</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rude." hidden="1">{"current1",#N/A,FALSE,"CRUDE";"current2",#N/A,FALSE,"CRUDE";"CONSTANT",#N/A,FALSE,"CRUDE"}</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natgastab." hidden="1">{"natgas1",#N/A,FALSE,"u.s. Natural Gas";"natgas2",#N/A,FALSE,"u.s. Natural Gas"}</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INGPROD." hidden="1">{"singcurrent1",#N/A,FALSE,"SING MARG";"SINGCURRENT2",#N/A,FALSE,"SING MARG";"SINGCONSTANT",#N/A,FALSE,"SING MARG"}</definedName>
    <definedName name="wrn.tableeurlpg." hidden="1">{"eurlpg1",#N/A,FALSE,"europe LPG";"eurlpg2",#N/A,FALSE,"europe LPG"}</definedName>
    <definedName name="wrn.tablejap." hidden="1">{"japcurrent1",#N/A,FALSE,"JAPAN PRODUCTS";"japcurrent2",#N/A,FALSE,"JAPAN PRODUCTS"}</definedName>
    <definedName name="wrn.tablejaplpg." hidden="1">{"japlpg1",#N/A,FALSE,"JAPAN LPG ";"japllpg2",#N/A,FALSE,"JAPAN LPG "}</definedName>
    <definedName name="wrn.tablemeastlpg." hidden="1">{"midlpg1",#N/A,FALSE,"MIDEAST LPG";"midlpg2",#N/A,FALSE,"MIDEAST LPG"}</definedName>
    <definedName name="wrn.TABLEMED." hidden="1">{"medcurrent1",#N/A,FALSE,"MED MARGINS";"medcurrent2",#N/A,FALSE,"MED MARGINS";"medconstant",#N/A,FALSE,"MED MARGINS"}</definedName>
    <definedName name="wrn.tablemideast." hidden="1">{"midcurrent1",#N/A,FALSE,"ARAB GULF PRODUCTS";"midcurrent2",#N/A,FALSE,"ARAB GULF PRODUCTS"}</definedName>
    <definedName name="wrn.tablengl." hidden="1">{"ngl1",#N/A,FALSE,"u.s. NGL";"ngl2",#N/A,FALSE,"u.s. NGL"}</definedName>
    <definedName name="wrn.TABLENWE." hidden="1">{"nwecurrent1",#N/A,FALSE,"NWE MARGINS";"nwecurrent2",#N/A,FALSE,"NWE MARGINS";"nweconstant",#N/A,FALSE,"NWE MARGINS"}</definedName>
    <definedName name="wrn.tableprod." hidden="1">{"current1",#N/A,FALSE,"US PRODUCTS";"current2",#N/A,FALSE,"US PRODUCTS";"constant",#N/A,FALSE,"US PRODUCTS"}</definedName>
    <definedName name="wrn.test1." hidden="1">{#N/A,#N/A,FALSE,"명세표"}</definedName>
    <definedName name="wrn.tou구매." hidden="1">{#N/A,#N/A,FALSE,"견적대비-2"}</definedName>
    <definedName name="wrn.Y차._.종합." hidden="1">{#N/A,#N/A,TRUE,"Y생산";#N/A,#N/A,TRUE,"Y판매";#N/A,#N/A,TRUE,"Y총물량";#N/A,#N/A,TRUE,"Y능력";#N/A,#N/A,TRUE,"YKD"}</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ㅁㅁㅁ." hidden="1">{#N/A,#N/A,FALSE,"월공사비집계표양식 (7)";#N/A,#N/A,FALSE,"월공사비집계표양식 (7)"}</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설변현황." hidden="1">{#N/A,#N/A,FALSE,"KMC최종회의(7월) 자료"}</definedName>
    <definedName name="wrn.속도."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hidden="1">{#N/A,#N/A,FALSE,"신규dep";#N/A,#N/A,FALSE,"신규dep-금형상각후";#N/A,#N/A,FALSE,"신규dep-연구비상각후";#N/A,#N/A,FALSE,"신규dep-기계,공구상각후"}</definedName>
    <definedName name="wrn.예상손익." hidden="1">{#N/A,#N/A,FALSE,"예상손익";#N/A,#N/A,FALSE,"관리분석";#N/A,#N/A,FALSE,"장비분석";#N/A,#N/A,FALSE,"준설분석";#N/A,#N/A,FALSE,"철구분석"}</definedName>
    <definedName name="wrn.운반시간." hidden="1">{#N/A,#N/A,FALSE,"운반시간"}</definedName>
    <definedName name="wrn.원가검토서." hidden="1">{#N/A,#N/A,FALSE,"원가검토서"}</definedName>
    <definedName name="wrn.이정표." hidden="1">{#N/A,#N/A,FALSE,"이정표"}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열선출서." localSheetId="0" hidden="1">{#N/A,#N/A,FALSE,"전열산출서"}</definedName>
    <definedName name="wrn.전열선출서." localSheetId="2" hidden="1">{#N/A,#N/A,FALSE,"전열산출서"}</definedName>
    <definedName name="wrn.전열선출서." hidden="1">{#N/A,#N/A,FALSE,"전열산출서"}</definedName>
    <definedName name="wrn.조골재." hidden="1">{#N/A,#N/A,FALSE,"조골재"}</definedName>
    <definedName name="wrn.주간._.보고." hidden="1">{#N/A,#N/A,TRUE,"일정"}</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ty" localSheetId="0" hidden="1">{"'용역비'!$A$4:$C$8"}</definedName>
    <definedName name="wrty" localSheetId="2" hidden="1">{"'용역비'!$A$4:$C$8"}</definedName>
    <definedName name="wrty" hidden="1">{"'용역비'!$A$4:$C$8"}</definedName>
    <definedName name="wrtyrtyrt" localSheetId="0" hidden="1">{"'용역비'!$A$4:$C$8"}</definedName>
    <definedName name="wrtyrtyrt" localSheetId="2" hidden="1">{"'용역비'!$A$4:$C$8"}</definedName>
    <definedName name="wrtyrtyrt" hidden="1">{"'용역비'!$A$4:$C$8"}</definedName>
    <definedName name="wrtywrtywr" localSheetId="0" hidden="1">{"'용역비'!$A$4:$C$8"}</definedName>
    <definedName name="wrtywrtywr" localSheetId="2" hidden="1">{"'용역비'!$A$4:$C$8"}</definedName>
    <definedName name="wrtywrtywr" hidden="1">{"'용역비'!$A$4:$C$8"}</definedName>
    <definedName name="WSSS">[0]!WSSS</definedName>
    <definedName name="wuy" localSheetId="0" hidden="1">{"'용역비'!$A$4:$C$8"}</definedName>
    <definedName name="wuy" localSheetId="2" hidden="1">{"'용역비'!$A$4:$C$8"}</definedName>
    <definedName name="wuy" hidden="1">{"'용역비'!$A$4:$C$8"}</definedName>
    <definedName name="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WWW">[0]!WWWW</definedName>
    <definedName name="xd품확일정" hidden="1">{#N/A,#N/A,FALSE,"단축1";#N/A,#N/A,FALSE,"단축2";#N/A,#N/A,FALSE,"단축3";#N/A,#N/A,FALSE,"장축";#N/A,#N/A,FALSE,"4WD"}</definedName>
    <definedName name="XX">#REF!</definedName>
    <definedName name="xxx">#REF!</definedName>
    <definedName name="y" localSheetId="0" hidden="1">{"'용역비'!$A$4:$C$8"}</definedName>
    <definedName name="y" localSheetId="2" hidden="1">{"'용역비'!$A$4:$C$8"}</definedName>
    <definedName name="y" hidden="1">{"'용역비'!$A$4:$C$8"}</definedName>
    <definedName name="y_strainer">#REF!</definedName>
    <definedName name="YBG견적서통" hidden="1">{#N/A,#N/A,TRUE,"손익보고"}</definedName>
    <definedName name="YEN">#REF!</definedName>
    <definedName name="YFF">[42]지수!$E$14</definedName>
    <definedName name="YFU" localSheetId="0" hidden="1">{"'용역비'!$A$4:$C$8"}</definedName>
    <definedName name="YFU" localSheetId="2" hidden="1">{"'용역비'!$A$4:$C$8"}</definedName>
    <definedName name="YFU" hidden="1">{"'용역비'!$A$4:$C$8"}</definedName>
    <definedName name="YL" localSheetId="0" hidden="1">{"'용역비'!$A$4:$C$8"}</definedName>
    <definedName name="YL" localSheetId="2" hidden="1">{"'용역비'!$A$4:$C$8"}</definedName>
    <definedName name="YL" hidden="1">{"'용역비'!$A$4:$C$8"}</definedName>
    <definedName name="YN">#REF!</definedName>
    <definedName name="ys">#REF!</definedName>
    <definedName name="yu" localSheetId="2" hidden="1">{"'용역비'!$A$4:$C$8"}</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0" hidden="1">{"'용역비'!$A$4:$C$8"}</definedName>
    <definedName name="YUK" localSheetId="2" hidden="1">{"'용역비'!$A$4:$C$8"}</definedName>
    <definedName name="YUK" hidden="1">{"'용역비'!$A$4:$C$8"}</definedName>
    <definedName name="YUKOI" localSheetId="0" hidden="1">{"'용역비'!$A$4:$C$8"}</definedName>
    <definedName name="YUKOI" localSheetId="2" hidden="1">{"'용역비'!$A$4:$C$8"}</definedName>
    <definedName name="YUKOI" hidden="1">{"'용역비'!$A$4:$C$8"}</definedName>
    <definedName name="YYY" hidden="1">{#N/A,#N/A,FALSE,"단축1";#N/A,#N/A,FALSE,"단축2";#N/A,#N/A,FALSE,"단축3";#N/A,#N/A,FALSE,"장축";#N/A,#N/A,FALSE,"4WD"}</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y" hidden="1">{#N/A,#N/A,FALSE,"인원";#N/A,#N/A,FALSE,"비용2";#N/A,#N/A,FALSE,"비용1";#N/A,#N/A,FALSE,"비용";#N/A,#N/A,FALSE,"보증2";#N/A,#N/A,FALSE,"보증1";#N/A,#N/A,FALSE,"보증";#N/A,#N/A,FALSE,"손익1";#N/A,#N/A,FALSE,"손익";#N/A,#N/A,FALSE,"부서별매출";#N/A,#N/A,FALSE,"매출"}</definedName>
    <definedName name="ZA">[43]실행철강하도!$A$1:$A$4</definedName>
    <definedName name="ZAAAAAAAA">[0]!ZAAAAAAAA</definedName>
    <definedName name="Z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#REF!</definedName>
    <definedName name="ZZZZ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0" hidden="1">{"'용역비'!$A$4:$C$8"}</definedName>
    <definedName name="ㄱ" localSheetId="2" hidden="1">{"'용역비'!$A$4:$C$8"}</definedName>
    <definedName name="ㄱ" hidden="1">{"'용역비'!$A$4:$C$8"}</definedName>
    <definedName name="ㄱㄱ" localSheetId="0" hidden="1">{"'용역비'!$A$4:$C$8"}</definedName>
    <definedName name="ㄱㄱ" localSheetId="2" hidden="1">{"'용역비'!$A$4:$C$8"}</definedName>
    <definedName name="ㄱㄱ" hidden="1">{"'용역비'!$A$4:$C$8"}</definedName>
    <definedName name="ㄱㄱㄱ" localSheetId="0" hidden="1">{"'용역비'!$A$4:$C$8"}</definedName>
    <definedName name="ㄱㄱㄱ" localSheetId="2" hidden="1">{"'용역비'!$A$4:$C$8"}</definedName>
    <definedName name="ㄱㄱㄱ" hidden="1">{"'용역비'!$A$4:$C$8"}</definedName>
    <definedName name="ㄱㄱㄱㄱㄱ" localSheetId="0" hidden="1">{"'용역비'!$A$4:$C$8"}</definedName>
    <definedName name="ㄱㄱㄱㄱㄱ" localSheetId="2" hidden="1">{"'용역비'!$A$4:$C$8"}</definedName>
    <definedName name="ㄱㄱㄱㄱㄱ" hidden="1">{"'용역비'!$A$4:$C$8"}</definedName>
    <definedName name="ㄱㄱㄱㄱㄱㄱ" localSheetId="0" hidden="1">{"'용역비'!$A$4:$C$8"}</definedName>
    <definedName name="ㄱㄱㄱㄱㄱㄱ" localSheetId="2" hidden="1">{"'용역비'!$A$4:$C$8"}</definedName>
    <definedName name="ㄱㄱㄱㄱㄱㄱ" hidden="1">{"'용역비'!$A$4:$C$8"}</definedName>
    <definedName name="ㄱㅇ" hidden="1">{#N/A,#N/A,FALSE,"단축1";#N/A,#N/A,FALSE,"단축2";#N/A,#N/A,FALSE,"단축3";#N/A,#N/A,FALSE,"장축";#N/A,#N/A,FALSE,"4WD"}</definedName>
    <definedName name="ㄱㅈㅎ" hidden="1">#REF!</definedName>
    <definedName name="가1" hidden="1">{#N/A,#N/A,TRUE,"Y생산";#N/A,#N/A,TRUE,"Y판매";#N/A,#N/A,TRUE,"Y총물량";#N/A,#N/A,TRUE,"Y능력";#N/A,#N/A,TRUE,"YKD"}</definedName>
    <definedName name="가가" hidden="1">{#N/A,#N/A,FALSE,"단축1";#N/A,#N/A,FALSE,"단축2";#N/A,#N/A,FALSE,"단축3";#N/A,#N/A,FALSE,"장축";#N/A,#N/A,FALSE,"4WD"}</definedName>
    <definedName name="간접비">#REF!</definedName>
    <definedName name="갑지">BlankMacro1</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강_________릉">#REF!</definedName>
    <definedName name="강강농" hidden="1">{#N/A,#N/A,FALSE,"단축1";#N/A,#N/A,FALSE,"단축2";#N/A,#N/A,FALSE,"단축3";#N/A,#N/A,FALSE,"장축";#N/A,#N/A,FALSE,"4WD"}</definedName>
    <definedName name="강교" hidden="1">{#N/A,#N/A,FALSE,"포장2"}</definedName>
    <definedName name="강구조물" hidden="1">{#N/A,#N/A,FALSE,"포장1";#N/A,#N/A,FALSE,"포장1"}</definedName>
    <definedName name="강동엽" hidden="1">{#N/A,#N/A,FALSE,"월공사비집계표양식 (7)";#N/A,#N/A,FALSE,"월공사비집계표양식 (7)"}</definedName>
    <definedName name="강성일" hidden="1">{#N/A,#N/A,FALSE,"월공사비집계표양식 (7)";#N/A,#N/A,FALSE,"월공사비집계표양식 (7)"}</definedName>
    <definedName name="개발시험종합" hidden="1">#REF!</definedName>
    <definedName name="개발일정수정"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갸" hidden="1">{#N/A,#N/A,FALSE,"CCTV"}</definedName>
    <definedName name="거" hidden="1">{#N/A,#N/A,FALSE,"단축1";#N/A,#N/A,FALSE,"단축2";#N/A,#N/A,FALSE,"단축3";#N/A,#N/A,FALSE,"장축";#N/A,#N/A,FALSE,"4WD"}</definedName>
    <definedName name="건축가실" hidden="1">#REF!</definedName>
    <definedName name="걸" hidden="1">{#N/A,#N/A,FALSE,"단축1";#N/A,#N/A,FALSE,"단축2";#N/A,#N/A,FALSE,"단축3";#N/A,#N/A,FALSE,"장축";#N/A,#N/A,FALSE,"4WD"}</definedName>
    <definedName name="검토">[44]지수!$E$14</definedName>
    <definedName name="게터스">'[38]할증 '!#REF!</definedName>
    <definedName name="겨" localSheetId="0" hidden="1">{"'용역비'!$A$4:$C$8"}</definedName>
    <definedName name="겨" localSheetId="2" hidden="1">{"'용역비'!$A$4:$C$8"}</definedName>
    <definedName name="겨" hidden="1">{"'용역비'!$A$4:$C$8"}</definedName>
    <definedName name="견적내역" hidden="1">{#N/A,#N/A,FALSE,"CCTV"}</definedName>
    <definedName name="견적대비" hidden="1">{#N/A,#N/A,FALSE,"포장2"}</definedName>
    <definedName name="견적서" hidden="1">{#N/A,#N/A,TRUE,"손익보고"}</definedName>
    <definedName name="견적조건" hidden="1">{#N/A,#N/A,FALSE,"CCTV"}</definedName>
    <definedName name="견적조건8" hidden="1">{#N/A,#N/A,FALSE,"CCTV"}</definedName>
    <definedName name="결" hidden="1">{#N/A,#N/A,FALSE,"포장2"}</definedName>
    <definedName name="결과" hidden="1">{#N/A,#N/A,FALSE,"포장2"}</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HBD">[29]내역서!#REF!</definedName>
    <definedName name="경HBY">[29]내역서!#REF!</definedName>
    <definedName name="경HCY">[29]내역서!#REF!</definedName>
    <definedName name="경HYY">[29]내역서!#REF!</definedName>
    <definedName name="경JIY">[29]내역서!#REF!</definedName>
    <definedName name="경비집계" localSheetId="0" hidden="1">{"'용역비'!$A$4:$C$8"}</definedName>
    <definedName name="경비집계" localSheetId="2" hidden="1">{"'용역비'!$A$4:$C$8"}</definedName>
    <definedName name="경비집계" hidden="1">{"'용역비'!$A$4:$C$8"}</definedName>
    <definedName name="경합금2과운연계획" hidden="1">{#N/A,#N/A,TRUE,"Y생산";#N/A,#N/A,TRUE,"Y판매";#N/A,#N/A,TRUE,"Y총물량";#N/A,#N/A,TRUE,"Y능력";#N/A,#N/A,TRUE,"YKD"}</definedName>
    <definedName name="계약전력1">OR(계약전력11,계약전력12,,AND(브라인펌프&gt;=75,[45]빙장비사양!$N$16&gt;=2))</definedName>
    <definedName name="계약전력11">AND([45]빙장비사양!$E$32=브라인펌프,[45]빙장비사양!$N$16&gt;=4)</definedName>
    <definedName name="계약전력12">AND([45]빙장비사양!$E$33=브라인펌프,[45]빙장비사양!$N$16&gt;=3)</definedName>
    <definedName name="계약전력2">OR(계약전력21,계약전력22,AND(냉각수펌프&gt;=75,[45]빙장비사양!$N$18&gt;=2))</definedName>
    <definedName name="계약전력21">AND([45]빙장비사양!$E$32=냉각수펌프,[45]빙장비사양!$N$18&gt;=4)</definedName>
    <definedName name="계약전력22">AND([45]빙장비사양!$E$33=냉각수펌프,[45]빙장비사양!$N$18&gt;=3)</definedName>
    <definedName name="계약전력3">OR(계약전력31,계약전력32,계약전력33,AND(브라인펌프&gt;=75,[45]장비사양!$N$16&gt;=2))</definedName>
    <definedName name="계약전력31">AND([45]빙장비사양!$E$32=브라인펌프,[45]빙장비사양!$N$16&gt;=5)</definedName>
    <definedName name="계약전력32">AND([45]빙장비사양!$E$33=브라인펌프,[45]빙장비사양!$N$16&gt;=4)</definedName>
    <definedName name="계약전력33">AND([45]빙장비사양!$E$34=브라인펌프,[45]빙장비사양!$N$16&gt;=3)</definedName>
    <definedName name="계약전력4">OR(계약전력41,계약전력42,계약전력43,AND(냉각수펌프&gt;=75,[45]빙장비사양!$N$18&gt;=2))</definedName>
    <definedName name="계약전력41">AND([45]빙장비사양!$E$32=냉각수펌프,[45]빙장비사양!$N$16=5)</definedName>
    <definedName name="계약전력42">AND([45]빙장비사양!$E$33=냉각수펌프,[45]빙장비사양!$N$16=4)</definedName>
    <definedName name="계약전력43">AND([45]빙장비사양!$E$34=냉각수펌프,[45]빙장비사양!$N$16=3)</definedName>
    <definedName name="계전2" hidden="1">#REF!</definedName>
    <definedName name="계획.1" hidden="1">{#N/A,#N/A,FALSE,"단축1";#N/A,#N/A,FALSE,"단축2";#N/A,#N/A,FALSE,"단축3";#N/A,#N/A,FALSE,"장축";#N/A,#N/A,FALSE,"4WD"}</definedName>
    <definedName name="계획1" hidden="1">{#N/A,#N/A,FALSE,"단축1";#N/A,#N/A,FALSE,"단축2";#N/A,#N/A,FALSE,"단축3";#N/A,#N/A,FALSE,"장축";#N/A,#N/A,FALSE,"4WD"}</definedName>
    <definedName name="곡동" hidden="1">{"'Firr(선)'!$AS$1:$AY$62","'Firr(사)'!$AS$1:$AY$62","'Firr(회)'!$AS$1:$AY$62","'Firr(선)'!$L$1:$V$62","'Firr(사)'!$L$1:$V$62","'Firr(회)'!$L$1:$V$62"}</definedName>
    <definedName name="골" hidden="1">{#N/A,#N/A,FALSE,"단축1";#N/A,#N/A,FALSE,"단축2";#N/A,#N/A,FALSE,"단축3";#N/A,#N/A,FALSE,"장축";#N/A,#N/A,FALSE,"4WD"}</definedName>
    <definedName name="공공" hidden="1">{#N/A,#N/A,FALSE,"단축1";#N/A,#N/A,FALSE,"단축2";#N/A,#N/A,FALSE,"단축3";#N/A,#N/A,FALSE,"장축";#N/A,#N/A,FALSE,"4WD"}</definedName>
    <definedName name="공사예산" hidden="1">#REF!</definedName>
    <definedName name="공성환" hidden="1">{#N/A,#N/A,FALSE,"단축1";#N/A,#N/A,FALSE,"단축2";#N/A,#N/A,FALSE,"단축3";#N/A,#N/A,FALSE,"장축";#N/A,#N/A,FALSE,"4WD"}</definedName>
    <definedName name="공정표" hidden="1">{#N/A,#N/A,FALSE,"현장 NCR 분석";#N/A,#N/A,FALSE,"현장품질감사";#N/A,#N/A,FALSE,"현장품질감사"}</definedName>
    <definedName name="공조할">#REF!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___악___산">#REF!</definedName>
    <definedName name="관리">{#N/A,#N/A,FALSE,"포장2"}</definedName>
    <definedName name="관세">[36]FACTOR!#REF!</definedName>
    <definedName name="관세할">#REF!</definedName>
    <definedName name="광_________주">#REF!</definedName>
    <definedName name="교좌" hidden="1">{#N/A,#N/A,FALSE,"포장2"}</definedName>
    <definedName name="군_________산">#REF!</definedName>
    <definedName name="권대협" hidden="1">{#N/A,#N/A,FALSE,"CCTV"}</definedName>
    <definedName name="그만" hidden="1">{#N/A,#N/A,FALSE,"Sheet1"}</definedName>
    <definedName name="근거2" hidden="1">{#N/A,#N/A,FALSE,"단축1";#N/A,#N/A,FALSE,"단축2";#N/A,#N/A,FALSE,"단축3";#N/A,#N/A,FALSE,"장축";#N/A,#N/A,FALSE,"4WD"}</definedName>
    <definedName name="금광추정" hidden="1">{#N/A,#N/A,FALSE,"포장2"}</definedName>
    <definedName name="금액">#REF!</definedName>
    <definedName name="금월" hidden="1">{#N/A,#N/A,TRUE,"Y생산";#N/A,#N/A,TRUE,"Y판매";#N/A,#N/A,TRUE,"Y총물량";#N/A,#N/A,TRUE,"Y능력";#N/A,#N/A,TRUE,"YKD"}</definedName>
    <definedName name="기간">[17]현장관리비!$C$1</definedName>
    <definedName name="기계">#REF!</definedName>
    <definedName name="기계1">#REF!</definedName>
    <definedName name="기계할">#REF!</definedName>
    <definedName name="기미" hidden="1">{#N/A,#N/A,FALSE,"인원";#N/A,#N/A,FALSE,"비용2";#N/A,#N/A,FALSE,"비용1";#N/A,#N/A,FALSE,"비용";#N/A,#N/A,FALSE,"보증2";#N/A,#N/A,FALSE,"보증1";#N/A,#N/A,FALSE,"보증";#N/A,#N/A,FALSE,"손익1";#N/A,#N/A,FALSE,"손익";#N/A,#N/A,FALSE,"부서별매출";#N/A,#N/A,FALSE,"매출"}</definedName>
    <definedName name="기성3" hidden="1">{#N/A,#N/A,FALSE,"CCTV"}</definedName>
    <definedName name="기술" hidden="1">{#N/A,#N/A,FALSE,"부대1"}</definedName>
    <definedName name="기술3" hidden="1">{#N/A,#N/A,TRUE,"손익보고"}</definedName>
    <definedName name="기아" hidden="1">{#N/A,#N/A,FALSE,"단축1";#N/A,#N/A,FALSE,"단축2";#N/A,#N/A,FALSE,"단축3";#N/A,#N/A,FALSE,"장축";#N/A,#N/A,FALSE,"4WD"}</definedName>
    <definedName name="기아매출" hidden="1">{#N/A,#N/A,FALSE,"ROW DATA"}</definedName>
    <definedName name="기인할">[23]FACTOR!#REF!</definedName>
    <definedName name="기존LAYOUT" hidden="1">{#N/A,#N/A,TRUE,"일정"}</definedName>
    <definedName name="기초">[46]소일위대가코드표!$A$1:$D$212</definedName>
    <definedName name="기타계">#REF!</definedName>
    <definedName name="길">ROUND([3]!길*0.0254,3)</definedName>
    <definedName name="김덕중" hidden="1">{#N/A,#N/A,FALSE,"월공사비집계표양식 (7)";#N/A,#N/A,FALSE,"월공사비집계표양식 (7)"}</definedName>
    <definedName name="김동" hidden="1">{"'Firr(선)'!$AS$1:$AY$62","'Firr(사)'!$AS$1:$AY$62","'Firr(회)'!$AS$1:$AY$62","'Firr(선)'!$L$1:$V$62","'Firr(사)'!$L$1:$V$62","'Firr(회)'!$L$1:$V$62"}</definedName>
    <definedName name="김동준" hidden="1">{"'Firr(선)'!$AS$1:$AY$62","'Firr(사)'!$AS$1:$AY$62","'Firr(회)'!$AS$1:$AY$62","'Firr(선)'!$L$1:$V$62","'Firr(사)'!$L$1:$V$62","'Firr(회)'!$L$1:$V$62"}</definedName>
    <definedName name="ㄳㄳㄳㄳ" localSheetId="0" hidden="1">{"'용역비'!$A$4:$C$8"}</definedName>
    <definedName name="ㄳㄳㄳㄳ" localSheetId="2" hidden="1">{"'용역비'!$A$4:$C$8"}</definedName>
    <definedName name="ㄳㄳㄳㄳ" hidden="1">{"'용역비'!$A$4:$C$8"}</definedName>
    <definedName name="ㄳㄷㄳ" hidden="1">{#N/A,#N/A,FALSE,"단축1";#N/A,#N/A,FALSE,"단축2";#N/A,#N/A,FALSE,"단축3";#N/A,#N/A,FALSE,"장축";#N/A,#N/A,FALSE,"4WD"}</definedName>
    <definedName name="ㄴ">ROUND([3]!ㄴ*0.0254,3)</definedName>
    <definedName name="ㄴㄱㄹ" hidden="1">#REF!</definedName>
    <definedName name="ㄴㄴ" localSheetId="0" hidden="1">{"'용역비'!$A$4:$C$8"}</definedName>
    <definedName name="ㄴㄴ" localSheetId="2" hidden="1">{"'용역비'!$A$4:$C$8"}</definedName>
    <definedName name="ㄴㄴ" hidden="1">{"'용역비'!$A$4:$C$8"}</definedName>
    <definedName name="ㄴㄴㄴ" hidden="1">#REF!</definedName>
    <definedName name="ㄴㄴㄴㄴ" hidden="1">#REF!</definedName>
    <definedName name="ㄴㄴㄴㄴㄴ" hidden="1">#REF!</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ㄹ" hidden="1">{#N/A,#N/A,FALSE,"인원";#N/A,#N/A,FALSE,"비용2";#N/A,#N/A,FALSE,"비용1";#N/A,#N/A,FALSE,"비용";#N/A,#N/A,FALSE,"보증2";#N/A,#N/A,FALSE,"보증1";#N/A,#N/A,FALSE,"보증";#N/A,#N/A,FALSE,"손익1";#N/A,#N/A,FALSE,"손익";#N/A,#N/A,FALSE,"부서별매출";#N/A,#N/A,FALSE,"매출"}</definedName>
    <definedName name="ㄴㅁ">#REF!</definedName>
    <definedName name="ㄴㅁㄹㅈㄹ" hidden="1">#REF!</definedName>
    <definedName name="ㄴㅇㄴㅇㅀㄹㅇㅎㅇㅀㅎ"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hidden="1">{#N/A,#N/A,FALSE,"단축1";#N/A,#N/A,FALSE,"단축2";#N/A,#N/A,FALSE,"단축3";#N/A,#N/A,FALSE,"장축";#N/A,#N/A,FALSE,"4WD"}</definedName>
    <definedName name="ㄴㅇㄻㄴㅇㄹ" localSheetId="0" hidden="1">{"'용역비'!$A$4:$C$8"}</definedName>
    <definedName name="ㄴㅇㄻㄴㅇㄹ" localSheetId="2" hidden="1">{"'용역비'!$A$4:$C$8"}</definedName>
    <definedName name="ㄴㅇㄻㄴㅇㄹ" hidden="1">{"'용역비'!$A$4:$C$8"}</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ㅍㄷㅅ" hidden="1">{#N/A,#N/A,FALSE,"월공사비집계표양식 (7)";#N/A,#N/A,FALSE,"월공사비집계표양식 (7)"}</definedName>
    <definedName name="나무">'[47]수목데이타 '!$A$3:$D$874</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서" hidden="1">{#N/A,#N/A,FALSE,"CCTV"}</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냉각수펌프">[45]빙장비사양!$P$18/([45]빙장비사양!$N$18-1)</definedName>
    <definedName name="노HBD">[29]내역서!#REF!</definedName>
    <definedName name="노HBY">[29]내역서!#REF!</definedName>
    <definedName name="노HCY">[29]내역서!#REF!</definedName>
    <definedName name="노HYY">[29]내역서!#REF!</definedName>
    <definedName name="노JIY">[29]내역서!#REF!</definedName>
    <definedName name="노무">#REF!</definedName>
    <definedName name="노무3">#REF!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임13" hidden="1">{#N/A,#N/A,FALSE,"Sheet1"}</definedName>
    <definedName name="노임14" hidden="1">{#N/A,#N/A,FALSE,"Sheet1"}</definedName>
    <definedName name="ㄷ">ROUND([3]!ㄷ*0.0254,3)</definedName>
    <definedName name="ㄷ6ㅓ" localSheetId="0" hidden="1">{"'용역비'!$A$4:$C$8"}</definedName>
    <definedName name="ㄷ6ㅓ" localSheetId="2" hidden="1">{"'용역비'!$A$4:$C$8"}</definedName>
    <definedName name="ㄷ6ㅓ" hidden="1">{"'용역비'!$A$4:$C$8"}</definedName>
    <definedName name="ㄷㄱㄷㄱ" hidden="1">{#N/A,#N/A,FALSE,"단축1";#N/A,#N/A,FALSE,"단축2";#N/A,#N/A,FALSE,"단축3";#N/A,#N/A,FALSE,"장축";#N/A,#N/A,FALSE,"4WD"}</definedName>
    <definedName name="ㄷㄱㄷㄱㄷㄱ" localSheetId="0" hidden="1">{"'용역비'!$A$4:$C$8"}</definedName>
    <definedName name="ㄷㄱㄷㄱㄷㄱ" localSheetId="2" hidden="1">{"'용역비'!$A$4:$C$8"}</definedName>
    <definedName name="ㄷㄱㄷㄱㄷㄱ" hidden="1">{"'용역비'!$A$4:$C$8"}</definedName>
    <definedName name="ㄷㄷ" localSheetId="0" hidden="1">{"'용역비'!$A$4:$C$8"}</definedName>
    <definedName name="ㄷㄷ" localSheetId="2" hidden="1">{"'용역비'!$A$4:$C$8"}</definedName>
    <definedName name="ㄷㄷ" hidden="1">{"'용역비'!$A$4:$C$8"}</definedName>
    <definedName name="ㄷㄷㄱㄱ" localSheetId="0" hidden="1">{"'용역비'!$A$4:$C$8"}</definedName>
    <definedName name="ㄷㄷㄱㄱ" localSheetId="2" hidden="1">{"'용역비'!$A$4:$C$8"}</definedName>
    <definedName name="ㄷㄷㄱㄱ" hidden="1">{"'용역비'!$A$4:$C$8"}</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ㅍㅂ" localSheetId="0" hidden="1">{"'용역비'!$A$4:$C$8"}</definedName>
    <definedName name="ㄷㅍㅂ" localSheetId="2" hidden="1">{"'용역비'!$A$4:$C$8"}</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단가할증">#REF!</definedName>
    <definedName name="달">[48]기준FACTOR!$C$6</definedName>
    <definedName name="달러환율">#REF!</definedName>
    <definedName name="달러환율_1">'[2]할증 '!$D$11</definedName>
    <definedName name="대_________구">#REF!</definedName>
    <definedName name="대_________전">#REF!</definedName>
    <definedName name="대___관___령">#REF!</definedName>
    <definedName name="대덕" hidden="1">{#N/A,#N/A,FALSE,"CCTV"}</definedName>
    <definedName name="대만불">'[38]할증 '!$B$3</definedName>
    <definedName name="대부" hidden="1">{#N/A,#N/A,FALSE,"단축1";#N/A,#N/A,FALSE,"단축2";#N/A,#N/A,FALSE,"단축3";#N/A,#N/A,FALSE,"장축";#N/A,#N/A,FALSE,"4WD"}</definedName>
    <definedName name="대비" hidden="1">{#N/A,#N/A,FALSE,"CCTV"}</definedName>
    <definedName name="대책서" hidden="1">{#N/A,#N/A,FALSE,"단축1";#N/A,#N/A,FALSE,"단축2";#N/A,#N/A,FALSE,"단축3";#N/A,#N/A,FALSE,"장축";#N/A,#N/A,FALSE,"4WD"}</definedName>
    <definedName name="대표회의" hidden="1">{#N/A,#N/A,FALSE,"현장 NCR 분석";#N/A,#N/A,FALSE,"현장품질감사";#N/A,#N/A,FALSE,"현장품질감사"}</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덕흥흥건축" hidden="1">#REF!</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영역">[35]도급양식!#REF!</definedName>
    <definedName name="도시">#REF!</definedName>
    <definedName name="도장B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준" hidden="1">{"'Firr(선)'!$AS$1:$AY$62","'Firr(사)'!$AS$1:$AY$62","'Firr(회)'!$AS$1:$AY$62","'Firr(선)'!$L$1:$V$62","'Firr(사)'!$L$1:$V$62","'Firr(회)'!$L$1:$V$62"}</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ROUND([3]!ㄹ*0.0254,3)</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hidden="1">#REF!</definedName>
    <definedName name="ㄹㄹㄹㄹ" hidden="1">{"'Firr(선)'!$AS$1:$AY$62","'Firr(사)'!$AS$1:$AY$62","'Firr(회)'!$AS$1:$AY$62","'Firr(선)'!$L$1:$V$62","'Firr(사)'!$L$1:$V$62","'Firr(회)'!$L$1:$V$62"}</definedName>
    <definedName name="ㄹㄹㄹㄹㄹ" hidden="1">{#N/A,#N/A,FALSE,"월공사비집계표양식 (7)";#N/A,#N/A,FALSE,"월공사비집계표양식 (7)"}</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류ㅠㅠ" hidden="1">{#N/A,#N/A,FALSE,"단축1";#N/A,#N/A,FALSE,"단축2";#N/A,#N/A,FALSE,"단축3";#N/A,#N/A,FALSE,"장축";#N/A,#N/A,FALSE,"4WD"}</definedName>
    <definedName name="ㄹㅇ" hidden="1">{#N/A,#N/A,FALSE,"속도"}</definedName>
    <definedName name="ㄹㅇ유" hidden="1">{#N/A,#N/A,FALSE,"단축1";#N/A,#N/A,FALSE,"단축2";#N/A,#N/A,FALSE,"단축3";#N/A,#N/A,FALSE,"장축";#N/A,#N/A,FALSE,"4WD"}</definedName>
    <definedName name="ㄹㅇㅎ" hidden="1">{#N/A,#N/A,FALSE,"단축1";#N/A,#N/A,FALSE,"단축2";#N/A,#N/A,FALSE,"단축3";#N/A,#N/A,FALSE,"장축";#N/A,#N/A,FALSE,"4WD"}</definedName>
    <definedName name="ㄹ호" hidden="1">#REF!</definedName>
    <definedName name="ㄹ호ㅓㅓ" hidden="1">{#N/A,#N/A,FALSE,"단축1";#N/A,#N/A,FALSE,"단축2";#N/A,#N/A,FALSE,"단축3";#N/A,#N/A,FALSE,"장축";#N/A,#N/A,FALSE,"4WD"}</definedName>
    <definedName name="라랄" hidden="1">[49]설계명세!#REF!</definedName>
    <definedName name="라ㅓㄴㄹㅎ" hidden="1">{#N/A,#N/A,FALSE,"단축1";#N/A,#N/A,FALSE,"단축2";#N/A,#N/A,FALSE,"단축3";#N/A,#N/A,FALSE,"장축";#N/A,#N/A,FALSE,"4WD"}</definedName>
    <definedName name="러시아" hidden="1">{#N/A,#N/A,FALSE,"단축1";#N/A,#N/A,FALSE,"단축2";#N/A,#N/A,FALSE,"단축3";#N/A,#N/A,FALSE,"장축";#N/A,#N/A,FALSE,"4WD"}</definedName>
    <definedName name="로커커버" hidden="1">{#N/A,#N/A,FALSE,"단축1";#N/A,#N/A,FALSE,"단축2";#N/A,#N/A,FALSE,"단축3";#N/A,#N/A,FALSE,"장축";#N/A,#N/A,FALSE,"4WD"}</definedName>
    <definedName name="롱" hidden="1">{#N/A,#N/A,FALSE,"단축1";#N/A,#N/A,FALSE,"단축2";#N/A,#N/A,FALSE,"단축3";#N/A,#N/A,FALSE,"장축";#N/A,#N/A,FALSE,"4WD"}</definedName>
    <definedName name="료" localSheetId="0" hidden="1">{"'용역비'!$A$4:$C$8"}</definedName>
    <definedName name="료" localSheetId="2" hidden="1">{"'용역비'!$A$4:$C$8"}</definedName>
    <definedName name="료" hidden="1">{"'용역비'!$A$4:$C$8"}</definedName>
    <definedName name="류효정" hidden="1">{"'Firr(선)'!$AS$1:$AY$62","'Firr(사)'!$AS$1:$AY$62","'Firr(회)'!$AS$1:$AY$62","'Firr(선)'!$L$1:$V$62","'Firr(사)'!$L$1:$V$62","'Firr(회)'!$L$1:$V$62"}</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허" hidden="1">{#N/A,#N/A,FALSE,"CCTV"}</definedName>
    <definedName name="ㅁ" localSheetId="2" hidden="1">{"'용역비'!$A$4:$C$8"}</definedName>
    <definedName name="ㅁ" hidden="1">'[50]갑지(추정)'!#REF!</definedName>
    <definedName name="ㅁ1">#REF!</definedName>
    <definedName name="ㅁ300">[51]Sheet5!#REF!</definedName>
    <definedName name="ㅁㄴ">[27]지수!$E$14</definedName>
    <definedName name="ㅁㄴㄴㅁㄴ" hidden="1">{#N/A,#N/A,FALSE,"월공사비집계표양식 (7)";#N/A,#N/A,FALSE,"월공사비집계표양식 (7)"}</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{#N/A,#N/A,FALSE,"단축1";#N/A,#N/A,FALSE,"단축2";#N/A,#N/A,FALSE,"단축3";#N/A,#N/A,FALSE,"장축";#N/A,#N/A,FALSE,"4WD"}</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ㄻㄴㅇㄹㄴㅁㅎㄴㅇㅎ" localSheetId="0" hidden="1">{"'용역비'!$A$4:$C$8"}</definedName>
    <definedName name="ㅁㄴㅇㄻㄴㅇㄹㄴㅁㅎㄴㅇㅎ" localSheetId="2" hidden="1">{"'용역비'!$A$4:$C$8"}</definedName>
    <definedName name="ㅁㄴㅇㄻㄴㅇㄹㄴㅁㅎㄴㅇㅎ" hidden="1">{"'용역비'!$A$4:$C$8"}</definedName>
    <definedName name="ㅁㄴㅇㅁ" localSheetId="0" hidden="1">{"'용역비'!$A$4:$C$8"}</definedName>
    <definedName name="ㅁㄴㅇㅁ" localSheetId="2" hidden="1">{"'용역비'!$A$4:$C$8"}</definedName>
    <definedName name="ㅁㄴㅇㅁ" hidden="1">{"'용역비'!$A$4:$C$8"}</definedName>
    <definedName name="ㅁㄴㅇㅁㄴㅇ" hidden="1">#REF!</definedName>
    <definedName name="ㅁㅁ" localSheetId="2" hidden="1">{#N/A,#N/A,FALSE,"전열산출서"}</definedName>
    <definedName name="ㅁㅁ" hidden="1">#REF!</definedName>
    <definedName name="ㅁㅁㅁ">[0]!ㅁㅁㅁ</definedName>
    <definedName name="ㅁㅁㅁㅁ" hidden="1">{#N/A,#N/A,FALSE,"CCTV"}</definedName>
    <definedName name="ㅁㅁㅁㅁㅁ" localSheetId="2" hidden="1">{"'용역비'!$A$4:$C$8"}</definedName>
    <definedName name="ㅁㅁㅁㅁㅁ">[0]!ㅁㅁㅁㅁㅁ</definedName>
    <definedName name="ㅁㅁㅁㅁㅁㅁ" hidden="1">#REF!</definedName>
    <definedName name="ㅁㅇㄹ" hidden="1">{#N/A,#N/A,FALSE,"단축1";#N/A,#N/A,FALSE,"단축2";#N/A,#N/A,FALSE,"단축3";#N/A,#N/A,FALSE,"장축";#N/A,#N/A,FALSE,"4WD"}</definedName>
    <definedName name="ㅁㅇㅊㅁㄴㅇㄹ" hidden="1">{#N/A,#N/A,FALSE,"단축1";#N/A,#N/A,FALSE,"단축2";#N/A,#N/A,FALSE,"단축3";#N/A,#N/A,FALSE,"장축";#N/A,#N/A,FALSE,"4WD"}</definedName>
    <definedName name="ㅁㅊㄸㄴㄴ" hidden="1">{#N/A,#N/A,FALSE,"월공사비집계표양식 (7)";#N/A,#N/A,FALSE,"월공사비집계표양식 (7)"}</definedName>
    <definedName name="마_________산">#REF!</definedName>
    <definedName name="마지막">#REF!</definedName>
    <definedName name="말자" hidden="1">{#N/A,#N/A,FALSE,"단축1";#N/A,#N/A,FALSE,"단축2";#N/A,#N/A,FALSE,"단축3";#N/A,#N/A,FALSE,"장축";#N/A,#N/A,FALSE,"4WD"}</definedName>
    <definedName name="머" hidden="1">{#N/A,#N/A,FALSE,"명세표"}</definedName>
    <definedName name="메일주소" hidden="1">{#N/A,#N/A,FALSE,"CCTV"}</definedName>
    <definedName name="명일" hidden="1">{#N/A,#N/A,FALSE,"속도"}</definedName>
    <definedName name="목_________포">#REF!</definedName>
    <definedName name="목표3" hidden="1">{#N/A,#N/A,FALSE,"인원";#N/A,#N/A,FALSE,"비용2";#N/A,#N/A,FALSE,"비용1";#N/A,#N/A,FALSE,"비용";#N/A,#N/A,FALSE,"보증2";#N/A,#N/A,FALSE,"보증1";#N/A,#N/A,FALSE,"보증";#N/A,#N/A,FALSE,"손익1";#N/A,#N/A,FALSE,"손익";#N/A,#N/A,FALSE,"부서별매출";#N/A,#N/A,FALSE,"매출"}</definedName>
    <definedName name="몰라" hidden="1">{#N/A,#N/A,FALSE,"명세표"}</definedName>
    <definedName name="문">BlankMacro1</definedName>
    <definedName name="물가자료">#REF!</definedName>
    <definedName name="물량"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분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분무설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할">#REF!</definedName>
    <definedName name="뭐지" hidden="1">{#N/A,#N/A,FALSE,"CCTV"}</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BlankMacro1</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localSheetId="0" hidden="1">{"'용역비'!$A$4:$C$8"}</definedName>
    <definedName name="ㅂㅂ" localSheetId="2" hidden="1">{"'용역비'!$A$4:$C$8"}</definedName>
    <definedName name="ㅂㅂ" hidden="1">{"'용역비'!$A$4:$C$8"}</definedName>
    <definedName name="ㅂㅂㅂ" localSheetId="0" hidden="1">{"'용역비'!$A$4:$C$8"}</definedName>
    <definedName name="ㅂㅂㅂ" localSheetId="2" hidden="1">{"'용역비'!$A$4:$C$8"}</definedName>
    <definedName name="ㅂㅂㅂ" hidden="1">{"'용역비'!$A$4:$C$8"}</definedName>
    <definedName name="ㅂㅂㅂㅂ" hidden="1">{#N/A,#N/A,FALSE,"명세표"}</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0" hidden="1">{"'용역비'!$A$4:$C$8"}</definedName>
    <definedName name="ㅂㅂㅂㅂㅂㅂ" localSheetId="2" hidden="1">{"'용역비'!$A$4:$C$8"}</definedName>
    <definedName name="ㅂㅂㅂㅂㅂㅂ" hidden="1">{"'용역비'!$A$4:$C$8"}</definedName>
    <definedName name="ㅂㅂㅂㅂㅂㅂㅂ" hidden="1">{#N/A,#N/A,FALSE,"명세표"}</definedName>
    <definedName name="ㅂㅈ">{#N/A,#N/A,TRUE,"1";#N/A,#N/A,TRUE,"2";#N/A,#N/A,TRUE,"3";#N/A,#N/A,TRUE,"4";#N/A,#N/A,TRUE,"5";#N/A,#N/A,TRUE,"6";#N/A,#N/A,TRUE,"7"}</definedName>
    <definedName name="ㅂㅈㅈㄷㅈ" hidden="1">{#N/A,#N/A,FALSE,"월공사비집계표양식 (7)";#N/A,#N/A,FALSE,"월공사비집계표양식 (7)"}</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보" localSheetId="0" hidden="1">{"'용역비'!$A$4:$C$8"}</definedName>
    <definedName name="바보" localSheetId="2" hidden="1">{"'용역비'!$A$4:$C$8"}</definedName>
    <definedName name="바보" hidden="1">{"'용역비'!$A$4:$C$8"}</definedName>
    <definedName name="박" hidden="1">{#N/A,#N/A,FALSE,"월공사비집계표양식 (7)";#N/A,#N/A,FALSE,"월공사비집계표양식 (7)"}</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종균"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배관공">#REF!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번호">#REF!</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 hidden="1">{#N/A,#N/A,FALSE,"단축1";#N/A,#N/A,FALSE,"단축2";#N/A,#N/A,FALSE,"단축3";#N/A,#N/A,FALSE,"장축";#N/A,#N/A,FALSE,"4WD"}</definedName>
    <definedName name="변환">#REF!</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곤" hidden="1">{#N/A,#N/A,FALSE,"인원";#N/A,#N/A,FALSE,"비용2";#N/A,#N/A,FALSE,"비용1";#N/A,#N/A,FALSE,"비용";#N/A,#N/A,FALSE,"보증2";#N/A,#N/A,FALSE,"보증1";#N/A,#N/A,FALSE,"보증";#N/A,#N/A,FALSE,"손익1";#N/A,#N/A,FALSE,"손익";#N/A,#N/A,FALSE,"부서별매출";#N/A,#N/A,FALSE,"매출"}</definedName>
    <definedName name="보링" hidden="1">{#N/A,#N/A,FALSE,"포장2"}</definedName>
    <definedName name="보전기획2" hidden="1">{#N/A,#N/A,FALSE,"ROW DATA"}</definedName>
    <definedName name="보통인부">#REF!</definedName>
    <definedName name="봉등비교" hidden="1">{#N/A,#N/A,FALSE,"CCTV"}</definedName>
    <definedName name="부" hidden="1">{#N/A,#N/A,FALSE,"현장 NCR 분석";#N/A,#N/A,FALSE,"현장품질감사";#N/A,#N/A,FALSE,"현장품질감사"}</definedName>
    <definedName name="부_________산">#REF!</definedName>
    <definedName name="부대" hidden="1">{#N/A,#N/A,FALSE,"월공사비집계표양식 (7)";#N/A,#N/A,FALSE,"월공사비집계표양식 (7)"}</definedName>
    <definedName name="부대원가" hidden="1">{#N/A,#N/A,FALSE,"배수2"}</definedName>
    <definedName name="부대토공" hidden="1">{#N/A,#N/A,FALSE,"구조2"}</definedName>
    <definedName name="부속동변경내역" hidden="1">{#N/A,#N/A,FALSE,"월공사비집계표양식 (7)";#N/A,#N/A,FALSE,"월공사비집계표양식 (7)"}</definedName>
    <definedName name="부손익" hidden="1">{#N/A,#N/A,FALSE,"현장 NCR 분석";#N/A,#N/A,FALSE,"현장품질감사";#N/A,#N/A,FALSE,"현장품질감사"}</definedName>
    <definedName name="분" hidden="1">{#N/A,#N/A,FALSE,"단축1";#N/A,#N/A,FALSE,"단축2";#N/A,#N/A,FALSE,"단축3";#N/A,#N/A,FALSE,"장축";#N/A,#N/A,FALSE,"4WD"}</definedName>
    <definedName name="브라인펌프">[45]빙장비사양!$P$16/([45]빙장비사양!$N$16-1)</definedName>
    <definedName name="비">[27]지수!$E$14</definedName>
    <definedName name="비교">#REF!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ㄷㅈㅈㅈㅈ" hidden="1">{#N/A,#N/A,FALSE,"신규dep";#N/A,#N/A,FALSE,"신규dep-금형상각후";#N/A,#N/A,FALSE,"신규dep-연구비상각후";#N/A,#N/A,FALSE,"신규dep-기계,공구상각후"}</definedName>
    <definedName name="ㅅㅅㅅ" hidden="1">{#N/A,#N/A,FALSE,"단축1";#N/A,#N/A,FALSE,"단축2";#N/A,#N/A,FALSE,"단축3";#N/A,#N/A,FALSE,"장축";#N/A,#N/A,FALSE,"4WD"}</definedName>
    <definedName name="사급" hidden="1">{#N/A,#N/A,FALSE,"배수2"}</definedName>
    <definedName name="사양접수" hidden="1">{#N/A,#N/A,TRUE,"일정"}</definedName>
    <definedName name="사양접수2" hidden="1">{#N/A,#N/A,TRUE,"일정"}</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인할">[23]FACTOR!#REF!</definedName>
    <definedName name="사진2" hidden="1">{#N/A,#N/A,FALSE,"단축1";#N/A,#N/A,FALSE,"단축2";#N/A,#N/A,FALSE,"단축3";#N/A,#N/A,FALSE,"장축";#N/A,#N/A,FALSE,"4WD"}</definedName>
    <definedName name="산할">[23]FACTOR!#REF!</definedName>
    <definedName name="삼우설비" hidden="1">#REF!</definedName>
    <definedName name="삼호" hidden="1">{#N/A,#N/A,FALSE,"배수2"}</definedName>
    <definedName name="상품성1" hidden="1">{#N/A,#N/A,FALSE,"단축1";#N/A,#N/A,FALSE,"단축2";#N/A,#N/A,FALSE,"단축3";#N/A,#N/A,FALSE,"장축";#N/A,#N/A,FALSE,"4WD"}</definedName>
    <definedName name="상품성보고" hidden="1">'[8]#REF'!#REF!</definedName>
    <definedName name="생산TON" hidden="1">{#N/A,#N/A,TRUE,"Y생산";#N/A,#N/A,TRUE,"Y판매";#N/A,#N/A,TRUE,"Y총물량";#N/A,#N/A,TRUE,"Y능력";#N/A,#N/A,TRUE,"YKD"}</definedName>
    <definedName name="생산설비일정" hidden="1">{#N/A,#N/A,FALSE,"단축1";#N/A,#N/A,FALSE,"단축2";#N/A,#N/A,FALSE,"단축3";#N/A,#N/A,FALSE,"장축";#N/A,#N/A,FALSE,"4WD"}</definedName>
    <definedName name="생산전체일정" hidden="1">{#N/A,#N/A,FALSE,"단축1";#N/A,#N/A,FALSE,"단축2";#N/A,#N/A,FALSE,"단축3";#N/A,#N/A,FALSE,"장축";#N/A,#N/A,FALSE,"4WD"}</definedName>
    <definedName name="생산특장2" hidden="1">{#N/A,#N/A,TRUE,"Y생산";#N/A,#N/A,TRUE,"Y판매";#N/A,#N/A,TRUE,"Y총물량";#N/A,#N/A,TRUE,"Y능력";#N/A,#N/A,TRUE,"YKD"}</definedName>
    <definedName name="생산합격" hidden="1">{#N/A,#N/A,TRUE,"Y생산";#N/A,#N/A,TRUE,"Y판매";#N/A,#N/A,TRUE,"Y총물량";#N/A,#N/A,TRUE,"Y능력";#N/A,#N/A,TRUE,"YKD"}</definedName>
    <definedName name="서_________산">#REF!</definedName>
    <definedName name="서_________울">#REF!</definedName>
    <definedName name="서___귀___포">#REF!</definedName>
    <definedName name="서비스" hidden="1">{#N/A,#N/A,FALSE,"인원";#N/A,#N/A,FALSE,"비용2";#N/A,#N/A,FALSE,"비용1";#N/A,#N/A,FALSE,"비용";#N/A,#N/A,FALSE,"보증2";#N/A,#N/A,FALSE,"보증1";#N/A,#N/A,FALSE,"보증";#N/A,#N/A,FALSE,"손익1";#N/A,#N/A,FALSE,"손익";#N/A,#N/A,FALSE,"부서별매출";#N/A,#N/A,FALSE,"매출"}</definedName>
    <definedName name="석항" hidden="1">{#N/A,#N/A,FALSE,"명세표"}</definedName>
    <definedName name="설" hidden="1">[52]건축공사!#REF!</definedName>
    <definedName name="설계" hidden="1">{#N/A,#N/A,FALSE,"전력간선"}</definedName>
    <definedName name="설계대예산대비표" hidden="1">#REF!</definedName>
    <definedName name="설계설명서2" hidden="1">{#N/A,#N/A,FALSE,"전력간선"}</definedName>
    <definedName name="설계설명서3" hidden="1">{#N/A,#N/A,FALSE,"전력간선"}</definedName>
    <definedName name="설계설명서4" hidden="1">{#N/A,#N/A,FALSE,"전력간선"}</definedName>
    <definedName name="설명" hidden="1">{#N/A,#N/A,FALSE,"부대1"}</definedName>
    <definedName name="설명서" hidden="1">{#N/A,#N/A,FALSE,"포장1";#N/A,#N/A,FALSE,"포장1"}</definedName>
    <definedName name="설문지" hidden="1">#REF!</definedName>
    <definedName name="설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설" hidden="1">{#N/A,#N/A,FALSE,"단축1";#N/A,#N/A,FALSE,"단축2";#N/A,#N/A,FALSE,"단축3";#N/A,#N/A,FALSE,"장축";#N/A,#N/A,FALSE,"4WD"}</definedName>
    <definedName name="성도">#REF!</definedName>
    <definedName name="성우" hidden="1">{#N/A,#N/A,FALSE,"CCTV"}</definedName>
    <definedName name="세부생산계획" hidden="1">{#N/A,#N/A,TRUE,"Y생산";#N/A,#N/A,TRUE,"Y판매";#N/A,#N/A,TRUE,"Y총물량";#N/A,#N/A,TRUE,"Y능력";#N/A,#N/A,TRUE,"YKD"}</definedName>
    <definedName name="셀리카" hidden="1">#REF!</definedName>
    <definedName name="소모비">#REF!</definedName>
    <definedName name="소하프로젝트" hidden="1">{#N/A,#N/A,FALSE,"단축1";#N/A,#N/A,FALSE,"단축2";#N/A,#N/A,FALSE,"단축3";#N/A,#N/A,FALSE,"장축";#N/A,#N/A,FALSE,"4WD"}</definedName>
    <definedName name="소할">[23]FACTOR!#REF!</definedName>
    <definedName name="속_________초">#REF!</definedName>
    <definedName name="송" hidden="1">{#N/A,#N/A,TRUE,"Y생산";#N/A,#N/A,TRUE,"Y판매";#N/A,#N/A,TRUE,"Y총물량";#N/A,#N/A,TRUE,"Y능력";#N/A,#N/A,TRUE,"YKD"}</definedName>
    <definedName name="송창기" hidden="1">{#N/A,#N/A,TRUE,"Y생산";#N/A,#N/A,TRUE,"Y판매";#N/A,#N/A,TRUE,"Y총물량";#N/A,#N/A,TRUE,"Y능력";#N/A,#N/A,TRUE,"YKD"}</definedName>
    <definedName name="쇼쇼쇼쇼쇼쇼쇼쇼쇼쇼" hidden="1">{#N/A,#N/A,FALSE,"단축1";#N/A,#N/A,FALSE,"단축2";#N/A,#N/A,FALSE,"단축3";#N/A,#N/A,FALSE,"장축";#N/A,#N/A,FALSE,"4WD"}</definedName>
    <definedName name="수" hidden="1">#REF!</definedName>
    <definedName name="수_________원">#REF!</definedName>
    <definedName name="수량">[53]할증!#REF!</definedName>
    <definedName name="수목">#REF!</definedName>
    <definedName name="수할">#REF!</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 hidden="1">{#N/A,#N/A,TRUE,"Y생산";#N/A,#N/A,TRUE,"Y판매";#N/A,#N/A,TRUE,"Y총물량";#N/A,#N/A,TRUE,"Y능력";#N/A,#N/A,TRUE,"YKD"}</definedName>
    <definedName name="시기조정" hidden="1">{#N/A,#N/A,FALSE,"인원";#N/A,#N/A,FALSE,"비용2";#N/A,#N/A,FALSE,"비용1";#N/A,#N/A,FALSE,"비용";#N/A,#N/A,FALSE,"보증2";#N/A,#N/A,FALSE,"보증1";#N/A,#N/A,FALSE,"보증";#N/A,#N/A,FALSE,"손익1";#N/A,#N/A,FALSE,"손익";#N/A,#N/A,FALSE,"부서별매출";#N/A,#N/A,FALSE,"매출"}</definedName>
    <definedName name="신설" hidden="1">{#N/A,#N/A,FALSE,"명세표"}</definedName>
    <definedName name="신성" hidden="1">{#N/A,#N/A,TRUE,"손익보고"}</definedName>
    <definedName name="신안" hidden="1">{#N/A,#N/A,FALSE,"현장 NCR 분석";#N/A,#N/A,FALSE,"현장품질감사";#N/A,#N/A,FALSE,"현장품질감사"}</definedName>
    <definedName name="신용"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행">#REF!</definedName>
    <definedName name="실행영역">[17]실행내역!$A$4:$O$1383</definedName>
    <definedName name="ㅇ">ROUND([3]!ㅇ*0.0254,3)</definedName>
    <definedName name="ㅇ191">#REF!</definedName>
    <definedName name="ㅇㄴㄹ" hidden="1">{#N/A,#N/A,FALSE,"단축1";#N/A,#N/A,FALSE,"단축2";#N/A,#N/A,FALSE,"단축3";#N/A,#N/A,FALSE,"장축";#N/A,#N/A,FALSE,"4WD"}</definedName>
    <definedName name="ㅇㄴㅀㅇ" hidden="1">{#N/A,#N/A,FALSE,"단축1";#N/A,#N/A,FALSE,"단축2";#N/A,#N/A,FALSE,"단축3";#N/A,#N/A,FALSE,"장축";#N/A,#N/A,FALSE,"4WD"}</definedName>
    <definedName name="ㅇㄴㅁ" hidden="1">[54]실행철강하도!$A$1:$A$4</definedName>
    <definedName name="ㅇㄹ" hidden="1">#REF!</definedName>
    <definedName name="ㅇㄹㄹ" hidden="1">#REF!</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ㅎ" hidden="1">{#N/A,#N/A,FALSE,"단축1";#N/A,#N/A,FALSE,"단축2";#N/A,#N/A,FALSE,"단축3";#N/A,#N/A,FALSE,"장축";#N/A,#N/A,FALSE,"4WD"}</definedName>
    <definedName name="ㅇㅁㄴㄹ" hidden="1">{#N/A,#N/A,FALSE,"Sheet1"}</definedName>
    <definedName name="ㅇㅇㄹ" hidden="1">#REF!</definedName>
    <definedName name="ㅇㅇㅇ" localSheetId="0" hidden="1">{"'용역비'!$A$4:$C$8"}</definedName>
    <definedName name="ㅇㅇㅇ" localSheetId="2" hidden="1">{"'용역비'!$A$4:$C$8"}</definedName>
    <definedName name="ㅇㅇㅇ" hidden="1">{"'용역비'!$A$4:$C$8"}</definedName>
    <definedName name="ㅇㅇㅇㅇ" localSheetId="0" hidden="1">#REF!</definedName>
    <definedName name="ㅇㅇㅇㅇ" localSheetId="2" hidden="1">#REF!</definedName>
    <definedName name="ㅇㅇㅇㅇ" hidden="1">#REF!</definedName>
    <definedName name="ㅇㅎㄹㅀ" hidden="1">{#N/A,#N/A,FALSE,"단축1";#N/A,#N/A,FALSE,"단축2";#N/A,#N/A,FALSE,"단축3";#N/A,#N/A,FALSE,"장축";#N/A,#N/A,FALSE,"4WD"}</definedName>
    <definedName name="ㅇㅎㅇㅎ" localSheetId="0" hidden="1">{"'용역비'!$A$4:$C$8"}</definedName>
    <definedName name="ㅇㅎㅇㅎ" localSheetId="2" hidden="1">{"'용역비'!$A$4:$C$8"}</definedName>
    <definedName name="ㅇㅎㅇㅎ" hidden="1">{"'용역비'!$A$4:$C$8"}</definedName>
    <definedName name="ㅇㅎ오" hidden="1">{#N/A,#N/A,FALSE,"단축1";#N/A,#N/A,FALSE,"단축2";#N/A,#N/A,FALSE,"단축3";#N/A,#N/A,FALSE,"장축";#N/A,#N/A,FALSE,"4WD"}</definedName>
    <definedName name="ㅇ호" localSheetId="0" hidden="1">{"'용역비'!$A$4:$C$8"}</definedName>
    <definedName name="ㅇ호" localSheetId="2" hidden="1">{"'용역비'!$A$4:$C$8"}</definedName>
    <definedName name="ㅇ호" hidden="1">{"'용역비'!$A$4:$C$8"}</definedName>
    <definedName name="ㅇ호ㅓ" localSheetId="0" hidden="1">{"'용역비'!$A$4:$C$8"}</definedName>
    <definedName name="ㅇ호ㅓ" localSheetId="2" hidden="1">{"'용역비'!$A$4:$C$8"}</definedName>
    <definedName name="ㅇ호ㅓ" hidden="1">{"'용역비'!$A$4:$C$8"}</definedName>
    <definedName name="ㅇ호ㅓㅇㅎ" localSheetId="0" hidden="1">{"'용역비'!$A$4:$C$8"}</definedName>
    <definedName name="ㅇ호ㅓㅇㅎ" localSheetId="2" hidden="1">{"'용역비'!$A$4:$C$8"}</definedName>
    <definedName name="ㅇ호ㅓㅇㅎ" hidden="1">{"'용역비'!$A$4:$C$8"}</definedName>
    <definedName name="ㅇ호ㅓㅇ호ㅓ" localSheetId="0" hidden="1">{"'용역비'!$A$4:$C$8"}</definedName>
    <definedName name="ㅇ호ㅓㅇ호ㅓ" localSheetId="2" hidden="1">{"'용역비'!$A$4:$C$8"}</definedName>
    <definedName name="ㅇ호ㅓㅇ호ㅓ" hidden="1">{"'용역비'!$A$4:$C$8"}</definedName>
    <definedName name="ㅇ호ㅓㅎ" localSheetId="0" hidden="1">{"'용역비'!$A$4:$C$8"}</definedName>
    <definedName name="ㅇ호ㅓㅎ" localSheetId="2" hidden="1">{"'용역비'!$A$4:$C$8"}</definedName>
    <definedName name="ㅇ호ㅓㅎ" hidden="1">{"'용역비'!$A$4:$C$8"}</definedName>
    <definedName name="ㅇ호ㅓ호ㅓ" localSheetId="0" hidden="1">{"'용역비'!$A$4:$C$8"}</definedName>
    <definedName name="ㅇ호ㅓ호ㅓ" localSheetId="2" hidden="1">{"'용역비'!$A$4:$C$8"}</definedName>
    <definedName name="ㅇ호ㅓ호ㅓ" hidden="1">{"'용역비'!$A$4:$C$8"}</definedName>
    <definedName name="아무" hidden="1">{#N/A,#N/A,FALSE,"배수2"}</definedName>
    <definedName name="아무거나" hidden="1">{#N/A,#N/A,FALSE,"배수2"}</definedName>
    <definedName name="아토">'[38]할증 '!#REF!</definedName>
    <definedName name="아ㅓ림" hidden="1">{#N/A,#N/A,FALSE,"포장1";#N/A,#N/A,FALSE,"포장1"}</definedName>
    <definedName name="안_________동">#REF!</definedName>
    <definedName name="안전급여">[17]현장관리비!$P$44</definedName>
    <definedName name="안전상여금">[17]현장관리비!$S$44</definedName>
    <definedName name="안현모" hidden="1">{#N/A,#N/A,FALSE,"단축1";#N/A,#N/A,FALSE,"단축2";#N/A,#N/A,FALSE,"단축3";#N/A,#N/A,FALSE,"장축";#N/A,#N/A,FALSE,"4WD"}</definedName>
    <definedName name="야">ROUND([3]!야*0.0254,3)</definedName>
    <definedName name="양기용" hidden="1">{#N/A,#N/A,FALSE,"월공사비집계표양식 (7)";#N/A,#N/A,FALSE,"월공사비집계표양식 (7)"}</definedName>
    <definedName name="양재승2222222" hidden="1">[55]차액보증!#REF!</definedName>
    <definedName name="어" localSheetId="0" hidden="1">{"'용역비'!$A$4:$C$8"}</definedName>
    <definedName name="어" localSheetId="2" hidden="1">{"'용역비'!$A$4:$C$8"}</definedName>
    <definedName name="어" hidden="1">{"'용역비'!$A$4:$C$8"}</definedName>
    <definedName name="억이상" hidden="1">{#N/A,#N/A,FALSE,"2~8번"}</definedName>
    <definedName name="얼쑤" hidden="1">[56]설계명세!#REF!</definedName>
    <definedName name="업" hidden="1">{#N/A,#N/A,FALSE,"포장2"}</definedName>
    <definedName name="업종" hidden="1">{#N/A,#N/A,FALSE,"포장2"}</definedName>
    <definedName name="업체" hidden="1">{#N/A,#N/A,FALSE,"구조2"}</definedName>
    <definedName name="업체방문" hidden="1">{#N/A,#N/A,FALSE,"단축1";#N/A,#N/A,FALSE,"단축2";#N/A,#N/A,FALSE,"단축3";#N/A,#N/A,FALSE,"장축";#N/A,#N/A,FALSE,"4WD"}</definedName>
    <definedName name="업체순위" hidden="1">{#N/A,#N/A,FALSE,"배수2"}</definedName>
    <definedName name="업체카파" hidden="1">{#N/A,#N/A,FALSE,"단축1";#N/A,#N/A,FALSE,"단축2";#N/A,#N/A,FALSE,"단축3";#N/A,#N/A,FALSE,"장축";#N/A,#N/A,FALSE,"4WD"}</definedName>
    <definedName name="업체형틀" hidden="1">{#N/A,#N/A,FALSE,"월공사비집계표양식 (7)";#N/A,#N/A,FALSE,"월공사비집계표양식 (7)"}</definedName>
    <definedName name="에이" hidden="1">{#N/A,#N/A,TRUE,"Y생산";#N/A,#N/A,TRUE,"Y판매";#N/A,#N/A,TRUE,"Y총물량";#N/A,#N/A,TRUE,"Y능력";#N/A,#N/A,TRUE,"YKD"}</definedName>
    <definedName name="엔">[48]기준FACTOR!#REF!</definedName>
    <definedName name="엔s">#REF!</definedName>
    <definedName name="엔진" hidden="1">{#N/A,#N/A,FALSE,"단축1";#N/A,#N/A,FALSE,"단축2";#N/A,#N/A,FALSE,"단축3";#N/A,#N/A,FALSE,"장축";#N/A,#N/A,FALSE,"4WD"}</definedName>
    <definedName name="엔화">#REF!</definedName>
    <definedName name="여">ROUND([3]!여*0.0254,3)</definedName>
    <definedName name="여_________수">#REF!</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염색기술3" hidden="1">{#N/A,#N/A,TRUE,"손익보고"}</definedName>
    <definedName name="예비비">#REF!</definedName>
    <definedName name="예산" hidden="1">{#N/A,#N/A,TRUE,"손익보고"}</definedName>
    <definedName name="예정가" hidden="1">{#N/A,#N/A,FALSE,"포장2"}</definedName>
    <definedName name="오">{#N/A,#N/A,FALSE,"포장2"}</definedName>
    <definedName name="오성협" hidden="1">{#N/A,#N/A,TRUE,"Y생산";#N/A,#N/A,TRUE,"Y판매";#N/A,#N/A,TRUE,"Y총물량";#N/A,#N/A,TRUE,"Y능력";#N/A,#N/A,TRUE,"YKD"}</definedName>
    <definedName name="오익환" hidden="1">{#N/A,#N/A,FALSE,"단축1";#N/A,#N/A,FALSE,"단축2";#N/A,#N/A,FALSE,"단축3";#N/A,#N/A,FALSE,"장축";#N/A,#N/A,FALSE,"4WD"}</definedName>
    <definedName name="완_________도">#REF!</definedName>
    <definedName name="완도" hidden="1">{#N/A,#N/A,FALSE,"포장2"}</definedName>
    <definedName name="왜그래">#REF!</definedName>
    <definedName name="외비할">#REF!</definedName>
    <definedName name="외외할">[57]FACTOR!$F$13</definedName>
    <definedName name="외주계획" hidden="1">{#N/A,#N/A,TRUE,"Y생산";#N/A,#N/A,TRUE,"Y판매";#N/A,#N/A,TRUE,"Y총물량";#N/A,#N/A,TRUE,"Y능력";#N/A,#N/A,TRUE,"YKD"}</definedName>
    <definedName name="요율">[58]환율change!$B$5</definedName>
    <definedName name="용도차" hidden="1">{#N/A,#N/A,FALSE,"단축1";#N/A,#N/A,FALSE,"단축2";#N/A,#N/A,FALSE,"단축3";#N/A,#N/A,FALSE,"장축";#N/A,#N/A,FALSE,"4WD"}</definedName>
    <definedName name="용용" hidden="1">{#N/A,#N/A,FALSE,"포장2"}</definedName>
    <definedName name="용접공">#REF!</definedName>
    <definedName name="우일">#REF!</definedName>
    <definedName name="운반량집계표" hidden="1">{#N/A,#N/A,FALSE,"전력간선"}</definedName>
    <definedName name="운반집계" hidden="1">{#N/A,#N/A,FALSE,"전력간선"}</definedName>
    <definedName name="운반집계표" hidden="1">{#N/A,#N/A,FALSE,"전력간선"}</definedName>
    <definedName name="운송할">#REF!</definedName>
    <definedName name="운영구도2" hidden="1">{#N/A,#N/A,FALSE,"단축1";#N/A,#N/A,FALSE,"단축2";#N/A,#N/A,FALSE,"단축3";#N/A,#N/A,FALSE,"장축";#N/A,#N/A,FALSE,"4WD"}</definedName>
    <definedName name="운영구도3" hidden="1">{#N/A,#N/A,FALSE,"단축1";#N/A,#N/A,FALSE,"단축2";#N/A,#N/A,FALSE,"단축3";#N/A,#N/A,FALSE,"장축";#N/A,#N/A,FALSE,"4WD"}</definedName>
    <definedName name="울_________산">#REF!</definedName>
    <definedName name="울_________진">#REF!</definedName>
    <definedName name="원_________주">#REF!</definedName>
    <definedName name="원가계산서" hidden="1">0</definedName>
    <definedName name="원가교정" localSheetId="0" hidden="1">{#N/A,#N/A,FALSE,"전열산출서"}</definedName>
    <definedName name="원가교정" localSheetId="2" hidden="1">{#N/A,#N/A,FALSE,"전열산출서"}</definedName>
    <definedName name="원가교정" hidden="1">{#N/A,#N/A,FALSE,"전열산출서"}</definedName>
    <definedName name="원가수정" localSheetId="0" hidden="1">{#N/A,#N/A,FALSE,"전열산출서"}</definedName>
    <definedName name="원가수정" localSheetId="2" hidden="1">{#N/A,#N/A,FALSE,"전열산출서"}</definedName>
    <definedName name="원가수정" hidden="1">{#N/A,#N/A,FALSE,"전열산출서"}</definedName>
    <definedName name="원남내역" hidden="1">[59]실행철강하도!$A$1:$A$4</definedName>
    <definedName name="원단가">'[60]할증 '!$G:$G</definedName>
    <definedName name="원단운영안" hidden="1">{#N/A,#N/A,FALSE,"단축1";#N/A,#N/A,FALSE,"단축2";#N/A,#N/A,FALSE,"단축3";#N/A,#N/A,FALSE,"장축";#N/A,#N/A,FALSE,"4WD"}</definedName>
    <definedName name="원대만">'[38]할증 '!#REF!</definedName>
    <definedName name="원불">'[38]할증 '!$B$1</definedName>
    <definedName name="원엔">'[38]할증 '!#REF!</definedName>
    <definedName name="원화환율">#REF!</definedName>
    <definedName name="은">ROUND([3]!은*0.0254,3)</definedName>
    <definedName name="을___릉___도">#REF!</definedName>
    <definedName name="의" hidden="1">{#N/A,#N/A,FALSE,"운반시간"}</definedName>
    <definedName name="이">ROUND([3]!이*0.0254,3)</definedName>
    <definedName name="이가" hidden="1">{"'Firr(선)'!$AS$1:$AY$62","'Firr(사)'!$AS$1:$AY$62","'Firr(회)'!$AS$1:$AY$62","'Firr(선)'!$L$1:$V$62","'Firr(사)'!$L$1:$V$62","'Firr(회)'!$L$1:$V$62"}</definedName>
    <definedName name="이근한" hidden="1">{#N/A,#N/A,FALSE,"단축1";#N/A,#N/A,FALSE,"단축2";#N/A,#N/A,FALSE,"단축3";#N/A,#N/A,FALSE,"장축";#N/A,#N/A,FALSE,"4WD"}</definedName>
    <definedName name="이란" hidden="1">{#N/A,#N/A,FALSE,"단축1";#N/A,#N/A,FALSE,"단축2";#N/A,#N/A,FALSE,"단축3";#N/A,#N/A,FALSE,"장축";#N/A,#N/A,FALSE,"4WD"}</definedName>
    <definedName name="이름">{#N/A,#N/A,FALSE,"구조1"}</definedName>
    <definedName name="이식">#REF!</definedName>
    <definedName name="이윤">#REF!</definedName>
    <definedName name="인">[48]기준FACTOR!#REF!</definedName>
    <definedName name="인_________천">#REF!</definedName>
    <definedName name="인1">[61]FACTOR!$C$3</definedName>
    <definedName name="인10">[61]FACTOR!$C$12</definedName>
    <definedName name="인11">[61]FACTOR!$C$13</definedName>
    <definedName name="인12">[61]FACTOR!$C$14</definedName>
    <definedName name="인13">[61]FACTOR!$C$15</definedName>
    <definedName name="인2">[61]FACTOR!$C$4</definedName>
    <definedName name="인3">[61]FACTOR!$C$5</definedName>
    <definedName name="인4">[61]FACTOR!$C$6</definedName>
    <definedName name="인5">[61]FACTOR!$C$7</definedName>
    <definedName name="인6">[61]FACTOR!$C$8</definedName>
    <definedName name="인7">[61]FACTOR!$C$9</definedName>
    <definedName name="인8">[61]FACTOR!$C$10</definedName>
    <definedName name="인9">[61]FACTOR!$C$11</definedName>
    <definedName name="인건">[62]을!#REF!</definedName>
    <definedName name="인비할">#REF!</definedName>
    <definedName name="인세할">#REF!</definedName>
    <definedName name="인수할">#REF!</definedName>
    <definedName name="인원">[17]현장관리비!$K$95</definedName>
    <definedName name="인지세액">#REF!</definedName>
    <definedName name="인할">[36]FACTOR!#REF!</definedName>
    <definedName name="인할1">[36]FACTOR!#REF!</definedName>
    <definedName name="인할10">[36]FACTOR!#REF!</definedName>
    <definedName name="인할11">[36]FACTOR!#REF!</definedName>
    <definedName name="인할12">[36]FACTOR!#REF!</definedName>
    <definedName name="인할2">[36]FACTOR!#REF!</definedName>
    <definedName name="인할3">[36]FACTOR!#REF!</definedName>
    <definedName name="인할4">[36]FACTOR!#REF!</definedName>
    <definedName name="인할5">[36]FACTOR!#REF!</definedName>
    <definedName name="인할6">[36]FACTOR!#REF!</definedName>
    <definedName name="인할7">[36]FACTOR!#REF!</definedName>
    <definedName name="인할8">[36]FACTOR!#REF!</definedName>
    <definedName name="인할9">[36]FACTOR!#REF!</definedName>
    <definedName name="일">[40]실행철강하도!$A$1:$A$4</definedName>
    <definedName name="일이ㅏㄹ" hidden="1">{#N/A,#N/A,FALSE,"단축1";#N/A,#N/A,FALSE,"단축2";#N/A,#N/A,FALSE,"단축3";#N/A,#N/A,FALSE,"장축";#N/A,#N/A,FALSE,"4WD"}</definedName>
    <definedName name="일정97" hidden="1">#REF!</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찰금액안" hidden="1">[63]집계표!#REF!</definedName>
    <definedName name="ㅈ">ROUND([3]!ㅈ*0.0254,3)</definedName>
    <definedName name="ㅈ56ㅕ" localSheetId="0" hidden="1">{"'용역비'!$A$4:$C$8"}</definedName>
    <definedName name="ㅈ56ㅕ" localSheetId="2" hidden="1">{"'용역비'!$A$4:$C$8"}</definedName>
    <definedName name="ㅈ56ㅕ" hidden="1">{"'용역비'!$A$4:$C$8"}</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ㄷㄱㄷㄱㄷ" localSheetId="0" hidden="1">{"'용역비'!$A$4:$C$8"}</definedName>
    <definedName name="ㅈㄷㄱㄷㄱㄷ" localSheetId="2" hidden="1">{"'용역비'!$A$4:$C$8"}</definedName>
    <definedName name="ㅈㄷㄱㄷㄱㄷ" hidden="1">{"'용역비'!$A$4:$C$8"}</definedName>
    <definedName name="ㅈㄷㄱㅈㅁㄷㅅ" hidden="1">{#N/A,#N/A,FALSE,"인원";#N/A,#N/A,FALSE,"비용2";#N/A,#N/A,FALSE,"비용1";#N/A,#N/A,FALSE,"비용";#N/A,#N/A,FALSE,"보증2";#N/A,#N/A,FALSE,"보증1";#N/A,#N/A,FALSE,"보증";#N/A,#N/A,FALSE,"손익1";#N/A,#N/A,FALSE,"손익";#N/A,#N/A,FALSE,"부서별매출";#N/A,#N/A,FALSE,"매출"}</definedName>
    <definedName name="ㅈㄷ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ㅇ" localSheetId="0" hidden="1">{"'용역비'!$A$4:$C$8"}</definedName>
    <definedName name="ㅈㅇ" localSheetId="2" hidden="1">{"'용역비'!$A$4:$C$8"}</definedName>
    <definedName name="ㅈㅇ" hidden="1">{"'용역비'!$A$4:$C$8"}</definedName>
    <definedName name="ㅈㅈㅈ" localSheetId="0" hidden="1">{"'용역비'!$A$4:$C$8"}</definedName>
    <definedName name="ㅈㅈㅈ" localSheetId="2" hidden="1">{"'용역비'!$A$4:$C$8"}</definedName>
    <definedName name="ㅈㅈㅈ" hidden="1">{"'용역비'!$A$4:$C$8"}</definedName>
    <definedName name="ㅈㅈㅈㅈ" hidden="1">{#N/A,#N/A,FALSE,"명세표"}</definedName>
    <definedName name="ㅈㅈㅈㅈㅈㅈ" localSheetId="0" hidden="1">{"'용역비'!$A$4:$C$8"}</definedName>
    <definedName name="ㅈㅈㅈㅈㅈㅈ" localSheetId="2" hidden="1">{"'용역비'!$A$4:$C$8"}</definedName>
    <definedName name="ㅈㅈㅈㅈㅈㅈ" hidden="1">{"'용역비'!$A$4:$C$8"}</definedName>
    <definedName name="자1">[61]FACTOR!$G$3</definedName>
    <definedName name="자미" hidden="1">{#N/A,#N/A,FALSE,"명세표"}</definedName>
    <definedName name="자비할">#REF!</definedName>
    <definedName name="자수할">#REF!</definedName>
    <definedName name="자수할1">#REF!</definedName>
    <definedName name="자잦" hidden="1">{#N/A,#N/A,FALSE,"단축1";#N/A,#N/A,FALSE,"단축2";#N/A,#N/A,FALSE,"단축3";#N/A,#N/A,FALSE,"장축";#N/A,#N/A,FALSE,"4WD"}</definedName>
    <definedName name="자재1" hidden="1">{#N/A,#N/A,FALSE,"포장2"}</definedName>
    <definedName name="자재2">{#N/A,#N/A,FALSE,"구조2"}</definedName>
    <definedName name="자재기준" hidden="1">{#N/A,#N/A,TRUE,"Y생산";#N/A,#N/A,TRUE,"Y판매";#N/A,#N/A,TRUE,"Y총물량";#N/A,#N/A,TRUE,"Y능력";#N/A,#N/A,TRUE,"YKD"}</definedName>
    <definedName name="자재비" localSheetId="0" hidden="1">{"'용역비'!$A$4:$C$8"}</definedName>
    <definedName name="자재비" localSheetId="2" hidden="1">{"'용역비'!$A$4:$C$8"}</definedName>
    <definedName name="자재비" hidden="1">{"'용역비'!$A$4:$C$8"}</definedName>
    <definedName name="자할">[30]FACTOR!$B$2</definedName>
    <definedName name="자할1">[28]FACTOR!#REF!</definedName>
    <definedName name="자할2">#REF!</definedName>
    <definedName name="자할3">#REF!</definedName>
    <definedName name="자할4">#REF!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장" hidden="1">0</definedName>
    <definedName name="장비">#REF!</definedName>
    <definedName name="장비할">#REF!</definedName>
    <definedName name="장위" hidden="1">#REF!</definedName>
    <definedName name="장할">[30]FACTOR!$B$3</definedName>
    <definedName name="재견적서" hidden="1">{#N/A,#N/A,FALSE,"전력간선"}</definedName>
    <definedName name="재료계">'[64]실행(1)'!#REF!</definedName>
    <definedName name="재작성" hidden="1">{#N/A,#N/A,FALSE,"ROW DATA"}</definedName>
    <definedName name="적룔">[65]환율change!$B$5</definedName>
    <definedName name="적용">[58]환율change!#REF!</definedName>
    <definedName name="적용환율">[66]환율change!$B$5</definedName>
    <definedName name="전_________주">#REF!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기특기조건" hidden="1">{#N/A,#N/A,FALSE,"현장 NCR 분석";#N/A,#N/A,FALSE,"현장품질감사";#N/A,#N/A,FALSE,"현장품질감사"}</definedName>
    <definedName name="전체종합2" hidden="1">{#N/A,#N/A,FALSE,"단축1";#N/A,#N/A,FALSE,"단축2";#N/A,#N/A,FALSE,"단축3";#N/A,#N/A,FALSE,"장축";#N/A,#N/A,FALSE,"4WD"}</definedName>
    <definedName name="전체현황" hidden="1">{#N/A,#N/A,FALSE,"단축1";#N/A,#N/A,FALSE,"단축2";#N/A,#N/A,FALSE,"단축3";#N/A,#N/A,FALSE,"장축";#N/A,#N/A,FALSE,"4WD"}</definedName>
    <definedName name="정리">#REF!</definedName>
    <definedName name="정비대수" hidden="1">{#N/A,#N/A,FALSE,"인원";#N/A,#N/A,FALSE,"비용2";#N/A,#N/A,FALSE,"비용1";#N/A,#N/A,FALSE,"비용";#N/A,#N/A,FALSE,"보증2";#N/A,#N/A,FALSE,"보증1";#N/A,#N/A,FALSE,"보증";#N/A,#N/A,FALSE,"손익1";#N/A,#N/A,FALSE,"손익";#N/A,#N/A,FALSE,"부서별매출";#N/A,#N/A,FALSE,"매출"}</definedName>
    <definedName name="정산표" hidden="1">{#N/A,#N/A,FALSE,"현장 NCR 분석";#N/A,#N/A,FALSE,"현장품질감사";#N/A,#N/A,FALSE,"현장품질감사"}</definedName>
    <definedName name="정우">[67]내역서!#REF!</definedName>
    <definedName name="정호">#REF!</definedName>
    <definedName name="젖" hidden="1">{#N/A,#N/A,FALSE,"단축1";#N/A,#N/A,FALSE,"단축2";#N/A,#N/A,FALSE,"단축3";#N/A,#N/A,FALSE,"장축";#N/A,#N/A,FALSE,"4WD"}</definedName>
    <definedName name="제_________주">#REF!</definedName>
    <definedName name="제관공사" hidden="1">{#N/A,#N/A,FALSE,"CCTV"}</definedName>
    <definedName name="제수추가" localSheetId="0" hidden="1">{"'용역비'!$A$4:$C$8"}</definedName>
    <definedName name="제수추가" localSheetId="2" hidden="1">{"'용역비'!$A$4:$C$8"}</definedName>
    <definedName name="제수추가" hidden="1">{"'용역비'!$A$4:$C$8"}</definedName>
    <definedName name="제작현황" hidden="1">{#N/A,#N/A,FALSE,"단축1";#N/A,#N/A,FALSE,"단축2";#N/A,#N/A,FALSE,"단축3";#N/A,#N/A,FALSE,"장축";#N/A,#N/A,FALSE,"4WD"}</definedName>
    <definedName name="조" hidden="1">{"'Firr(선)'!$AS$1:$AY$62","'Firr(사)'!$AS$1:$AY$62","'Firr(회)'!$AS$1:$AY$62","'Firr(선)'!$L$1:$V$62","'Firr(사)'!$L$1:$V$62","'Firr(회)'!$L$1:$V$62"}</definedName>
    <definedName name="조립" hidden="1">{#N/A,#N/A,FALSE,"단축1";#N/A,#N/A,FALSE,"단축2";#N/A,#N/A,FALSE,"단축3";#N/A,#N/A,FALSE,"장축";#N/A,#N/A,FALSE,"4WD"}</definedName>
    <definedName name="조사가" hidden="1">[68]입찰안!#REF!</definedName>
    <definedName name="조차장" hidden="1">{#N/A,#N/A,FALSE,"명세표"}</definedName>
    <definedName name="조효" hidden="1">{"'Firr(선)'!$AS$1:$AY$62","'Firr(사)'!$AS$1:$AY$62","'Firr(회)'!$AS$1:$AY$62","'Firr(선)'!$L$1:$V$62","'Firr(사)'!$L$1:$V$62","'Firr(회)'!$L$1:$V$62"}</definedName>
    <definedName name="조효석" hidden="1">{"'Firr(선)'!$AS$1:$AY$62","'Firr(사)'!$AS$1:$AY$62","'Firr(회)'!$AS$1:$AY$62","'Firr(선)'!$L$1:$V$62","'Firr(사)'!$L$1:$V$62","'Firr(회)'!$L$1:$V$62"}</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그래프"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중량산출" hidden="1">{#N/A,#N/A,FALSE,"Sheet1"}</definedName>
    <definedName name="중앙" hidden="1">{#N/A,#N/A,FALSE,"단축1";#N/A,#N/A,FALSE,"단축2";#N/A,#N/A,FALSE,"단축3";#N/A,#N/A,FALSE,"장축";#N/A,#N/A,FALSE,"4WD"}</definedName>
    <definedName name="증감내역" hidden="1">#REF!</definedName>
    <definedName name="지" hidden="1">{#N/A,#N/A,FALSE,"배수2"}</definedName>
    <definedName name="지경영" hidden="1">{#N/A,#N/A,FALSE,"인원";#N/A,#N/A,FALSE,"비용2";#N/A,#N/A,FALSE,"비용1";#N/A,#N/A,FALSE,"비용";#N/A,#N/A,FALSE,"보증2";#N/A,#N/A,FALSE,"보증1";#N/A,#N/A,FALSE,"보증";#N/A,#N/A,FALSE,"손익1";#N/A,#N/A,FALSE,"손익";#N/A,#N/A,FALSE,"부서별매출";#N/A,#N/A,FALSE,"매출"}</definedName>
    <definedName name="지역">#REF!</definedName>
    <definedName name="지역별">#REF!</definedName>
    <definedName name="지역별온습도">[69]DATA!$A$3:$A$5</definedName>
    <definedName name="지역업체" hidden="1">{#N/A,#N/A,FALSE,"배수2"}</definedName>
    <definedName name="지중" hidden="1">{#N/A,#N/A,FALSE,"명세표"}</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재" localSheetId="0" hidden="1">{"'용역비'!$A$4:$C$8"}</definedName>
    <definedName name="직재" localSheetId="2" hidden="1">{"'용역비'!$A$4:$C$8"}</definedName>
    <definedName name="직재" hidden="1">{"'용역비'!$A$4:$C$8"}</definedName>
    <definedName name="직접">[70]B!#REF!</definedName>
    <definedName name="직종별">#REF!</definedName>
    <definedName name="진_________주">#REF!</definedName>
    <definedName name="진출의사보유" hidden="1">{#N/A,#N/A,FALSE,"단축1";#N/A,#N/A,FALSE,"단축2";#N/A,#N/A,FALSE,"단축3";#N/A,#N/A,FALSE,"장축";#N/A,#N/A,FALSE,"4WD"}</definedName>
    <definedName name="집계" localSheetId="2" hidden="1">'[71]N賃率-職'!$I$5:$I$30</definedName>
    <definedName name="집계">[72]PIPING!#REF!</definedName>
    <definedName name="집계SHEET">[73]당초!#REF!</definedName>
    <definedName name="짜증나" hidden="1">{#N/A,#N/A,FALSE,"Sheet1"}</definedName>
    <definedName name="ㅊ">ROUND([3]!ㅊ*0.0254,3)</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찰샇기" hidden="1">#REF!</definedName>
    <definedName name="참고" hidden="1">0</definedName>
    <definedName name="처리">#REF!</definedName>
    <definedName name="천사" localSheetId="0" hidden="1">{"'용역비'!$A$4:$C$8"}</definedName>
    <definedName name="천사" localSheetId="2" hidden="1">{"'용역비'!$A$4:$C$8"}</definedName>
    <definedName name="천사" hidden="1">{"'용역비'!$A$4:$C$8"}</definedName>
    <definedName name="철_________원">#REF!</definedName>
    <definedName name="철탑부지">ROUND([3]!철탑부지*0.0254,3)</definedName>
    <definedName name="첨" hidden="1">{#N/A,#N/A,FALSE,"단축1";#N/A,#N/A,FALSE,"단축2";#N/A,#N/A,FALSE,"단축3";#N/A,#N/A,FALSE,"장축";#N/A,#N/A,FALSE,"4WD"}</definedName>
    <definedName name="청_________주">#REF!</definedName>
    <definedName name="청수" hidden="1">{#N/A,#N/A,FALSE,"월공사비집계표양식 (7)";#N/A,#N/A,FALSE,"월공사비집계표양식 (7)"}</definedName>
    <definedName name="총" hidden="1">{#N/A,#N/A,FALSE,"부대1"}</definedName>
    <definedName name="총괄" hidden="1">{#N/A,#N/A,FALSE,"월공사비집계표양식 (7)";#N/A,#N/A,FALSE,"월공사비집계표양식 (7)"}</definedName>
    <definedName name="최대용량">MAX([45]빙장비사양!L1048554/[45]빙장비사양!J1048553,[45]빙장비사양!L1048557/[45]빙장비사양!J1048557,[45]빙장비사양!L1048561/([45]빙장비사양!J1048561-1),[45]빙장비사양!L1048563/([45]빙장비사양!L1048563-1))</definedName>
    <definedName name="최종추가합" hidden="1">#REF!</definedName>
    <definedName name="쵸">ROUND([3]!쵸*0.0254,3)</definedName>
    <definedName name="추" hidden="1">{#N/A,#N/A,FALSE,"단축1";#N/A,#N/A,FALSE,"단축2";#N/A,#N/A,FALSE,"단축3";#N/A,#N/A,FALSE,"장축";#N/A,#N/A,FALSE,"4WD"}</definedName>
    <definedName name="추___풍___령">#REF!</definedName>
    <definedName name="추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내역"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추정" hidden="1">{#N/A,#N/A,FALSE,"포장2"}</definedName>
    <definedName name="추진과제" hidden="1">{#N/A,#N/A,FALSE,"단축1";#N/A,#N/A,FALSE,"단축2";#N/A,#N/A,FALSE,"단축3";#N/A,#N/A,FALSE,"장축";#N/A,#N/A,FALSE,"4WD"}</definedName>
    <definedName name="춘_________천">#REF!</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충_________무">#REF!</definedName>
    <definedName name="칠곡" hidden="1">{#N/A,#N/A,TRUE,"손익보고"}</definedName>
    <definedName name="ㅋ" hidden="1">{#N/A,#N/A,FALSE,"명세표"}</definedName>
    <definedName name="ㅋㅁ" hidden="1">{#N/A,#N/A,FALSE,"명세표"}</definedName>
    <definedName name="ㅋㅋ" hidden="1">{#N/A,#N/A,FALSE,"명세표"}</definedName>
    <definedName name="ㅋㅋㅋ" localSheetId="0" hidden="1">{"'용역비'!$A$4:$C$8"}</definedName>
    <definedName name="ㅋㅋㅋ" localSheetId="2" hidden="1">{"'용역비'!$A$4:$C$8"}</definedName>
    <definedName name="ㅋㅋㅋ" hidden="1">{"'용역비'!$A$4:$C$8"}</definedName>
    <definedName name="ㅋㅌ" localSheetId="0" hidden="1">{"'용역비'!$A$4:$C$8"}</definedName>
    <definedName name="ㅋㅌ" localSheetId="2" hidden="1">{"'용역비'!$A$4:$C$8"}</definedName>
    <definedName name="ㅋㅌ" hidden="1">{"'용역비'!$A$4:$C$8"}</definedName>
    <definedName name="카" hidden="1">{#N/A,#N/A,FALSE,"CCTV"}</definedName>
    <definedName name="코솔라" hidden="1">{#N/A,#N/A,FALSE,"배수1"}</definedName>
    <definedName name="ㅌ">ROUND([3]!ㅌ*0.0254,3)</definedName>
    <definedName name="ㅌㅌ" hidden="1">{#N/A,#N/A,TRUE,"일정"}</definedName>
    <definedName name="타" hidden="1">{#N/A,#N/A,FALSE,"CCTV"}</definedName>
    <definedName name="태영지급" hidden="1">{#N/A,#N/A,FALSE,"부대1"}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공" hidden="1">{#N/A,#N/A,FALSE,"포장2"}</definedName>
    <definedName name="토공11" hidden="1">{#N/A,#N/A,FALSE,"포장2"}</definedName>
    <definedName name="토공2222333" hidden="1">#REF!</definedName>
    <definedName name="토목견적" hidden="1">{#N/A,#N/A,FALSE,"골재소요량";#N/A,#N/A,FALSE,"골재소요량"}</definedName>
    <definedName name="토목공사" hidden="1">{#N/A,#N/A,FALSE,"CCTV"}</definedName>
    <definedName name="토목공사계약3" hidden="1">{#N/A,#N/A,FALSE,"CCTV"}</definedName>
    <definedName name="토목설계" hidden="1">{#N/A,#N/A,FALSE,"골재소요량";#N/A,#N/A,FALSE,"골재소요량"}</definedName>
    <definedName name="토목실행" hidden="1">{#N/A,#N/A,FALSE,"골재소요량";#N/A,#N/A,FALSE,"골재소요량"}</definedName>
    <definedName name="토적표" hidden="1">#REF!</definedName>
    <definedName name="토철" hidden="1">{#N/A,#N/A,FALSE,"구조2"}</definedName>
    <definedName name="통합할">#REF!</definedName>
    <definedName name="투3" hidden="1">{#N/A,#N/A,FALSE,"배수2"}</definedName>
    <definedName name="투자" hidden="1">1</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찰표" hidden="1">{#N/A,#N/A,FALSE,"부대1"}</definedName>
    <definedName name="ㅍ" hidden="1">{#N/A,#N/A,FALSE,"명세표"}</definedName>
    <definedName name="ㅍㅍ" hidden="1">{#N/A,#N/A,FALSE,"단축1";#N/A,#N/A,FALSE,"단축2";#N/A,#N/A,FALSE,"단축3";#N/A,#N/A,FALSE,"장축";#N/A,#N/A,FALSE,"4WD"}</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 hidden="1">{#N/A,#N/A,FALSE,"CCTV"}</definedName>
    <definedName name="파운드">#REF!</definedName>
    <definedName name="파운드환율">#REF!</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페이지" hidden="1">{"'Firr(선)'!$AS$1:$AY$62","'Firr(사)'!$AS$1:$AY$62","'Firr(회)'!$AS$1:$AY$62","'Firr(선)'!$L$1:$V$62","'Firr(사)'!$L$1:$V$62","'Firr(회)'!$L$1:$V$62"}</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포_________항">#REF!</definedName>
    <definedName name="표지" hidden="1">{#N/A,#N/A,FALSE,"Sheet1"}</definedName>
    <definedName name="품보부" hidden="1">{#N/A,#N/A,FALSE,"KMC최종회의(7월) 자료"}</definedName>
    <definedName name="품질생산합격" hidden="1">{#N/A,#N/A,TRUE,"Y생산";#N/A,#N/A,TRUE,"Y판매";#N/A,#N/A,TRUE,"Y총물량";#N/A,#N/A,TRUE,"Y능력";#N/A,#N/A,TRUE,"YKD"}</definedName>
    <definedName name="품확차조립계획일정" hidden="1">{#N/A,#N/A,FALSE,"단축1";#N/A,#N/A,FALSE,"단축2";#N/A,#N/A,FALSE,"단축3";#N/A,#N/A,FALSE,"장축";#N/A,#N/A,FALSE,"4WD"}</definedName>
    <definedName name="풍전2" hidden="1">{#N/A,#N/A,TRUE,"손익보고"}</definedName>
    <definedName name="프레스" hidden="1">{#N/A,#N/A,FALSE,"단축1";#N/A,#N/A,FALSE,"단축2";#N/A,#N/A,FALSE,"단축3";#N/A,#N/A,FALSE,"장축";#N/A,#N/A,FALSE,"4WD"}</definedName>
    <definedName name="프레스치공구팀" hidden="1">{#N/A,#N/A,TRUE,"일정"}</definedName>
    <definedName name="ㅎ" hidden="1">{#N/A,#N/A,FALSE,"단축1";#N/A,#N/A,FALSE,"단축2";#N/A,#N/A,FALSE,"단축3";#N/A,#N/A,FALSE,"장축";#N/A,#N/A,FALSE,"4WD"}</definedName>
    <definedName name="ㅎㄴ" hidden="1">{#N/A,#N/A,FALSE,"단축1";#N/A,#N/A,FALSE,"단축2";#N/A,#N/A,FALSE,"단축3";#N/A,#N/A,FALSE,"장축";#N/A,#N/A,FALSE,"4WD"}</definedName>
    <definedName name="ㅎㄹ" hidden="1">{#N/A,#N/A,FALSE,"CCTV"}</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ㅇ" localSheetId="0" hidden="1">{"'용역비'!$A$4:$C$8"}</definedName>
    <definedName name="ㅎㅇ" localSheetId="2" hidden="1">{"'용역비'!$A$4:$C$8"}</definedName>
    <definedName name="ㅎㅇ" hidden="1">{"'용역비'!$A$4:$C$8"}</definedName>
    <definedName name="ㅎ오" localSheetId="0" hidden="1">{"'용역비'!$A$4:$C$8"}</definedName>
    <definedName name="ㅎ오" localSheetId="2" hidden="1">{"'용역비'!$A$4:$C$8"}</definedName>
    <definedName name="ㅎ오" hidden="1">{"'용역비'!$A$4:$C$8"}</definedName>
    <definedName name="ㅎㅎㅎ" localSheetId="0" hidden="1">{"'용역비'!$A$4:$C$8"}</definedName>
    <definedName name="ㅎㅎㅎ" localSheetId="2" hidden="1">{"'용역비'!$A$4:$C$8"}</definedName>
    <definedName name="ㅎㅎㅎ" hidden="1">{"'용역비'!$A$4:$C$8"}</definedName>
    <definedName name="하늘" hidden="1">{#N/A,#N/A,FALSE,"단축1";#N/A,#N/A,FALSE,"단축2";#N/A,#N/A,FALSE,"단축3";#N/A,#N/A,FALSE,"장축";#N/A,#N/A,FALSE,"4WD"}</definedName>
    <definedName name="하도" hidden="1">{#N/A,#N/A,FALSE,"이정표"}</definedName>
    <definedName name="하동" hidden="1">#REF!</definedName>
    <definedName name="하동1" hidden="1">#REF!</definedName>
    <definedName name="하동2" hidden="1">#REF!</definedName>
    <definedName name="하자">#REF!</definedName>
    <definedName name="하하하" hidden="1">{#N/A,#N/A,FALSE,"명세표"}</definedName>
    <definedName name="하한선" hidden="1">{#N/A,#N/A,FALSE,"배수2"}</definedName>
    <definedName name="한" hidden="1">#REF!</definedName>
    <definedName name="할304">[23]FACTOR!#REF!</definedName>
    <definedName name="할316">[23]FACTOR!#REF!</definedName>
    <definedName name="할증">#REF!</definedName>
    <definedName name="할증_1">'[2]할증 '!$D$5</definedName>
    <definedName name="할증1">'[74]할증 '!$B$6</definedName>
    <definedName name="할증1_1">'[2]할증 '!$D$6</definedName>
    <definedName name="할증2">'[74]할증 '!$B$7</definedName>
    <definedName name="할증2_2">'[2]할증 '!$D$7</definedName>
    <definedName name="할증FIT">#REF!</definedName>
    <definedName name="할증VV">#REF!</definedName>
    <definedName name="합" hidden="1">0</definedName>
    <definedName name="해" hidden="1">#REF!</definedName>
    <definedName name="햐ㅓㅈ바허ㅏㅣ농하ㅗㅎ" hidden="1">{#N/A,#N/A,FALSE,"CCTV"}</definedName>
    <definedName name="향후계획1" hidden="1">{#N/A,#N/A,FALSE,"단축1";#N/A,#N/A,FALSE,"단축2";#N/A,#N/A,FALSE,"단축3";#N/A,#N/A,FALSE,"장축";#N/A,#N/A,FALSE,"4WD"}</definedName>
    <definedName name="현조" hidden="1">#REF!</definedName>
    <definedName name="현황표2" hidden="1">{#N/A,#N/A,FALSE,"단축1";#N/A,#N/A,FALSE,"단축2";#N/A,#N/A,FALSE,"단축3";#N/A,#N/A,FALSE,"장축";#N/A,#N/A,FALSE,"4WD"}</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업체" hidden="1">{#N/A,#N/A,FALSE,"월공사비집계표양식 (7)";#N/A,#N/A,FALSE,"월공사비집계표양식 (7)"}</definedName>
    <definedName name="호" hidden="1">0</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{#N/A,#N/A,FALSE,"명세표"}</definedName>
    <definedName name="호ㅓ" localSheetId="0" hidden="1">{"'용역비'!$A$4:$C$8"}</definedName>
    <definedName name="호ㅓ" localSheetId="2" hidden="1">{"'용역비'!$A$4:$C$8"}</definedName>
    <definedName name="호ㅓ" hidden="1">{"'용역비'!$A$4:$C$8"}</definedName>
    <definedName name="호ㅓㅕㅏ6ㅅ서ㅛㅓ" hidden="1">[75]입찰안!#REF!</definedName>
    <definedName name="홍ㅇ호" localSheetId="0" hidden="1">{"'용역비'!$A$4:$C$8"}</definedName>
    <definedName name="홍ㅇ호" localSheetId="2" hidden="1">{"'용역비'!$A$4:$C$8"}</definedName>
    <definedName name="홍ㅇ호" hidden="1">{"'용역비'!$A$4:$C$8"}</definedName>
    <definedName name="화일등록철">#REF!</definedName>
    <definedName name="환율">[36]FACTOR!#REF!</definedName>
    <definedName name="환율1">#REF!</definedName>
    <definedName name="환율2">#REF!</definedName>
    <definedName name="환율변환">[76]환율change!$B$5</definedName>
    <definedName name="환율변환2">[76]환율change!#REF!</definedName>
    <definedName name="환전">BlankMacro1</definedName>
    <definedName name="황">#REF!</definedName>
    <definedName name="황보" hidden="1">{#N/A,#N/A,FALSE,"CCTV"}</definedName>
    <definedName name="효석" hidden="1">{"'Firr(선)'!$AS$1:$AY$62","'Firr(사)'!$AS$1:$AY$62","'Firr(회)'!$AS$1:$AY$62","'Firr(선)'!$L$1:$V$62","'Firr(사)'!$L$1:$V$62","'Firr(회)'!$L$1:$V$62"}</definedName>
    <definedName name="ㅏ">ROUND([3]!ㅏ*0.0254,3)</definedName>
    <definedName name="ㅏ1" hidden="1">#REF!</definedName>
    <definedName name="ㅏㅏㅏ" hidden="1">{#N/A,#N/A,FALSE,"명세표"}</definedName>
    <definedName name="ㅐ">ROUND([3]!ㅐ*0.0254,3)</definedName>
    <definedName name="ㅐ520">#REF!</definedName>
    <definedName name="ㅐㅐㅐ" hidden="1">{#N/A,#N/A,TRUE,"일정"}</definedName>
    <definedName name="ㅑ" hidden="1">{#N/A,#N/A,FALSE,"단축1";#N/A,#N/A,FALSE,"단축2";#N/A,#N/A,FALSE,"단축3";#N/A,#N/A,FALSE,"장축";#N/A,#N/A,FALSE,"4WD"}</definedName>
    <definedName name="ㅑㅑ" localSheetId="0" hidden="1">{"'용역비'!$A$4:$C$8"}</definedName>
    <definedName name="ㅑㅑ" localSheetId="2" hidden="1">{"'용역비'!$A$4:$C$8"}</definedName>
    <definedName name="ㅑㅑ" hidden="1">{"'용역비'!$A$4:$C$8"}</definedName>
    <definedName name="ㅑㅑㅑ" localSheetId="0" hidden="1">{"'용역비'!$A$4:$C$8"}</definedName>
    <definedName name="ㅑㅑㅑ" localSheetId="2" hidden="1">{"'용역비'!$A$4:$C$8"}</definedName>
    <definedName name="ㅑㅑㅑ" hidden="1">{"'용역비'!$A$4:$C$8"}</definedName>
    <definedName name="ㅑㅑㅑㅑㅑ" localSheetId="0" hidden="1">{"'용역비'!$A$4:$C$8"}</definedName>
    <definedName name="ㅑㅑㅑㅑㅑ" localSheetId="2" hidden="1">{"'용역비'!$A$4:$C$8"}</definedName>
    <definedName name="ㅑㅑㅑㅑㅑ" hidden="1">{"'용역비'!$A$4:$C$8"}</definedName>
    <definedName name="ㅑㅑㅑㅑㅑㅑ" localSheetId="0" hidden="1">{"'용역비'!$A$4:$C$8"}</definedName>
    <definedName name="ㅑㅑㅑㅑㅑㅑ" localSheetId="2" hidden="1">{"'용역비'!$A$4:$C$8"}</definedName>
    <definedName name="ㅑㅑㅑㅑㅑㅑ" hidden="1">{"'용역비'!$A$4:$C$8"}</definedName>
    <definedName name="ㅑㅕㅕ" localSheetId="0" hidden="1">{"'용역비'!$A$4:$C$8"}</definedName>
    <definedName name="ㅑㅕㅕ" localSheetId="2" hidden="1">{"'용역비'!$A$4:$C$8"}</definedName>
    <definedName name="ㅑㅕㅕ" hidden="1">{"'용역비'!$A$4:$C$8"}</definedName>
    <definedName name="ㅓ" hidden="1">{#N/A,#N/A,FALSE,"인원";#N/A,#N/A,FALSE,"비용2";#N/A,#N/A,FALSE,"비용1";#N/A,#N/A,FALSE,"비용";#N/A,#N/A,FALSE,"보증2";#N/A,#N/A,FALSE,"보증1";#N/A,#N/A,FALSE,"보증";#N/A,#N/A,FALSE,"손익1";#N/A,#N/A,FALSE,"손익";#N/A,#N/A,FALSE,"부서별매출";#N/A,#N/A,FALSE,"매출"}</definedName>
    <definedName name="ㅓㄴㄱ" hidden="1">[54]실행철강하도!$A$1:$A$4</definedName>
    <definedName name="ㅓㅓ" hidden="1">{#N/A,#N/A,FALSE,"CCTV"}</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 hidden="1">{#N/A,#N/A,FALSE,"단축1";#N/A,#N/A,FALSE,"단축2";#N/A,#N/A,FALSE,"단축3";#N/A,#N/A,FALSE,"장축";#N/A,#N/A,FALSE,"4WD"}</definedName>
    <definedName name="ㅔㅔ" hidden="1">{#N/A,#N/A,FALSE,"명세표"}</definedName>
    <definedName name="ㅔㅣ" localSheetId="0" hidden="1">{"'용역비'!$A$4:$C$8"}</definedName>
    <definedName name="ㅔㅣ" localSheetId="2" hidden="1">{"'용역비'!$A$4:$C$8"}</definedName>
    <definedName name="ㅔㅣ" hidden="1">{"'용역비'!$A$4:$C$8"}</definedName>
    <definedName name="ㅕ"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하ㅣㄴ어ㅗ뢔ㅑㅇㅈ" hidden="1">{#N/A,#N/A,FALSE,"CCTV"}</definedName>
    <definedName name="ㅗㅗ" hidden="1">{#N/A,#N/A,FALSE,"명세표"}</definedName>
    <definedName name="ㅛ" localSheetId="0" hidden="1">{"'용역비'!$A$4:$C$8"}</definedName>
    <definedName name="ㅛ" localSheetId="2" hidden="1">{"'용역비'!$A$4:$C$8"}</definedName>
    <definedName name="ㅛ" hidden="1">{"'용역비'!$A$4:$C$8"}</definedName>
    <definedName name="ㅛㅛ" localSheetId="0" hidden="1">{"'용역비'!$A$4:$C$8"}</definedName>
    <definedName name="ㅛㅛ" localSheetId="2" hidden="1">{"'용역비'!$A$4:$C$8"}</definedName>
    <definedName name="ㅛㅛ" hidden="1">{"'용역비'!$A$4:$C$8"}</definedName>
    <definedName name="ㅛㅛㅕㅗㅓ" hidden="1">{#N/A,#N/A,FALSE,"단축1";#N/A,#N/A,FALSE,"단축2";#N/A,#N/A,FALSE,"단축3";#N/A,#N/A,FALSE,"장축";#N/A,#N/A,FALSE,"4WD"}</definedName>
    <definedName name="ㅛㅛㅛ" localSheetId="0" hidden="1">{"'용역비'!$A$4:$C$8"}</definedName>
    <definedName name="ㅛㅛㅛ" localSheetId="2" hidden="1">{"'용역비'!$A$4:$C$8"}</definedName>
    <definedName name="ㅛㅛㅛ" hidden="1">{"'용역비'!$A$4:$C$8"}</definedName>
    <definedName name="ㅜ">ROUND([3]!ㅜ*0.0254,3)</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19">[77]단가표!#REF!</definedName>
    <definedName name="ㅠㄱ" localSheetId="0" hidden="1">{"'용역비'!$A$4:$C$8"}</definedName>
    <definedName name="ㅠㄱ" localSheetId="2" hidden="1">{"'용역비'!$A$4:$C$8"}</definedName>
    <definedName name="ㅠㄱ" hidden="1">{"'용역비'!$A$4:$C$8"}</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 hidden="1">{#N/A,#N/A,FALSE,"단축1";#N/A,#N/A,FALSE,"단축2";#N/A,#N/A,FALSE,"단축3";#N/A,#N/A,FALSE,"장축";#N/A,#N/A,FALSE,"4WD"}</definedName>
    <definedName name="ㅡㅡ" hidden="1">{#N/A,#N/A,FALSE,"명세표"}</definedName>
    <definedName name="ㅣ">ROUND([3]!ㅣ*0.0254,3)</definedName>
    <definedName name="ㅣㅑㅑ" hidden="1">{#N/A,#N/A,FALSE,"단가표지"}</definedName>
    <definedName name="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30" i="34" l="1"/>
  <c r="BD29" i="34"/>
  <c r="BD28" i="34"/>
  <c r="BD27" i="34"/>
  <c r="BD26" i="34"/>
  <c r="BD24" i="34"/>
  <c r="AT31" i="34"/>
  <c r="BD25" i="34"/>
  <c r="AJ31" i="34"/>
  <c r="BD34" i="34"/>
  <c r="AT34" i="34"/>
  <c r="AJ34" i="34"/>
  <c r="Z34" i="34"/>
  <c r="BD31" i="34" l="1"/>
  <c r="Z31" i="34" l="1"/>
  <c r="AM54" i="34" l="1"/>
  <c r="AM55" i="34"/>
  <c r="AM48" i="34"/>
  <c r="AM49" i="34"/>
  <c r="AM50" i="34"/>
  <c r="AM51" i="34"/>
  <c r="AM52" i="34"/>
  <c r="AM53" i="34"/>
  <c r="AA57" i="34"/>
  <c r="O57" i="34"/>
  <c r="AM56" i="34"/>
  <c r="AM47" i="34" l="1"/>
  <c r="AM46" i="34"/>
  <c r="AM45" i="34"/>
  <c r="AT16" i="34"/>
  <c r="AJ16" i="34"/>
  <c r="AT14" i="34"/>
  <c r="AJ14" i="34"/>
  <c r="AT12" i="34"/>
  <c r="AJ12" i="34"/>
  <c r="AM57" i="34" l="1"/>
  <c r="W32" i="27" l="1"/>
  <c r="W31" i="27"/>
  <c r="W30" i="27"/>
  <c r="V31" i="27"/>
  <c r="V30" i="27"/>
  <c r="T26" i="27"/>
  <c r="T25" i="27"/>
  <c r="U25" i="27" s="1"/>
  <c r="T24" i="27"/>
  <c r="T21" i="27"/>
  <c r="U21" i="27" s="1"/>
  <c r="T20" i="27"/>
  <c r="U20" i="27" s="1"/>
  <c r="T18" i="27"/>
  <c r="U18" i="27" s="1"/>
  <c r="T13" i="27"/>
  <c r="U13" i="27" s="1"/>
  <c r="T9" i="27"/>
  <c r="U9" i="27" s="1"/>
  <c r="T8" i="27"/>
  <c r="U30" i="27"/>
  <c r="T28" i="27"/>
  <c r="U28" i="27" l="1"/>
  <c r="U26" i="27"/>
  <c r="U24" i="27"/>
  <c r="U8" i="27"/>
  <c r="T22" i="27"/>
  <c r="U22" i="27" s="1"/>
  <c r="T16" i="27"/>
  <c r="T27" i="27"/>
  <c r="T15" i="27"/>
  <c r="U15" i="27" s="1"/>
  <c r="T23" i="27" l="1"/>
  <c r="U23" i="27" s="1"/>
  <c r="T14" i="27"/>
  <c r="U14" i="27" s="1"/>
  <c r="T12" i="27"/>
  <c r="U12" i="27" s="1"/>
  <c r="T17" i="27"/>
  <c r="U17" i="27" s="1"/>
  <c r="T11" i="27"/>
  <c r="U11" i="27" s="1"/>
  <c r="T19" i="27"/>
  <c r="U27" i="27"/>
  <c r="U16" i="27"/>
  <c r="T10" i="27" l="1"/>
  <c r="T7" i="27" s="1"/>
  <c r="U7" i="27" s="1"/>
  <c r="U19" i="27"/>
  <c r="T6" i="27" l="1"/>
  <c r="U6" i="27" s="1"/>
  <c r="U10" i="27"/>
  <c r="T29" i="27" l="1"/>
  <c r="T32" i="27" s="1"/>
  <c r="U29" i="27" l="1"/>
  <c r="C7" i="27" l="1"/>
  <c r="AH36" i="27" l="1"/>
  <c r="AJ36" i="27" s="1"/>
  <c r="AH35" i="27"/>
  <c r="AJ35" i="27" s="1"/>
  <c r="AG36" i="27"/>
  <c r="AG35" i="27"/>
  <c r="AI36" i="27"/>
  <c r="AI35" i="27"/>
  <c r="G29" i="32"/>
  <c r="R12" i="27" l="1"/>
  <c r="V12" i="27" s="1"/>
  <c r="P31" i="27"/>
  <c r="P114" i="33"/>
  <c r="P113" i="33"/>
  <c r="P112" i="33"/>
  <c r="P111" i="33"/>
  <c r="K108" i="33"/>
  <c r="L107" i="33"/>
  <c r="J107" i="33"/>
  <c r="H107" i="33"/>
  <c r="F107" i="33"/>
  <c r="E107" i="33"/>
  <c r="L106" i="33"/>
  <c r="J106" i="33"/>
  <c r="H106" i="33"/>
  <c r="F106" i="33" s="1"/>
  <c r="E106" i="33" s="1"/>
  <c r="H103" i="33"/>
  <c r="H12" i="33" s="1"/>
  <c r="L102" i="33"/>
  <c r="J102" i="33"/>
  <c r="F102" i="33"/>
  <c r="E102" i="33"/>
  <c r="L101" i="33"/>
  <c r="J101" i="33"/>
  <c r="F101" i="33"/>
  <c r="E101" i="33"/>
  <c r="L100" i="33"/>
  <c r="F100" i="33" s="1"/>
  <c r="E100" i="33" s="1"/>
  <c r="J100" i="33"/>
  <c r="J103" i="33" s="1"/>
  <c r="L98" i="33"/>
  <c r="J98" i="33"/>
  <c r="F98" i="33"/>
  <c r="E98" i="33"/>
  <c r="L97" i="33"/>
  <c r="J97" i="33"/>
  <c r="F97" i="33"/>
  <c r="E97" i="33"/>
  <c r="L95" i="33"/>
  <c r="J95" i="33"/>
  <c r="J11" i="33" s="1"/>
  <c r="H94" i="33"/>
  <c r="F94" i="33" s="1"/>
  <c r="E94" i="33" s="1"/>
  <c r="H93" i="33"/>
  <c r="F93" i="33" s="1"/>
  <c r="E93" i="33" s="1"/>
  <c r="H92" i="33"/>
  <c r="F92" i="33"/>
  <c r="E92" i="33"/>
  <c r="H91" i="33"/>
  <c r="F91" i="33" s="1"/>
  <c r="H90" i="33"/>
  <c r="F90" i="33"/>
  <c r="E90" i="33" s="1"/>
  <c r="H89" i="33"/>
  <c r="F89" i="33"/>
  <c r="E89" i="33"/>
  <c r="L86" i="33"/>
  <c r="L87" i="33" s="1"/>
  <c r="L10" i="33" s="1"/>
  <c r="J86" i="33"/>
  <c r="J87" i="33" s="1"/>
  <c r="J10" i="33" s="1"/>
  <c r="H80" i="33"/>
  <c r="H86" i="33" s="1"/>
  <c r="L78" i="33"/>
  <c r="J78" i="33"/>
  <c r="H77" i="33"/>
  <c r="H78" i="33" s="1"/>
  <c r="H76" i="33"/>
  <c r="F76" i="33"/>
  <c r="E76" i="33" s="1"/>
  <c r="H75" i="33"/>
  <c r="F75" i="33"/>
  <c r="E75" i="33" s="1"/>
  <c r="L73" i="33"/>
  <c r="J73" i="33"/>
  <c r="H70" i="33"/>
  <c r="H73" i="33" s="1"/>
  <c r="J67" i="33"/>
  <c r="L66" i="33"/>
  <c r="L67" i="33" s="1"/>
  <c r="L9" i="33" s="1"/>
  <c r="J66" i="33"/>
  <c r="H65" i="33"/>
  <c r="H64" i="33"/>
  <c r="F64" i="33" s="1"/>
  <c r="E64" i="33" s="1"/>
  <c r="L60" i="33"/>
  <c r="L61" i="33" s="1"/>
  <c r="L8" i="33" s="1"/>
  <c r="J60" i="33"/>
  <c r="J61" i="33" s="1"/>
  <c r="J8" i="33" s="1"/>
  <c r="L59" i="33"/>
  <c r="J59" i="33"/>
  <c r="H59" i="33"/>
  <c r="H60" i="33" s="1"/>
  <c r="L57" i="33"/>
  <c r="L49" i="33"/>
  <c r="J49" i="33"/>
  <c r="J57" i="33" s="1"/>
  <c r="H49" i="33"/>
  <c r="H57" i="33" s="1"/>
  <c r="F49" i="33"/>
  <c r="F57" i="33" s="1"/>
  <c r="J47" i="33"/>
  <c r="L39" i="33"/>
  <c r="L47" i="33" s="1"/>
  <c r="H39" i="33"/>
  <c r="H47" i="33" s="1"/>
  <c r="L37" i="33"/>
  <c r="J36" i="33"/>
  <c r="J37" i="33" s="1"/>
  <c r="H36" i="33"/>
  <c r="F36" i="33" s="1"/>
  <c r="L35" i="33"/>
  <c r="J35" i="33"/>
  <c r="F35" i="33" s="1"/>
  <c r="E35" i="33" s="1"/>
  <c r="H35" i="33"/>
  <c r="L30" i="33"/>
  <c r="L31" i="33" s="1"/>
  <c r="L32" i="33" s="1"/>
  <c r="L7" i="33" s="1"/>
  <c r="J30" i="33"/>
  <c r="J31" i="33" s="1"/>
  <c r="J32" i="33" s="1"/>
  <c r="J7" i="33" s="1"/>
  <c r="H30" i="33"/>
  <c r="H31" i="33" s="1"/>
  <c r="F30" i="33"/>
  <c r="F31" i="33" s="1"/>
  <c r="E30" i="33"/>
  <c r="L29" i="33"/>
  <c r="J29" i="33"/>
  <c r="L28" i="33"/>
  <c r="J28" i="33"/>
  <c r="F28" i="33" s="1"/>
  <c r="H28" i="33"/>
  <c r="H29" i="33" s="1"/>
  <c r="L24" i="33"/>
  <c r="L25" i="33" s="1"/>
  <c r="J24" i="33"/>
  <c r="J25" i="33" s="1"/>
  <c r="H24" i="33"/>
  <c r="H25" i="33" s="1"/>
  <c r="F24" i="33"/>
  <c r="F25" i="33" s="1"/>
  <c r="E24" i="33"/>
  <c r="L20" i="33"/>
  <c r="L21" i="33" s="1"/>
  <c r="L6" i="33" s="1"/>
  <c r="J20" i="33"/>
  <c r="J21" i="33" s="1"/>
  <c r="J6" i="33" s="1"/>
  <c r="L19" i="33"/>
  <c r="J19" i="33"/>
  <c r="F19" i="33" s="1"/>
  <c r="H19" i="33"/>
  <c r="L18" i="33"/>
  <c r="J18" i="33"/>
  <c r="H18" i="33"/>
  <c r="F18" i="33"/>
  <c r="L17" i="33"/>
  <c r="J17" i="33"/>
  <c r="H17" i="33"/>
  <c r="H20" i="33" s="1"/>
  <c r="H21" i="33" s="1"/>
  <c r="H6" i="33" s="1"/>
  <c r="F17" i="33"/>
  <c r="A13" i="33"/>
  <c r="A12" i="33"/>
  <c r="L11" i="33"/>
  <c r="A11" i="33"/>
  <c r="A10" i="33"/>
  <c r="J9" i="33"/>
  <c r="A9" i="33"/>
  <c r="A8" i="33"/>
  <c r="A7" i="33"/>
  <c r="A6" i="33"/>
  <c r="A3" i="32"/>
  <c r="B20" i="31"/>
  <c r="F80" i="33" l="1"/>
  <c r="F77" i="33"/>
  <c r="H87" i="33"/>
  <c r="H10" i="33" s="1"/>
  <c r="F10" i="33" s="1"/>
  <c r="E10" i="33" s="1"/>
  <c r="F70" i="33"/>
  <c r="H66" i="33"/>
  <c r="H67" i="33" s="1"/>
  <c r="H9" i="33" s="1"/>
  <c r="F9" i="33" s="1"/>
  <c r="E9" i="33" s="1"/>
  <c r="F59" i="33"/>
  <c r="E49" i="33"/>
  <c r="F39" i="33"/>
  <c r="F103" i="33"/>
  <c r="L103" i="33"/>
  <c r="L12" i="33" s="1"/>
  <c r="L108" i="33"/>
  <c r="L13" i="33" s="1"/>
  <c r="J108" i="33"/>
  <c r="J13" i="33" s="1"/>
  <c r="J14" i="33" s="1"/>
  <c r="F105" i="33"/>
  <c r="E105" i="33" s="1"/>
  <c r="H108" i="33"/>
  <c r="H13" i="33" s="1"/>
  <c r="F29" i="33"/>
  <c r="E28" i="33"/>
  <c r="E91" i="33"/>
  <c r="F95" i="33"/>
  <c r="J12" i="33"/>
  <c r="F6" i="33"/>
  <c r="E36" i="33"/>
  <c r="F37" i="33"/>
  <c r="F20" i="33"/>
  <c r="F21" i="33" s="1"/>
  <c r="F32" i="33"/>
  <c r="H32" i="33"/>
  <c r="H7" i="33" s="1"/>
  <c r="F7" i="33" s="1"/>
  <c r="E7" i="33" s="1"/>
  <c r="F65" i="33"/>
  <c r="F66" i="33" s="1"/>
  <c r="F67" i="33" s="1"/>
  <c r="H37" i="33"/>
  <c r="H61" i="33" s="1"/>
  <c r="H8" i="33" s="1"/>
  <c r="H95" i="33"/>
  <c r="H11" i="33" s="1"/>
  <c r="F11" i="33" s="1"/>
  <c r="E11" i="33" s="1"/>
  <c r="F108" i="33" l="1"/>
  <c r="J109" i="33"/>
  <c r="F9" i="32" s="1"/>
  <c r="G9" i="32" s="1"/>
  <c r="G10" i="32" s="1"/>
  <c r="G18" i="32" s="1"/>
  <c r="G20" i="32" s="1"/>
  <c r="F86" i="33"/>
  <c r="E80" i="33"/>
  <c r="F78" i="33"/>
  <c r="E77" i="33"/>
  <c r="F73" i="33"/>
  <c r="E70" i="33"/>
  <c r="F60" i="33"/>
  <c r="E59" i="33"/>
  <c r="F47" i="33"/>
  <c r="F61" i="33" s="1"/>
  <c r="E39" i="33"/>
  <c r="L109" i="33"/>
  <c r="F11" i="32" s="1"/>
  <c r="G11" i="32" s="1"/>
  <c r="G12" i="32" s="1"/>
  <c r="F12" i="33"/>
  <c r="E12" i="33" s="1"/>
  <c r="L14" i="33"/>
  <c r="F13" i="33"/>
  <c r="F14" i="33" s="1"/>
  <c r="F8" i="33"/>
  <c r="E8" i="33" s="1"/>
  <c r="H14" i="33"/>
  <c r="E6" i="33"/>
  <c r="H109" i="33"/>
  <c r="F7" i="32" s="1"/>
  <c r="G7" i="32" s="1"/>
  <c r="G8" i="32" s="1"/>
  <c r="O14" i="33" l="1"/>
  <c r="G19" i="32"/>
  <c r="F87" i="33"/>
  <c r="F109" i="33" s="1"/>
  <c r="H21" i="32"/>
  <c r="D21" i="32"/>
  <c r="G13" i="32"/>
  <c r="G21" i="32" l="1"/>
  <c r="D17" i="32"/>
  <c r="D23" i="32"/>
  <c r="G23" i="32" s="1"/>
  <c r="D28" i="32"/>
  <c r="G25" i="32"/>
  <c r="D24" i="32"/>
  <c r="G24" i="32" s="1"/>
  <c r="D32" i="32"/>
  <c r="G32" i="32" s="1"/>
  <c r="D15" i="32"/>
  <c r="G15" i="32" s="1"/>
  <c r="G22" i="32"/>
  <c r="G17" i="32" l="1"/>
  <c r="G16" i="32"/>
  <c r="G28" i="32"/>
  <c r="G30" i="32" l="1"/>
  <c r="J31" i="32" s="1"/>
  <c r="G31" i="32" l="1"/>
  <c r="G33" i="32" s="1"/>
  <c r="G35" i="32"/>
  <c r="I21" i="31" s="1"/>
  <c r="J21" i="31" s="1"/>
  <c r="J42" i="31" s="1"/>
  <c r="D14" i="31" l="1"/>
  <c r="D12" i="31"/>
  <c r="P12" i="27" l="1"/>
  <c r="P28" i="27" l="1"/>
  <c r="AA31" i="27"/>
  <c r="X31" i="27"/>
  <c r="Y30" i="27"/>
  <c r="S30" i="27"/>
  <c r="Q30" i="27"/>
  <c r="Y28" i="27"/>
  <c r="Y27" i="27"/>
  <c r="P27" i="27"/>
  <c r="Q27" i="27" s="1"/>
  <c r="Y26" i="27"/>
  <c r="R26" i="27"/>
  <c r="V26" i="27" s="1"/>
  <c r="P26" i="27"/>
  <c r="Q26" i="27" s="1"/>
  <c r="Y25" i="27"/>
  <c r="R25" i="27"/>
  <c r="V25" i="27" s="1"/>
  <c r="P25" i="27"/>
  <c r="Q25" i="27" s="1"/>
  <c r="Y24" i="27"/>
  <c r="R24" i="27"/>
  <c r="V24" i="27" s="1"/>
  <c r="P24" i="27"/>
  <c r="Q24" i="27" s="1"/>
  <c r="Y23" i="27"/>
  <c r="R23" i="27"/>
  <c r="V23" i="27" s="1"/>
  <c r="P23" i="27"/>
  <c r="Q23" i="27" s="1"/>
  <c r="Y22" i="27"/>
  <c r="P22" i="27"/>
  <c r="Q22" i="27" s="1"/>
  <c r="Y21" i="27"/>
  <c r="R21" i="27"/>
  <c r="V21" i="27" s="1"/>
  <c r="P21" i="27"/>
  <c r="Q21" i="27" s="1"/>
  <c r="Y20" i="27"/>
  <c r="R20" i="27"/>
  <c r="V20" i="27" s="1"/>
  <c r="P20" i="27"/>
  <c r="Q20" i="27" s="1"/>
  <c r="Y19" i="27"/>
  <c r="R19" i="27"/>
  <c r="V19" i="27" s="1"/>
  <c r="P19" i="27"/>
  <c r="Q19" i="27" s="1"/>
  <c r="Y18" i="27"/>
  <c r="R18" i="27"/>
  <c r="V18" i="27" s="1"/>
  <c r="P18" i="27"/>
  <c r="Q18" i="27" s="1"/>
  <c r="Y17" i="27"/>
  <c r="P17" i="27"/>
  <c r="Q17" i="27" s="1"/>
  <c r="Y16" i="27"/>
  <c r="P16" i="27"/>
  <c r="Q16" i="27" s="1"/>
  <c r="Y15" i="27"/>
  <c r="Y14" i="27"/>
  <c r="R14" i="27"/>
  <c r="V14" i="27" s="1"/>
  <c r="P14" i="27"/>
  <c r="Q14" i="27" s="1"/>
  <c r="Y13" i="27"/>
  <c r="R13" i="27"/>
  <c r="V13" i="27" s="1"/>
  <c r="P13" i="27"/>
  <c r="Q13" i="27" s="1"/>
  <c r="Y12" i="27"/>
  <c r="Q12" i="27"/>
  <c r="Y11" i="27"/>
  <c r="X10" i="27"/>
  <c r="Y10" i="27" s="1"/>
  <c r="Y9" i="27"/>
  <c r="R9" i="27"/>
  <c r="V9" i="27" s="1"/>
  <c r="P9" i="27"/>
  <c r="Q9" i="27" s="1"/>
  <c r="C9" i="27"/>
  <c r="G7" i="27" s="1"/>
  <c r="Y8" i="27"/>
  <c r="R8" i="27"/>
  <c r="V8" i="27" s="1"/>
  <c r="P8" i="27"/>
  <c r="W9" i="27" l="1"/>
  <c r="S8" i="27"/>
  <c r="W8" i="27"/>
  <c r="S14" i="27"/>
  <c r="W14" i="27" s="1"/>
  <c r="S21" i="27"/>
  <c r="W21" i="27" s="1"/>
  <c r="S18" i="27"/>
  <c r="W18" i="27" s="1"/>
  <c r="X7" i="27"/>
  <c r="X6" i="27" s="1"/>
  <c r="Y6" i="27" s="1"/>
  <c r="R11" i="27"/>
  <c r="V11" i="27" s="1"/>
  <c r="R27" i="27"/>
  <c r="V27" i="27" s="1"/>
  <c r="S12" i="27"/>
  <c r="W12" i="27" s="1"/>
  <c r="R22" i="27"/>
  <c r="V22" i="27" s="1"/>
  <c r="AA30" i="27"/>
  <c r="AA13" i="27"/>
  <c r="AA20" i="27"/>
  <c r="AA9" i="27"/>
  <c r="AA24" i="27"/>
  <c r="AA19" i="27"/>
  <c r="AA25" i="27"/>
  <c r="AA14" i="27"/>
  <c r="AA26" i="27"/>
  <c r="AA23" i="27"/>
  <c r="R17" i="27"/>
  <c r="V17" i="27" s="1"/>
  <c r="R15" i="27"/>
  <c r="V15" i="27" s="1"/>
  <c r="R16" i="27"/>
  <c r="V16" i="27" s="1"/>
  <c r="Q8" i="27"/>
  <c r="S13" i="27"/>
  <c r="W13" i="27" s="1"/>
  <c r="AA21" i="27"/>
  <c r="AA18" i="27"/>
  <c r="S25" i="27"/>
  <c r="W25" i="27" s="1"/>
  <c r="S19" i="27"/>
  <c r="W19" i="27" s="1"/>
  <c r="S26" i="27"/>
  <c r="W26" i="27" s="1"/>
  <c r="S23" i="27"/>
  <c r="W23" i="27" s="1"/>
  <c r="X29" i="27"/>
  <c r="AA8" i="27"/>
  <c r="S20" i="27"/>
  <c r="W20" i="27" s="1"/>
  <c r="S24" i="27"/>
  <c r="W24" i="27" s="1"/>
  <c r="S9" i="27"/>
  <c r="S27" i="27" l="1"/>
  <c r="W27" i="27" s="1"/>
  <c r="S11" i="27"/>
  <c r="W11" i="27" s="1"/>
  <c r="S22" i="27"/>
  <c r="W22" i="27" s="1"/>
  <c r="R28" i="27"/>
  <c r="V28" i="27" s="1"/>
  <c r="AA27" i="27"/>
  <c r="AA22" i="27"/>
  <c r="AA12" i="27"/>
  <c r="S15" i="27"/>
  <c r="W15" i="27" s="1"/>
  <c r="AA17" i="27"/>
  <c r="S17" i="27"/>
  <c r="W17" i="27" s="1"/>
  <c r="AA16" i="27"/>
  <c r="S16" i="27"/>
  <c r="W16" i="27" s="1"/>
  <c r="Y29" i="27"/>
  <c r="X32" i="27"/>
  <c r="R10" i="27"/>
  <c r="V10" i="27" s="1"/>
  <c r="AA28" i="27" l="1"/>
  <c r="S28" i="27"/>
  <c r="W28" i="27" s="1"/>
  <c r="S10" i="27"/>
  <c r="W10" i="27" s="1"/>
  <c r="R7" i="27"/>
  <c r="R6" i="27" l="1"/>
  <c r="V6" i="27" s="1"/>
  <c r="S7" i="27"/>
  <c r="W7" i="27" s="1"/>
  <c r="R29" i="27" l="1"/>
  <c r="C13" i="27"/>
  <c r="S6" i="27"/>
  <c r="H13" i="27" s="1"/>
  <c r="S29" i="27" l="1"/>
  <c r="W29" i="27" s="1"/>
  <c r="V29" i="27"/>
  <c r="R32" i="27"/>
  <c r="V32" i="27" s="1"/>
  <c r="P15" i="27"/>
  <c r="P11" i="27"/>
  <c r="Q15" i="27" l="1"/>
  <c r="AA11" i="27"/>
  <c r="AA15" i="27"/>
  <c r="Q11" i="27"/>
  <c r="P10" i="27"/>
  <c r="AA10" i="27" l="1"/>
  <c r="Q10" i="27"/>
  <c r="P7" i="27"/>
  <c r="Q7" i="27" l="1"/>
  <c r="V7" i="27"/>
  <c r="P6" i="27"/>
  <c r="Q6" i="27" l="1"/>
  <c r="H12" i="27" s="1"/>
  <c r="AA6" i="27"/>
  <c r="P29" i="27"/>
  <c r="C12" i="27"/>
  <c r="P32" i="27" l="1"/>
  <c r="Q32" i="27" s="1"/>
  <c r="Q29" i="27"/>
  <c r="AA29" i="27" l="1"/>
  <c r="AA32"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D15" authorId="0" shapeId="0" xr:uid="{4CCBAFED-810B-4555-9CCE-620473B6F596}">
      <text>
        <r>
          <rPr>
            <b/>
            <sz val="9"/>
            <color indexed="81"/>
            <rFont val="돋움"/>
            <family val="3"/>
            <charset val="129"/>
          </rPr>
          <t>요율</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가능</t>
        </r>
        <r>
          <rPr>
            <sz val="9"/>
            <color indexed="81"/>
            <rFont val="Tahoma"/>
            <family val="2"/>
          </rPr>
          <t xml:space="preserve">
(</t>
        </r>
        <r>
          <rPr>
            <sz val="9"/>
            <color indexed="81"/>
            <rFont val="돋움"/>
            <family val="3"/>
            <charset val="129"/>
          </rPr>
          <t>조달청</t>
        </r>
        <r>
          <rPr>
            <sz val="9"/>
            <color indexed="81"/>
            <rFont val="Tahoma"/>
            <family val="2"/>
          </rPr>
          <t xml:space="preserve"> </t>
        </r>
        <r>
          <rPr>
            <sz val="9"/>
            <color indexed="81"/>
            <rFont val="돋움"/>
            <family val="3"/>
            <charset val="129"/>
          </rPr>
          <t>분석요율이며</t>
        </r>
        <r>
          <rPr>
            <sz val="9"/>
            <color indexed="81"/>
            <rFont val="Tahoma"/>
            <family val="2"/>
          </rPr>
          <t xml:space="preserve">, </t>
        </r>
        <r>
          <rPr>
            <sz val="9"/>
            <color indexed="81"/>
            <rFont val="돋움"/>
            <family val="3"/>
            <charset val="129"/>
          </rPr>
          <t>법정</t>
        </r>
        <r>
          <rPr>
            <sz val="9"/>
            <color indexed="81"/>
            <rFont val="Tahoma"/>
            <family val="2"/>
          </rPr>
          <t xml:space="preserve"> </t>
        </r>
        <r>
          <rPr>
            <sz val="9"/>
            <color indexed="81"/>
            <rFont val="돋움"/>
            <family val="3"/>
            <charset val="129"/>
          </rPr>
          <t>요율은</t>
        </r>
        <r>
          <rPr>
            <sz val="9"/>
            <color indexed="81"/>
            <rFont val="Tahoma"/>
            <family val="2"/>
          </rPr>
          <t xml:space="preserve"> </t>
        </r>
        <r>
          <rPr>
            <sz val="9"/>
            <color indexed="81"/>
            <rFont val="돋움"/>
            <family val="3"/>
            <charset val="129"/>
          </rPr>
          <t>아님</t>
        </r>
        <r>
          <rPr>
            <sz val="9"/>
            <color indexed="81"/>
            <rFont val="Tahoma"/>
            <family val="2"/>
          </rPr>
          <t>)</t>
        </r>
      </text>
    </comment>
    <comment ref="G24" authorId="0" shapeId="0" xr:uid="{D46C3C93-4CBE-4121-9192-5AF1DA1FB3EE}">
      <text>
        <r>
          <rPr>
            <sz val="10"/>
            <color indexed="81"/>
            <rFont val="맑은 고딕"/>
            <family val="3"/>
            <charset val="129"/>
            <scheme val="minor"/>
          </rPr>
          <t>'참고)하도급대금지급보증 수수료' 시트에서 계산된 금액과 비교하여 더 큰 금액으로 반영</t>
        </r>
      </text>
    </comment>
    <comment ref="D28" authorId="0" shapeId="0" xr:uid="{DADBE112-D586-4FF5-AF54-B82E5E7586CD}">
      <text>
        <r>
          <rPr>
            <b/>
            <sz val="9"/>
            <color indexed="81"/>
            <rFont val="돋움"/>
            <family val="3"/>
            <charset val="129"/>
          </rPr>
          <t>요율</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가능
</t>
        </r>
        <r>
          <rPr>
            <sz val="9"/>
            <color indexed="81"/>
            <rFont val="Tahoma"/>
            <family val="2"/>
          </rPr>
          <t>(</t>
        </r>
        <r>
          <rPr>
            <sz val="9"/>
            <color indexed="81"/>
            <rFont val="돋움"/>
            <family val="3"/>
            <charset val="129"/>
          </rPr>
          <t>조달청</t>
        </r>
        <r>
          <rPr>
            <sz val="9"/>
            <color indexed="81"/>
            <rFont val="Tahoma"/>
            <family val="2"/>
          </rPr>
          <t xml:space="preserve"> </t>
        </r>
        <r>
          <rPr>
            <sz val="9"/>
            <color indexed="81"/>
            <rFont val="돋움"/>
            <family val="3"/>
            <charset val="129"/>
          </rPr>
          <t>분석요율이며</t>
        </r>
        <r>
          <rPr>
            <sz val="9"/>
            <color indexed="81"/>
            <rFont val="Tahoma"/>
            <family val="2"/>
          </rPr>
          <t xml:space="preserve">, </t>
        </r>
        <r>
          <rPr>
            <sz val="9"/>
            <color indexed="81"/>
            <rFont val="돋움"/>
            <family val="3"/>
            <charset val="129"/>
          </rPr>
          <t>법정</t>
        </r>
        <r>
          <rPr>
            <sz val="9"/>
            <color indexed="81"/>
            <rFont val="Tahoma"/>
            <family val="2"/>
          </rPr>
          <t xml:space="preserve"> </t>
        </r>
        <r>
          <rPr>
            <sz val="9"/>
            <color indexed="81"/>
            <rFont val="돋움"/>
            <family val="3"/>
            <charset val="129"/>
          </rPr>
          <t>요율은</t>
        </r>
        <r>
          <rPr>
            <sz val="9"/>
            <color indexed="81"/>
            <rFont val="Tahoma"/>
            <family val="2"/>
          </rPr>
          <t xml:space="preserve"> </t>
        </r>
        <r>
          <rPr>
            <sz val="9"/>
            <color indexed="81"/>
            <rFont val="돋움"/>
            <family val="3"/>
            <charset val="129"/>
          </rPr>
          <t>아님</t>
        </r>
        <r>
          <rPr>
            <sz val="9"/>
            <color indexed="81"/>
            <rFont val="Tahoma"/>
            <family val="2"/>
          </rPr>
          <t xml:space="preserve">)
</t>
        </r>
      </text>
    </comment>
    <comment ref="G29" authorId="0" shapeId="0" xr:uid="{993AACA7-103E-4E09-A19D-9C1C155E3ABA}">
      <text>
        <r>
          <rPr>
            <sz val="10"/>
            <color indexed="81"/>
            <rFont val="맑은 고딕"/>
            <family val="3"/>
            <charset val="129"/>
            <scheme val="minor"/>
          </rPr>
          <t>'참고)공사이행보증 수수료율' 시트에서 계산된 금액을 반영</t>
        </r>
      </text>
    </comment>
    <comment ref="D32" authorId="0" shapeId="0" xr:uid="{BB21DF16-D3F3-42D1-ADE3-1DBFD53FBAB0}">
      <text>
        <r>
          <rPr>
            <b/>
            <sz val="9"/>
            <color indexed="81"/>
            <rFont val="돋움"/>
            <family val="3"/>
            <charset val="129"/>
          </rPr>
          <t>요율</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가능
</t>
        </r>
        <r>
          <rPr>
            <sz val="9"/>
            <color indexed="81"/>
            <rFont val="Tahoma"/>
            <family val="2"/>
          </rPr>
          <t>(</t>
        </r>
        <r>
          <rPr>
            <sz val="9"/>
            <color indexed="81"/>
            <rFont val="돋움"/>
            <family val="3"/>
            <charset val="129"/>
          </rPr>
          <t>조달청</t>
        </r>
        <r>
          <rPr>
            <sz val="9"/>
            <color indexed="81"/>
            <rFont val="Tahoma"/>
            <family val="2"/>
          </rPr>
          <t xml:space="preserve"> </t>
        </r>
        <r>
          <rPr>
            <sz val="9"/>
            <color indexed="81"/>
            <rFont val="돋움"/>
            <family val="3"/>
            <charset val="129"/>
          </rPr>
          <t>분석요율이며</t>
        </r>
        <r>
          <rPr>
            <sz val="9"/>
            <color indexed="81"/>
            <rFont val="Tahoma"/>
            <family val="2"/>
          </rPr>
          <t xml:space="preserve">, </t>
        </r>
        <r>
          <rPr>
            <sz val="9"/>
            <color indexed="81"/>
            <rFont val="돋움"/>
            <family val="3"/>
            <charset val="129"/>
          </rPr>
          <t>법정</t>
        </r>
        <r>
          <rPr>
            <sz val="9"/>
            <color indexed="81"/>
            <rFont val="Tahoma"/>
            <family val="2"/>
          </rPr>
          <t xml:space="preserve"> </t>
        </r>
        <r>
          <rPr>
            <sz val="9"/>
            <color indexed="81"/>
            <rFont val="돋움"/>
            <family val="3"/>
            <charset val="129"/>
          </rPr>
          <t>요율은</t>
        </r>
        <r>
          <rPr>
            <sz val="9"/>
            <color indexed="81"/>
            <rFont val="Tahoma"/>
            <family val="2"/>
          </rPr>
          <t xml:space="preserve"> </t>
        </r>
        <r>
          <rPr>
            <sz val="9"/>
            <color indexed="81"/>
            <rFont val="돋움"/>
            <family val="3"/>
            <charset val="129"/>
          </rPr>
          <t>아님</t>
        </r>
        <r>
          <rPr>
            <sz val="9"/>
            <color indexed="81"/>
            <rFont val="Tahoma"/>
            <family val="2"/>
          </rPr>
          <t>)</t>
        </r>
      </text>
    </comment>
  </commentList>
</comments>
</file>

<file path=xl/sharedStrings.xml><?xml version="1.0" encoding="utf-8"?>
<sst xmlns="http://schemas.openxmlformats.org/spreadsheetml/2006/main" count="532" uniqueCount="375">
  <si>
    <t>경비</t>
    <phoneticPr fontId="2" type="noConversion"/>
  </si>
  <si>
    <t>통영에코파워</t>
    <phoneticPr fontId="2" type="noConversion"/>
  </si>
  <si>
    <t>실 행 예 산 서</t>
    <phoneticPr fontId="24" type="noConversion"/>
  </si>
  <si>
    <t xml:space="preserve">공사명 : </t>
    <phoneticPr fontId="24" type="noConversion"/>
  </si>
  <si>
    <t>결
재</t>
    <phoneticPr fontId="24" type="noConversion"/>
  </si>
  <si>
    <t>팀  장</t>
    <phoneticPr fontId="24" type="noConversion"/>
  </si>
  <si>
    <t>담 당 장</t>
  </si>
  <si>
    <t>본부장</t>
    <phoneticPr fontId="24" type="noConversion"/>
  </si>
  <si>
    <t>대표이사</t>
    <phoneticPr fontId="25" type="noConversion"/>
  </si>
  <si>
    <t xml:space="preserve">                                                         구 분
  항  목</t>
    <phoneticPr fontId="24" type="noConversion"/>
  </si>
  <si>
    <t>-</t>
    <phoneticPr fontId="2" type="noConversion"/>
  </si>
  <si>
    <t>-</t>
    <phoneticPr fontId="24" type="noConversion"/>
  </si>
  <si>
    <t>%</t>
    <phoneticPr fontId="24" type="noConversion"/>
  </si>
  <si>
    <t>%</t>
    <phoneticPr fontId="18" type="noConversion"/>
  </si>
  <si>
    <t>(C)</t>
    <phoneticPr fontId="2" type="noConversion"/>
  </si>
  <si>
    <t>(B)-(A)</t>
    <phoneticPr fontId="2" type="noConversion"/>
  </si>
  <si>
    <t xml:space="preserve"> 1. 제  조  원  가</t>
    <phoneticPr fontId="18" type="noConversion"/>
  </si>
  <si>
    <t>계 약
금 액</t>
    <phoneticPr fontId="24" type="noConversion"/>
  </si>
  <si>
    <t>공급가</t>
    <phoneticPr fontId="24" type="noConversion"/>
  </si>
  <si>
    <t>계</t>
    <phoneticPr fontId="24" type="noConversion"/>
  </si>
  <si>
    <t>직접원가</t>
    <phoneticPr fontId="2" type="noConversion"/>
  </si>
  <si>
    <t xml:space="preserve"> ① 재 료 비</t>
  </si>
  <si>
    <t>VAT</t>
    <phoneticPr fontId="24" type="noConversion"/>
  </si>
  <si>
    <t xml:space="preserve"> ② 노 무 비</t>
  </si>
  <si>
    <t>공 사
기 간</t>
    <phoneticPr fontId="24" type="noConversion"/>
  </si>
  <si>
    <t>시작일</t>
    <phoneticPr fontId="24" type="noConversion"/>
  </si>
  <si>
    <t>발주처</t>
  </si>
  <si>
    <t xml:space="preserve"> ③ 경비</t>
  </si>
  <si>
    <t>종료일</t>
    <phoneticPr fontId="24" type="noConversion"/>
  </si>
  <si>
    <t>현 장</t>
    <phoneticPr fontId="24" type="noConversion"/>
  </si>
  <si>
    <t>외주가공비-설비(도급)</t>
  </si>
  <si>
    <t>실행예산 
(제조원가)</t>
    <phoneticPr fontId="24" type="noConversion"/>
  </si>
  <si>
    <t>최초</t>
    <phoneticPr fontId="18" type="noConversion"/>
  </si>
  <si>
    <t>실행율
(제조원가)</t>
    <phoneticPr fontId="24" type="noConversion"/>
  </si>
  <si>
    <t>외주용역비-도급</t>
  </si>
  <si>
    <t>1차 변경</t>
    <phoneticPr fontId="18" type="noConversion"/>
  </si>
  <si>
    <t>운반비-국내</t>
    <phoneticPr fontId="2" type="noConversion"/>
  </si>
  <si>
    <t>2차 변경</t>
    <phoneticPr fontId="18" type="noConversion"/>
  </si>
  <si>
    <t>소모품비-기타</t>
  </si>
  <si>
    <t>3차 변경</t>
    <phoneticPr fontId="18" type="noConversion"/>
  </si>
  <si>
    <t>소모품비-안전용품</t>
  </si>
  <si>
    <t>정산</t>
    <phoneticPr fontId="25" type="noConversion"/>
  </si>
  <si>
    <t>정산</t>
    <phoneticPr fontId="18" type="noConversion"/>
  </si>
  <si>
    <t>여비교통비-국내</t>
  </si>
  <si>
    <t>대금조건</t>
    <phoneticPr fontId="24" type="noConversion"/>
  </si>
  <si>
    <t>보험료-보증</t>
  </si>
  <si>
    <t>사택관리비</t>
  </si>
  <si>
    <t>지급수수료-기타</t>
  </si>
  <si>
    <t>보 증 서</t>
    <phoneticPr fontId="24" type="noConversion"/>
  </si>
  <si>
    <t>지급임차료-지게차</t>
    <phoneticPr fontId="2" type="noConversion"/>
  </si>
  <si>
    <t>지급임차료-기타</t>
  </si>
  <si>
    <t>차량유지비-수선비_법인차량</t>
  </si>
  <si>
    <t>지체상금 : 지체 1일당 도급 금액의 1/1000</t>
  </si>
  <si>
    <t>차량유지비-유류대_법인차량</t>
  </si>
  <si>
    <t>공 사
개 요</t>
    <phoneticPr fontId="24" type="noConversion"/>
  </si>
  <si>
    <t>차량유지비-기타_법인차량</t>
  </si>
  <si>
    <t>복리후생비-업무추진비</t>
  </si>
  <si>
    <t>예비비</t>
  </si>
  <si>
    <t>특 기 
사 항</t>
    <phoneticPr fontId="2" type="noConversion"/>
  </si>
  <si>
    <t>제조간접비</t>
    <phoneticPr fontId="18" type="noConversion"/>
  </si>
  <si>
    <t xml:space="preserve"> 2.  매  출  이  익</t>
    <phoneticPr fontId="18" type="noConversion"/>
  </si>
  <si>
    <t xml:space="preserve"> 3.  계  약  금  액 </t>
    <phoneticPr fontId="24" type="noConversion"/>
  </si>
  <si>
    <t xml:space="preserve"> 4.  판  관  비</t>
    <phoneticPr fontId="18" type="noConversion"/>
  </si>
  <si>
    <t xml:space="preserve"> 5.  영  업  이  익</t>
    <phoneticPr fontId="18" type="noConversion"/>
  </si>
  <si>
    <t>업체명</t>
    <phoneticPr fontId="2" type="noConversion"/>
  </si>
  <si>
    <t>비고</t>
    <phoneticPr fontId="2" type="noConversion"/>
  </si>
  <si>
    <t>경남 통영</t>
    <phoneticPr fontId="2" type="noConversion"/>
  </si>
  <si>
    <t>선급금보증증권 : 계약금액의 10%</t>
    <phoneticPr fontId="2" type="noConversion"/>
  </si>
  <si>
    <t xml:space="preserve">기존 UREA 열분해 설비를 이용한 탈질설비를 보유하고 있었으나, 운전 중 주기적인 </t>
    <phoneticPr fontId="2" type="noConversion"/>
  </si>
  <si>
    <t>founling 현상 등으로 인해 발전소 S/D가 잦아짐에 따라 개선된 당사의 직접 분사 설비로</t>
    <phoneticPr fontId="2" type="noConversion"/>
  </si>
  <si>
    <t>교체하여 발전소 운전이 정상운전 되도록 탈질 설비를 개선하는 공사임.</t>
    <phoneticPr fontId="2" type="noConversion"/>
  </si>
  <si>
    <t>계약금보증증권 : 계약금액의 10%</t>
    <phoneticPr fontId="2" type="noConversion"/>
  </si>
  <si>
    <t>중도금 : 80% (계산서 발행 후 당월 현금지급)</t>
    <phoneticPr fontId="2" type="noConversion"/>
  </si>
  <si>
    <t>잔금 : 10% (계산서 발행 후 당월 현금지급)</t>
    <phoneticPr fontId="2" type="noConversion"/>
  </si>
  <si>
    <t>지급 조건의 경우 일반적인 사항이며, 최종 계약시 확정 예정임.</t>
    <phoneticPr fontId="2" type="noConversion"/>
  </si>
  <si>
    <t>하자이행보증금 : 계약금의 10% (하자이행기간 : 성능시험 합격 후 준공일로부터 3년)</t>
    <phoneticPr fontId="2" type="noConversion"/>
  </si>
  <si>
    <t>1. 성능보증 사항
 - Nox: 4ppm / NH3 Slip : 5ppm
2. Tie-In 공사의 경우 S/D 기간에 완료 (일정은 추석 연휴 10/6~10 예정. 현설 자료)
3. 인허가 제외.
4. 토목공사 제외.</t>
    <phoneticPr fontId="2" type="noConversion"/>
  </si>
  <si>
    <t>구분</t>
    <phoneticPr fontId="2" type="noConversion"/>
  </si>
  <si>
    <t>한국에머슨</t>
    <phoneticPr fontId="2" type="noConversion"/>
  </si>
  <si>
    <t>제 R241030-01H호</t>
    <phoneticPr fontId="4" type="noConversion"/>
  </si>
  <si>
    <t>見    積    書</t>
    <phoneticPr fontId="34" type="noConversion"/>
  </si>
  <si>
    <t>귀중</t>
    <phoneticPr fontId="34" type="noConversion"/>
  </si>
  <si>
    <t>아래와 같이 견적합니다</t>
    <phoneticPr fontId="4" type="noConversion"/>
  </si>
  <si>
    <t>프로젝트 :통영에코파워 SCR 성능개선 (Direct Injection Type)</t>
    <phoneticPr fontId="4" type="noConversion"/>
  </si>
  <si>
    <t>合計金額 :</t>
    <phoneticPr fontId="4" type="noConversion"/>
  </si>
  <si>
    <t>지불조건 :</t>
    <phoneticPr fontId="4" type="noConversion"/>
  </si>
  <si>
    <t>추후협의</t>
    <phoneticPr fontId="4" type="noConversion"/>
  </si>
  <si>
    <t>No.</t>
    <phoneticPr fontId="4" type="noConversion"/>
  </si>
  <si>
    <t>名      稱
DESCRIPTION</t>
    <phoneticPr fontId="4" type="noConversion"/>
  </si>
  <si>
    <t>規   格
Specification</t>
    <phoneticPr fontId="4" type="noConversion"/>
  </si>
  <si>
    <t>數量
Q'ty</t>
    <phoneticPr fontId="4" type="noConversion"/>
  </si>
  <si>
    <t>單位
Unit</t>
    <phoneticPr fontId="4" type="noConversion"/>
  </si>
  <si>
    <t>單價
Price</t>
    <phoneticPr fontId="4" type="noConversion"/>
  </si>
  <si>
    <t>金 額
Amount</t>
    <phoneticPr fontId="4" type="noConversion"/>
  </si>
  <si>
    <t xml:space="preserve">직접분사 설비 X HRSG 2기 </t>
    <phoneticPr fontId="2" type="noConversion"/>
  </si>
  <si>
    <t>LOT</t>
    <phoneticPr fontId="2" type="noConversion"/>
  </si>
  <si>
    <t>TOTAL PRICE</t>
    <phoneticPr fontId="4" type="noConversion"/>
  </si>
  <si>
    <t>VAT 별도</t>
    <phoneticPr fontId="4" type="noConversion"/>
  </si>
  <si>
    <t>백만단위절사</t>
    <phoneticPr fontId="2" type="noConversion"/>
  </si>
  <si>
    <t>번호</t>
    <phoneticPr fontId="34" type="noConversion"/>
  </si>
  <si>
    <t>구  분</t>
    <phoneticPr fontId="34" type="noConversion"/>
  </si>
  <si>
    <t>항 목</t>
    <phoneticPr fontId="34" type="noConversion"/>
  </si>
  <si>
    <t>수 량</t>
    <phoneticPr fontId="34" type="noConversion"/>
  </si>
  <si>
    <t>단위</t>
    <phoneticPr fontId="34" type="noConversion"/>
  </si>
  <si>
    <t>단         가</t>
    <phoneticPr fontId="34" type="noConversion"/>
  </si>
  <si>
    <t>금    액</t>
    <phoneticPr fontId="2" type="noConversion"/>
  </si>
  <si>
    <t>비       고</t>
    <phoneticPr fontId="34" type="noConversion"/>
  </si>
  <si>
    <t>1.</t>
    <phoneticPr fontId="2" type="noConversion"/>
  </si>
  <si>
    <t>직접공사비</t>
    <phoneticPr fontId="2" type="noConversion"/>
  </si>
  <si>
    <t>1)</t>
    <phoneticPr fontId="2" type="noConversion"/>
  </si>
  <si>
    <t>재료비</t>
    <phoneticPr fontId="7" type="noConversion"/>
  </si>
  <si>
    <t>재료비 (완제품가액 포함)</t>
    <phoneticPr fontId="2" type="noConversion"/>
  </si>
  <si>
    <t>Lot</t>
    <phoneticPr fontId="2" type="noConversion"/>
  </si>
  <si>
    <t>소  계</t>
    <phoneticPr fontId="2" type="noConversion"/>
  </si>
  <si>
    <t>2)</t>
    <phoneticPr fontId="2" type="noConversion"/>
  </si>
  <si>
    <t>노무비</t>
    <phoneticPr fontId="2" type="noConversion"/>
  </si>
  <si>
    <t>직접노무비</t>
    <phoneticPr fontId="2" type="noConversion"/>
  </si>
  <si>
    <t>3)</t>
    <phoneticPr fontId="2" type="noConversion"/>
  </si>
  <si>
    <t>경비</t>
    <phoneticPr fontId="4" type="noConversion"/>
  </si>
  <si>
    <t>직 접 공 사 비 계 (1)</t>
    <phoneticPr fontId="4" type="noConversion"/>
  </si>
  <si>
    <t>2.</t>
    <phoneticPr fontId="2" type="noConversion"/>
  </si>
  <si>
    <t>간접공사비</t>
    <phoneticPr fontId="2" type="noConversion"/>
  </si>
  <si>
    <t>간접노무비</t>
    <phoneticPr fontId="4" type="noConversion"/>
  </si>
  <si>
    <t>직접노무비의</t>
    <phoneticPr fontId="4" type="noConversion"/>
  </si>
  <si>
    <t>%</t>
    <phoneticPr fontId="2" type="noConversion"/>
  </si>
  <si>
    <t>산업재해보상보험료</t>
    <phoneticPr fontId="18" type="noConversion"/>
  </si>
  <si>
    <t>노무비의</t>
    <phoneticPr fontId="18" type="noConversion"/>
  </si>
  <si>
    <t>고용보험료</t>
    <phoneticPr fontId="18" type="noConversion"/>
  </si>
  <si>
    <t>4)</t>
    <phoneticPr fontId="2" type="noConversion"/>
  </si>
  <si>
    <t>국민건강보험료</t>
    <phoneticPr fontId="18" type="noConversion"/>
  </si>
  <si>
    <t>직접노무비의</t>
    <phoneticPr fontId="18" type="noConversion"/>
  </si>
  <si>
    <t>5)</t>
    <phoneticPr fontId="2" type="noConversion"/>
  </si>
  <si>
    <t>국민연금보험료</t>
    <phoneticPr fontId="18" type="noConversion"/>
  </si>
  <si>
    <t>6)</t>
    <phoneticPr fontId="2" type="noConversion"/>
  </si>
  <si>
    <t>노인장기요양보험료</t>
    <phoneticPr fontId="18" type="noConversion"/>
  </si>
  <si>
    <t>건강보험료의</t>
    <phoneticPr fontId="18" type="noConversion"/>
  </si>
  <si>
    <t>7)</t>
    <phoneticPr fontId="2" type="noConversion"/>
  </si>
  <si>
    <t>산업안전보건관리비</t>
    <phoneticPr fontId="18" type="noConversion"/>
  </si>
  <si>
    <t>(재료비+직접노무비+완제품가액)×요율 + 기초액과
((재료비+직접노무비)×요율 + 기초액)×1.2 중 
작은 금액</t>
    <phoneticPr fontId="18" type="noConversion"/>
  </si>
  <si>
    <t>8)</t>
    <phoneticPr fontId="2" type="noConversion"/>
  </si>
  <si>
    <t>환경보전비</t>
    <phoneticPr fontId="2" type="noConversion"/>
  </si>
  <si>
    <t>직접공사비의</t>
    <phoneticPr fontId="2" type="noConversion"/>
  </si>
  <si>
    <t>9)</t>
    <phoneticPr fontId="2" type="noConversion"/>
  </si>
  <si>
    <t>퇴직공제부금비</t>
    <phoneticPr fontId="4" type="noConversion"/>
  </si>
  <si>
    <t>10)</t>
    <phoneticPr fontId="2" type="noConversion"/>
  </si>
  <si>
    <t>하도급대금지급보증 수수료</t>
    <phoneticPr fontId="4" type="noConversion"/>
  </si>
  <si>
    <t>직접공사비의</t>
    <phoneticPr fontId="4" type="noConversion"/>
  </si>
  <si>
    <t>11)</t>
    <phoneticPr fontId="2" type="noConversion"/>
  </si>
  <si>
    <t>건설기계대여대금 지급보증서 발급비</t>
    <phoneticPr fontId="4" type="noConversion"/>
  </si>
  <si>
    <t>12)</t>
    <phoneticPr fontId="4" type="noConversion"/>
  </si>
  <si>
    <t>기타경비</t>
    <phoneticPr fontId="4" type="noConversion"/>
  </si>
  <si>
    <t>(재료비 + 노무비)의</t>
    <phoneticPr fontId="18" type="noConversion"/>
  </si>
  <si>
    <t>13)</t>
    <phoneticPr fontId="4" type="noConversion"/>
  </si>
  <si>
    <t>공사이행보증수수료</t>
    <phoneticPr fontId="4" type="noConversion"/>
  </si>
  <si>
    <t>선급금보증, 계약이행보증, 하자이행보증</t>
    <phoneticPr fontId="4" type="noConversion"/>
  </si>
  <si>
    <t>-</t>
    <phoneticPr fontId="4" type="noConversion"/>
  </si>
  <si>
    <t>간 접 공 사 비 계 (2)</t>
    <phoneticPr fontId="4" type="noConversion"/>
  </si>
  <si>
    <t xml:space="preserve"> 순 공 사 원 가 (1+2)</t>
    <phoneticPr fontId="4" type="noConversion"/>
  </si>
  <si>
    <t>3.</t>
    <phoneticPr fontId="2" type="noConversion"/>
  </si>
  <si>
    <t>일반관리비</t>
    <phoneticPr fontId="2" type="noConversion"/>
  </si>
  <si>
    <t>(재료비 + 노무비 + 경비)의</t>
    <phoneticPr fontId="18" type="noConversion"/>
  </si>
  <si>
    <t>4.</t>
    <phoneticPr fontId="2" type="noConversion"/>
  </si>
  <si>
    <t>이윤</t>
    <phoneticPr fontId="2" type="noConversion"/>
  </si>
  <si>
    <t>(순공사원가 + 일반관리비)의</t>
    <phoneticPr fontId="18" type="noConversion"/>
  </si>
  <si>
    <t>5.</t>
    <phoneticPr fontId="2" type="noConversion"/>
  </si>
  <si>
    <t>완제품 가액</t>
    <phoneticPr fontId="2" type="noConversion"/>
  </si>
  <si>
    <t>총    공    사    금    액 (1+2+3+4)</t>
    <phoneticPr fontId="34" type="noConversion"/>
  </si>
  <si>
    <t>제 R200420-01Y호</t>
    <phoneticPr fontId="4" type="noConversion"/>
  </si>
  <si>
    <t>제 R200420-01Y호</t>
  </si>
  <si>
    <t>( 단위 : 원)</t>
    <phoneticPr fontId="34" type="noConversion"/>
  </si>
  <si>
    <t>품    명</t>
    <phoneticPr fontId="34" type="noConversion"/>
  </si>
  <si>
    <t>규      격</t>
    <phoneticPr fontId="34" type="noConversion"/>
  </si>
  <si>
    <t>수량</t>
    <phoneticPr fontId="34" type="noConversion"/>
  </si>
  <si>
    <t>합   계</t>
    <phoneticPr fontId="34" type="noConversion"/>
  </si>
  <si>
    <t>재료비</t>
    <phoneticPr fontId="34" type="noConversion"/>
  </si>
  <si>
    <t>노무비</t>
    <phoneticPr fontId="34" type="noConversion"/>
  </si>
  <si>
    <t>경   비</t>
    <phoneticPr fontId="34" type="noConversion"/>
  </si>
  <si>
    <t>비    고</t>
    <phoneticPr fontId="34" type="noConversion"/>
  </si>
  <si>
    <t>재료비</t>
  </si>
  <si>
    <t>노무비</t>
  </si>
  <si>
    <t>경   비</t>
  </si>
  <si>
    <t>단가</t>
    <phoneticPr fontId="34" type="noConversion"/>
  </si>
  <si>
    <t>금액</t>
    <phoneticPr fontId="34" type="noConversion"/>
  </si>
  <si>
    <t>단가</t>
  </si>
  <si>
    <t>■ 통영에코파워 SCR 환경설비 개선 제안 (Direct Injection System)</t>
    <phoneticPr fontId="2" type="noConversion"/>
  </si>
  <si>
    <t>LOT</t>
    <phoneticPr fontId="34" type="noConversion"/>
  </si>
  <si>
    <t>기존 설비 사용</t>
    <phoneticPr fontId="2" type="noConversion"/>
  </si>
  <si>
    <t>총 공 사 비 합 계</t>
    <phoneticPr fontId="34" type="noConversion"/>
  </si>
  <si>
    <t xml:space="preserve"> 1. Urea Storage &amp; Supply System</t>
    <phoneticPr fontId="34" type="noConversion"/>
  </si>
  <si>
    <t xml:space="preserve"> 1-1. Urea Storage Tank Unit</t>
    <phoneticPr fontId="34" type="noConversion"/>
  </si>
  <si>
    <t xml:space="preserve">  1) Urea Storage Tank</t>
    <phoneticPr fontId="34" type="noConversion"/>
  </si>
  <si>
    <t>SET</t>
    <phoneticPr fontId="34" type="noConversion"/>
  </si>
  <si>
    <t xml:space="preserve">  2) Electric Heater</t>
    <phoneticPr fontId="2" type="noConversion"/>
  </si>
  <si>
    <t xml:space="preserve">  3) Platform with Stair for Ammonia Storage Area</t>
    <phoneticPr fontId="2" type="noConversion"/>
  </si>
  <si>
    <t>ton</t>
    <phoneticPr fontId="34" type="noConversion"/>
  </si>
  <si>
    <t>소        계</t>
    <phoneticPr fontId="34" type="noConversion"/>
  </si>
  <si>
    <t>합        계</t>
    <phoneticPr fontId="34" type="noConversion"/>
  </si>
  <si>
    <t xml:space="preserve"> 2. SCR and Auxiliary System</t>
    <phoneticPr fontId="2" type="noConversion"/>
  </si>
  <si>
    <t xml:space="preserve"> 2-1. Catalyst</t>
    <phoneticPr fontId="2" type="noConversion"/>
  </si>
  <si>
    <t xml:space="preserve">  1) SCR Catalyst with Module</t>
    <phoneticPr fontId="34" type="noConversion"/>
  </si>
  <si>
    <t xml:space="preserve"> 2-2. Catalyst Support Structure</t>
    <phoneticPr fontId="2" type="noConversion"/>
  </si>
  <si>
    <t>Ton</t>
    <phoneticPr fontId="34" type="noConversion"/>
  </si>
  <si>
    <t xml:space="preserve"> 2-3. Monorail Hoist</t>
    <phoneticPr fontId="2" type="noConversion"/>
  </si>
  <si>
    <t xml:space="preserve"> 3. Urea Injection System</t>
    <phoneticPr fontId="2" type="noConversion"/>
  </si>
  <si>
    <t xml:space="preserve"> 3-1. Circulation Module Skid</t>
    <phoneticPr fontId="34" type="noConversion"/>
  </si>
  <si>
    <t xml:space="preserve">  1) Urea Supply Pump</t>
    <phoneticPr fontId="34" type="noConversion"/>
  </si>
  <si>
    <t xml:space="preserve">  2) Skid Frame 제작</t>
    <phoneticPr fontId="34" type="noConversion"/>
  </si>
  <si>
    <t xml:space="preserve"> 3-2. Metering Module Skid</t>
    <phoneticPr fontId="2" type="noConversion"/>
  </si>
  <si>
    <t xml:space="preserve">  1) Metering Module Skid</t>
    <phoneticPr fontId="34" type="noConversion"/>
  </si>
  <si>
    <t>Container 구성</t>
    <phoneticPr fontId="2" type="noConversion"/>
  </si>
  <si>
    <t xml:space="preserve">   - Pneumatic On-off Ball Valve</t>
    <phoneticPr fontId="34" type="noConversion"/>
  </si>
  <si>
    <t>40A</t>
    <phoneticPr fontId="2" type="noConversion"/>
  </si>
  <si>
    <t>EA</t>
    <phoneticPr fontId="2" type="noConversion"/>
  </si>
  <si>
    <t xml:space="preserve">   - Flow Transmitter</t>
    <phoneticPr fontId="34" type="noConversion"/>
  </si>
  <si>
    <t>15A, Magnetic</t>
    <phoneticPr fontId="2" type="noConversion"/>
  </si>
  <si>
    <t xml:space="preserve">   - Flow Control Valve</t>
    <phoneticPr fontId="34" type="noConversion"/>
  </si>
  <si>
    <t xml:space="preserve">   - Pneumatic On/off Valve</t>
    <phoneticPr fontId="2" type="noConversion"/>
  </si>
  <si>
    <t xml:space="preserve">   - Diaphragm Pressure Gauge</t>
    <phoneticPr fontId="34" type="noConversion"/>
  </si>
  <si>
    <t xml:space="preserve">   - Pressure Transmitter</t>
    <phoneticPr fontId="34" type="noConversion"/>
  </si>
  <si>
    <t xml:space="preserve">   - Piping &amp; Support</t>
    <phoneticPr fontId="2" type="noConversion"/>
  </si>
  <si>
    <t xml:space="preserve"> 3-3. Distribution Module Skid</t>
    <phoneticPr fontId="2" type="noConversion"/>
  </si>
  <si>
    <t xml:space="preserve">  1) Distribution Module Skid</t>
    <phoneticPr fontId="34" type="noConversion"/>
  </si>
  <si>
    <t xml:space="preserve">   - Flow meter for Air &amp; Chem</t>
    <phoneticPr fontId="34" type="noConversion"/>
  </si>
  <si>
    <t>0-10 bar</t>
    <phoneticPr fontId="2" type="noConversion"/>
  </si>
  <si>
    <t xml:space="preserve">   - PRV for Air</t>
    <phoneticPr fontId="34" type="noConversion"/>
  </si>
  <si>
    <t xml:space="preserve">   - Pressure Gauge</t>
    <phoneticPr fontId="34" type="noConversion"/>
  </si>
  <si>
    <t>EA</t>
    <phoneticPr fontId="34" type="noConversion"/>
  </si>
  <si>
    <t xml:space="preserve">   - Ring Blower</t>
    <phoneticPr fontId="34" type="noConversion"/>
  </si>
  <si>
    <t xml:space="preserve"> 3-4. Direct Injector</t>
    <phoneticPr fontId="2" type="noConversion"/>
  </si>
  <si>
    <t xml:space="preserve">   - Direct Injection Nozzle</t>
    <phoneticPr fontId="34" type="noConversion"/>
  </si>
  <si>
    <t xml:space="preserve"> 4. Electric &amp; Instrument</t>
    <phoneticPr fontId="2" type="noConversion"/>
  </si>
  <si>
    <t xml:space="preserve"> 4-1. Electric Work</t>
    <phoneticPr fontId="2" type="noConversion"/>
  </si>
  <si>
    <t>LOT</t>
  </si>
  <si>
    <t xml:space="preserve">  2) Instrument Cabinets</t>
    <phoneticPr fontId="34" type="noConversion"/>
  </si>
  <si>
    <t xml:space="preserve"> 5. Bulk Material</t>
    <phoneticPr fontId="2" type="noConversion"/>
  </si>
  <si>
    <t xml:space="preserve"> 5-1. Thermal Insulation &amp; Lagging</t>
    <phoneticPr fontId="2" type="noConversion"/>
  </si>
  <si>
    <t xml:space="preserve">  1) Ammonia Storage &amp; Supply System</t>
    <phoneticPr fontId="34" type="noConversion"/>
  </si>
  <si>
    <t xml:space="preserve">   - Pump 등 기타</t>
    <phoneticPr fontId="2" type="noConversion"/>
  </si>
  <si>
    <t>m2</t>
    <phoneticPr fontId="2" type="noConversion"/>
  </si>
  <si>
    <t xml:space="preserve">   - 배관</t>
    <phoneticPr fontId="2" type="noConversion"/>
  </si>
  <si>
    <t>m2</t>
    <phoneticPr fontId="34" type="noConversion"/>
  </si>
  <si>
    <t xml:space="preserve"> 5-2. Piping &amp; Valves Support Material</t>
    <phoneticPr fontId="2" type="noConversion"/>
  </si>
  <si>
    <t xml:space="preserve">  1) Manual Valve Unit</t>
    <phoneticPr fontId="34" type="noConversion"/>
  </si>
  <si>
    <t xml:space="preserve">  2) Loose Piping Material</t>
    <phoneticPr fontId="34" type="noConversion"/>
  </si>
  <si>
    <t xml:space="preserve">  3) Hanger &amp; Support</t>
    <phoneticPr fontId="34" type="noConversion"/>
  </si>
  <si>
    <t xml:space="preserve"> 5-3. Electrical Work &amp; Instrument Work</t>
    <phoneticPr fontId="2" type="noConversion"/>
  </si>
  <si>
    <t xml:space="preserve">  1) Electrical Work &amp; Instrument Work</t>
    <phoneticPr fontId="34" type="noConversion"/>
  </si>
  <si>
    <t xml:space="preserve">   - Cable Tray &amp; Conduit Work</t>
    <phoneticPr fontId="34" type="noConversion"/>
  </si>
  <si>
    <t xml:space="preserve">   - Power Cable Work</t>
    <phoneticPr fontId="34" type="noConversion"/>
  </si>
  <si>
    <t xml:space="preserve">   - Signal &amp; Control Cable Work</t>
    <phoneticPr fontId="34" type="noConversion"/>
  </si>
  <si>
    <t xml:space="preserve">   - Electric Tracing</t>
    <phoneticPr fontId="34" type="noConversion"/>
  </si>
  <si>
    <t xml:space="preserve">   - Instrument Hook-up Material</t>
    <phoneticPr fontId="34" type="noConversion"/>
  </si>
  <si>
    <t xml:space="preserve"> 6. Miscellaneous</t>
    <phoneticPr fontId="34" type="noConversion"/>
  </si>
  <si>
    <t xml:space="preserve">  1) Embedded Materials</t>
    <phoneticPr fontId="34" type="noConversion"/>
  </si>
  <si>
    <t xml:space="preserve">  2) Spare Part for Commissioning&amp;Erection</t>
    <phoneticPr fontId="34" type="noConversion"/>
  </si>
  <si>
    <t xml:space="preserve">  3) Special Tools</t>
    <phoneticPr fontId="34" type="noConversion"/>
  </si>
  <si>
    <t xml:space="preserve">  4) Safety Equipment</t>
    <phoneticPr fontId="34" type="noConversion"/>
  </si>
  <si>
    <t>Mask, etc</t>
    <phoneticPr fontId="2" type="noConversion"/>
  </si>
  <si>
    <t xml:space="preserve">  1) Commissioning Fee</t>
    <phoneticPr fontId="34" type="noConversion"/>
  </si>
  <si>
    <t>자가측정</t>
    <phoneticPr fontId="2" type="noConversion"/>
  </si>
  <si>
    <t xml:space="preserve">  2) Packing &amp; Inspection</t>
    <phoneticPr fontId="34" type="noConversion"/>
  </si>
  <si>
    <t xml:space="preserve"> 7. Emgineering Service</t>
    <phoneticPr fontId="34" type="noConversion"/>
  </si>
  <si>
    <t xml:space="preserve">  1) Basic Engineering</t>
    <phoneticPr fontId="34" type="noConversion"/>
  </si>
  <si>
    <t xml:space="preserve">  2) Equipment Engineering</t>
    <phoneticPr fontId="34" type="noConversion"/>
  </si>
  <si>
    <t xml:space="preserve">   - CFD, etc</t>
    <phoneticPr fontId="34" type="noConversion"/>
  </si>
  <si>
    <t xml:space="preserve">  3) Piping Engineering</t>
    <phoneticPr fontId="34" type="noConversion"/>
  </si>
  <si>
    <t xml:space="preserve">  4) Control &amp; Electric Engineering</t>
    <phoneticPr fontId="34" type="noConversion"/>
  </si>
  <si>
    <t xml:space="preserve">  5) Civil Engineering</t>
    <phoneticPr fontId="34" type="noConversion"/>
  </si>
  <si>
    <t xml:space="preserve"> 8. Installation Fee</t>
    <phoneticPr fontId="34" type="noConversion"/>
  </si>
  <si>
    <t xml:space="preserve">  1) Equipment &amp; Piping Work</t>
    <phoneticPr fontId="34" type="noConversion"/>
  </si>
  <si>
    <t xml:space="preserve">  2) E&amp;I Work</t>
    <phoneticPr fontId="2" type="noConversion"/>
  </si>
  <si>
    <t xml:space="preserve">  3) 현장 관리비</t>
    <phoneticPr fontId="2" type="noConversion"/>
  </si>
  <si>
    <t>직 접 공 사 비 계</t>
    <phoneticPr fontId="34" type="noConversion"/>
  </si>
  <si>
    <t>추석 연휴 Tie-In 공사 포함</t>
    <phoneticPr fontId="2" type="noConversion"/>
  </si>
  <si>
    <t xml:space="preserve">  1) DCS Modification</t>
    <phoneticPr fontId="34" type="noConversion"/>
  </si>
  <si>
    <t>작성일자 : 2025-08-20</t>
    <phoneticPr fontId="4" type="noConversion"/>
  </si>
  <si>
    <t>기존</t>
    <phoneticPr fontId="2" type="noConversion"/>
  </si>
  <si>
    <t>변경</t>
    <phoneticPr fontId="2" type="noConversion"/>
  </si>
  <si>
    <t>계약금액</t>
    <phoneticPr fontId="2" type="noConversion"/>
  </si>
  <si>
    <t>제조원가</t>
    <phoneticPr fontId="2" type="noConversion"/>
  </si>
  <si>
    <t>영업이익</t>
    <phoneticPr fontId="2" type="noConversion"/>
  </si>
  <si>
    <t>판관비(8.9%)</t>
    <phoneticPr fontId="2" type="noConversion"/>
  </si>
  <si>
    <t>제조간접비(4.3%)</t>
    <phoneticPr fontId="2" type="noConversion"/>
  </si>
  <si>
    <t>*직접원가 : 예비비 포함 (계약금액의 1.2%)</t>
    <phoneticPr fontId="2" type="noConversion"/>
  </si>
  <si>
    <t>2025.09.29</t>
    <phoneticPr fontId="2" type="noConversion"/>
  </si>
  <si>
    <t>2026.04.15</t>
    <phoneticPr fontId="2" type="noConversion"/>
  </si>
  <si>
    <t>A</t>
    <phoneticPr fontId="2" type="noConversion"/>
  </si>
  <si>
    <t>잡급</t>
    <phoneticPr fontId="2" type="noConversion"/>
  </si>
  <si>
    <t>증감</t>
    <phoneticPr fontId="2" type="noConversion"/>
  </si>
  <si>
    <t>선급금 : 10% (계산서 발행 후 당월 현금지급)</t>
    <phoneticPr fontId="2" type="noConversion"/>
  </si>
  <si>
    <t>견적보고</t>
    <phoneticPr fontId="25" type="noConversion"/>
  </si>
  <si>
    <t>실행예산</t>
    <phoneticPr fontId="25" type="noConversion"/>
  </si>
  <si>
    <t xml:space="preserve"> HRSG #11, #12 SCR 환원제 직접 분사 설비 설치 공사</t>
    <phoneticPr fontId="2" type="noConversion"/>
  </si>
  <si>
    <t>26년 1월</t>
    <phoneticPr fontId="2" type="noConversion"/>
  </si>
  <si>
    <t>미래종합기술</t>
    <phoneticPr fontId="2" type="noConversion"/>
  </si>
  <si>
    <t>집행예정</t>
    <phoneticPr fontId="25" type="noConversion"/>
  </si>
  <si>
    <t>c</t>
    <phoneticPr fontId="2" type="noConversion"/>
  </si>
  <si>
    <t>c-B</t>
    <phoneticPr fontId="25" type="noConversion"/>
  </si>
  <si>
    <t>B</t>
    <phoneticPr fontId="2" type="noConversion"/>
  </si>
  <si>
    <t>Instruments 1차</t>
    <phoneticPr fontId="2" type="noConversion"/>
  </si>
  <si>
    <t>계약일</t>
    <phoneticPr fontId="2" type="noConversion"/>
  </si>
  <si>
    <t>종료일</t>
    <phoneticPr fontId="2" type="noConversion"/>
  </si>
  <si>
    <t>착공일</t>
    <phoneticPr fontId="2" type="noConversion"/>
  </si>
  <si>
    <t>준공일</t>
    <phoneticPr fontId="2" type="noConversion"/>
  </si>
  <si>
    <t>4. 기타사항</t>
    <phoneticPr fontId="2" type="noConversion"/>
  </si>
  <si>
    <t>폰트 : 10, 본문 행 높이 :20, 구분 라인 행 높이 : 15, 
박스기준은 "2.결제조건"사이즈 기준으로 좌우 대칭 맞출것</t>
    <phoneticPr fontId="2" type="noConversion"/>
  </si>
  <si>
    <t>통영에코파워 프로젝트 관련하여 협력업체 기성금 지급을 아래와 같이 지급하고자 하오니 재가하여</t>
    <phoneticPr fontId="2" type="noConversion"/>
  </si>
  <si>
    <t>주시기 바랍니다.</t>
    <phoneticPr fontId="2" type="noConversion"/>
  </si>
  <si>
    <t xml:space="preserve"> - 아 래 -</t>
    <phoneticPr fontId="2" type="noConversion"/>
  </si>
  <si>
    <t>1. 프로젝트 명 : 통영에코파워 / HRSG#11, #12 SCR 환원제 직접 분사 설비 설치 공사</t>
    <phoneticPr fontId="2" type="noConversion"/>
  </si>
  <si>
    <t>2. 수주금액/프로젝트 코드 :  935,530,000원 / PASC0IT20250011</t>
    <phoneticPr fontId="2" type="noConversion"/>
  </si>
  <si>
    <t>3. 협력업체 기성금 신청내역</t>
    <phoneticPr fontId="2" type="noConversion"/>
  </si>
  <si>
    <t>(단위: 원 VAT 별도)</t>
    <phoneticPr fontId="2" type="noConversion"/>
  </si>
  <si>
    <t>계약품목</t>
    <phoneticPr fontId="2" type="noConversion"/>
  </si>
  <si>
    <t>금회기성</t>
    <phoneticPr fontId="2" type="noConversion"/>
  </si>
  <si>
    <t>누계기성</t>
    <phoneticPr fontId="2" type="noConversion"/>
  </si>
  <si>
    <t>잔여기성</t>
    <phoneticPr fontId="2" type="noConversion"/>
  </si>
  <si>
    <t>주영씨엔에스</t>
    <phoneticPr fontId="2" type="noConversion"/>
  </si>
  <si>
    <t>Auto Valve</t>
    <phoneticPr fontId="2" type="noConversion"/>
  </si>
  <si>
    <t>한국요꼬가와전기</t>
    <phoneticPr fontId="2" type="noConversion"/>
  </si>
  <si>
    <t>Instrument</t>
    <phoneticPr fontId="2" type="noConversion"/>
  </si>
  <si>
    <t>배관 ISO 작성 외</t>
    <phoneticPr fontId="2" type="noConversion"/>
  </si>
  <si>
    <t xml:space="preserve"> 1) 계정 코드 및 코스트센터 : 외주가공비-설비(도급) 외 / 플랜트대기파트</t>
    <phoneticPr fontId="2" type="noConversion"/>
  </si>
  <si>
    <t xml:space="preserve"> 2) 공정 진행률에 따른 기성금 지급</t>
    <phoneticPr fontId="2" type="noConversion"/>
  </si>
  <si>
    <t>고객사 기성금(A)</t>
    <phoneticPr fontId="2" type="noConversion"/>
  </si>
  <si>
    <t>지출(B)</t>
    <phoneticPr fontId="2" type="noConversion"/>
  </si>
  <si>
    <t>차이(A-B)</t>
    <phoneticPr fontId="2" type="noConversion"/>
  </si>
  <si>
    <t>누계</t>
    <phoneticPr fontId="2" type="noConversion"/>
  </si>
  <si>
    <t xml:space="preserve">   * 3월 납품 완료 후 50% / 4월 성능시험 및 준공완료 후 40% 신청 예정</t>
    <phoneticPr fontId="2" type="noConversion"/>
  </si>
  <si>
    <t> 1) 26년 2월 기성금 신청서_통영에코파워_주영씨앤에스(I&amp;C밸브)_잔금10% - 1부</t>
    <phoneticPr fontId="2" type="noConversion"/>
  </si>
  <si>
    <t> 2) 26년 2월 기성금 신청서_통영에코파워_한국요꼬가와전기(Instrument)_잔금10% - 1부</t>
    <phoneticPr fontId="2" type="noConversion"/>
  </si>
  <si>
    <t> 3) 26년 2월 기성금신청서_통영에코파워 배관 ISO 작성 외_미래종합기술(잔금100%) - 1부</t>
    <phoneticPr fontId="2" type="noConversion"/>
  </si>
  <si>
    <t>신청</t>
    <phoneticPr fontId="2" type="noConversion"/>
  </si>
  <si>
    <t>예정</t>
    <phoneticPr fontId="2" type="noConversion"/>
  </si>
  <si>
    <t>26년 2월</t>
    <phoneticPr fontId="2" type="noConversion"/>
  </si>
  <si>
    <t>26년 3월</t>
    <phoneticPr fontId="2" type="noConversion"/>
  </si>
  <si>
    <t>26년 4월</t>
    <phoneticPr fontId="2" type="noConversion"/>
  </si>
  <si>
    <t>26년 5월</t>
  </si>
  <si>
    <t>26년 6월</t>
  </si>
  <si>
    <t>26년 7월</t>
  </si>
  <si>
    <t>26년 8월</t>
  </si>
  <si>
    <t>26년 9월</t>
  </si>
  <si>
    <t>26년 10월</t>
  </si>
  <si>
    <t>26년 11월</t>
  </si>
  <si>
    <t>26년 12월</t>
  </si>
  <si>
    <t>6. 자금수지 현황</t>
    <phoneticPr fontId="2" type="noConversion"/>
  </si>
  <si>
    <t>7. 붙임</t>
    <phoneticPr fontId="2" type="noConversion"/>
  </si>
  <si>
    <t>기계설계 등</t>
  </si>
  <si>
    <t>CFD</t>
  </si>
  <si>
    <t>미래종합기술</t>
  </si>
  <si>
    <t>성균관대학교</t>
    <phoneticPr fontId="2" type="noConversion"/>
  </si>
  <si>
    <t>Module 제작</t>
  </si>
  <si>
    <t>에스에이치씨</t>
  </si>
  <si>
    <t>Auto Valves</t>
  </si>
  <si>
    <t>한국요꼬가와</t>
  </si>
  <si>
    <t>DCS Modification</t>
  </si>
  <si>
    <t>한국에머슨</t>
  </si>
  <si>
    <t>주영씨엔에스</t>
  </si>
  <si>
    <t>대청테크놀로지</t>
  </si>
  <si>
    <t>PDP Panel</t>
  </si>
  <si>
    <t xml:space="preserve"> 외주가공비-설비(도급) 합계</t>
    <phoneticPr fontId="2" type="noConversion"/>
  </si>
  <si>
    <t xml:space="preserve"> 외주용역비-도급 합계</t>
    <phoneticPr fontId="2" type="noConversion"/>
  </si>
  <si>
    <t xml:space="preserve"> 여비교통비</t>
    <phoneticPr fontId="2" type="noConversion"/>
  </si>
  <si>
    <t xml:space="preserve"> 차량유지비-수선비-법인차량</t>
    <phoneticPr fontId="2" type="noConversion"/>
  </si>
  <si>
    <t xml:space="preserve"> 소모품비-안전용품</t>
    <phoneticPr fontId="2" type="noConversion"/>
  </si>
  <si>
    <t xml:space="preserve"> 지급수수료-기타</t>
    <phoneticPr fontId="2" type="noConversion"/>
  </si>
  <si>
    <t xml:space="preserve"> 보험료-보증</t>
    <phoneticPr fontId="2" type="noConversion"/>
  </si>
  <si>
    <t>금회</t>
    <phoneticPr fontId="2" type="noConversion"/>
  </si>
  <si>
    <t>잔여</t>
    <phoneticPr fontId="2" type="noConversion"/>
  </si>
  <si>
    <t>발주금액</t>
    <phoneticPr fontId="2" type="noConversion"/>
  </si>
  <si>
    <t>1월 마감기준 합계</t>
    <phoneticPr fontId="2" type="noConversion"/>
  </si>
  <si>
    <t>기계,배관 설치</t>
    <phoneticPr fontId="2" type="noConversion"/>
  </si>
  <si>
    <t>전기계장 설치</t>
    <phoneticPr fontId="2" type="noConversion"/>
  </si>
  <si>
    <t>5. 프로젝트 비용현황</t>
    <phoneticPr fontId="2" type="noConversion"/>
  </si>
  <si>
    <t>전월 누계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</si>
</sst>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0_-;\-&quot;₩&quot;* #,##0_-;_-&quot;₩&quot;* &quot;-&quot;_-;_-@_-"/>
    <numFmt numFmtId="41" formatCode="_-* #,##0_-;\-* #,##0_-;_-* &quot;-&quot;_-;_-@_-"/>
    <numFmt numFmtId="43" formatCode="_-* #,##0.00_-;\-* #,##0.00_-;_-* &quot;-&quot;??_-;_-@_-"/>
    <numFmt numFmtId="24" formatCode="\$#,##0_);[Red]\(\$#,##0\)"/>
    <numFmt numFmtId="176" formatCode="_-* #,##0.00_-;\-* #,##0.00_-;_-* &quot;-&quot;_-;_-@_-"/>
    <numFmt numFmtId="177" formatCode="_-* #,##0.0_-;\-* #,##0.0_-;_-* &quot;-&quot;_-;_-@_-"/>
    <numFmt numFmtId="178" formatCode="#,##0_ "/>
    <numFmt numFmtId="179" formatCode="#,##0_);[Red]\(#,##0\)"/>
    <numFmt numFmtId="180" formatCode="0.0%"/>
    <numFmt numFmtId="182" formatCode="_-[$₩-412]* #,##0_-;\-[$₩-412]* #,##0_-;_-[$₩-412]* &quot;-&quot;??_-;_-@_-"/>
    <numFmt numFmtId="183" formatCode="0_);[Red]\(0\)"/>
    <numFmt numFmtId="184" formatCode="_ * #,##0_ ;_ * \-#,##0_ ;_ * &quot;-&quot;_ ;_ @_ "/>
    <numFmt numFmtId="185" formatCode="&quot;기&quot;&quot;초&quot;&quot;액&quot;\ #,###\ &quot;천&quot;&quot;원&quot;"/>
    <numFmt numFmtId="186" formatCode="_-* #,##0_-;\-* #,##0_-;_-* &quot;-&quot;??_-;_-@_-"/>
    <numFmt numFmtId="187" formatCode="0.0"/>
    <numFmt numFmtId="188" formatCode="_-* #,##0.0_-;\-* #,##0.0_-;_-* &quot;-&quot;?_-;_-@_-"/>
    <numFmt numFmtId="189" formatCode="_-* #,##0_-;\-* #,##0_-;_-* &quot;-&quot;?_-;_-@_-"/>
  </numFmts>
  <fonts count="72" x14ac:knownFonts="1">
    <font>
      <sz val="11"/>
      <color theme="1"/>
      <name val="맑은 고딕"/>
      <family val="2"/>
      <charset val="129"/>
      <scheme val="minor"/>
    </font>
    <font>
      <sz val="11"/>
      <name val="돋움"/>
      <family val="3"/>
      <charset val="129"/>
    </font>
    <font>
      <sz val="8"/>
      <name val="맑은 고딕"/>
      <family val="2"/>
      <charset val="129"/>
      <scheme val="minor"/>
    </font>
    <font>
      <sz val="11"/>
      <name val="맑은 고딕"/>
      <family val="3"/>
      <charset val="129"/>
    </font>
    <font>
      <sz val="8"/>
      <name val="굴림체"/>
      <family val="3"/>
      <charset val="129"/>
    </font>
    <font>
      <b/>
      <sz val="12"/>
      <name val="맑은 고딕"/>
      <family val="3"/>
      <charset val="129"/>
    </font>
    <font>
      <b/>
      <sz val="11"/>
      <name val="맑은 고딕"/>
      <family val="3"/>
      <charset val="129"/>
    </font>
    <font>
      <sz val="10"/>
      <name val="Arial"/>
      <family val="2"/>
    </font>
    <font>
      <sz val="11"/>
      <name val="굴림체"/>
      <family val="3"/>
      <charset val="129"/>
    </font>
    <font>
      <sz val="10"/>
      <name val="맑은 고딕"/>
      <family val="3"/>
      <charset val="129"/>
    </font>
    <font>
      <sz val="11"/>
      <color theme="1"/>
      <name val="맑은 고딕"/>
      <family val="3"/>
      <charset val="129"/>
      <scheme val="minor"/>
    </font>
    <font>
      <sz val="10"/>
      <name val="맑은 고딕"/>
      <family val="3"/>
      <charset val="129"/>
      <scheme val="minor"/>
    </font>
    <font>
      <b/>
      <sz val="10"/>
      <name val="맑은 고딕"/>
      <family val="3"/>
      <charset val="129"/>
      <scheme val="minor"/>
    </font>
    <font>
      <b/>
      <sz val="12"/>
      <color theme="1"/>
      <name val="맑은 고딕"/>
      <family val="3"/>
      <charset val="129"/>
      <scheme val="minor"/>
    </font>
    <font>
      <sz val="11"/>
      <color theme="1"/>
      <name val="맑은 고딕"/>
      <family val="2"/>
      <charset val="129"/>
      <scheme val="minor"/>
    </font>
    <font>
      <sz val="10"/>
      <name val="Helv"/>
      <family val="2"/>
    </font>
    <font>
      <sz val="12"/>
      <name val="바탕체"/>
      <family val="1"/>
      <charset val="129"/>
    </font>
    <font>
      <sz val="10"/>
      <name val="굴림체"/>
      <family val="3"/>
      <charset val="129"/>
    </font>
    <font>
      <sz val="8"/>
      <name val="바탕체"/>
      <family val="1"/>
      <charset val="129"/>
    </font>
    <font>
      <sz val="9"/>
      <color theme="1"/>
      <name val="맑은 고딕"/>
      <family val="3"/>
      <charset val="129"/>
      <scheme val="minor"/>
    </font>
    <font>
      <b/>
      <sz val="10"/>
      <name val="맑은 고딕"/>
      <family val="3"/>
      <charset val="129"/>
    </font>
    <font>
      <b/>
      <sz val="11"/>
      <color theme="1"/>
      <name val="맑은 고딕"/>
      <family val="3"/>
      <charset val="129"/>
      <scheme val="minor"/>
    </font>
    <font>
      <sz val="10"/>
      <name val="바탕체"/>
      <family val="1"/>
      <charset val="129"/>
    </font>
    <font>
      <b/>
      <u/>
      <sz val="28"/>
      <name val="맑은 고딕"/>
      <family val="3"/>
      <charset val="129"/>
    </font>
    <font>
      <sz val="8"/>
      <name val="바탕"/>
      <family val="1"/>
      <charset val="129"/>
    </font>
    <font>
      <sz val="8"/>
      <name val="맑은 고딕"/>
      <family val="3"/>
      <charset val="129"/>
    </font>
    <font>
      <sz val="11"/>
      <color indexed="8"/>
      <name val="맑은 고딕"/>
      <family val="3"/>
      <charset val="129"/>
    </font>
    <font>
      <b/>
      <sz val="10"/>
      <color theme="0"/>
      <name val="맑은 고딕"/>
      <family val="3"/>
      <charset val="129"/>
    </font>
    <font>
      <b/>
      <sz val="10"/>
      <color rgb="FFFF0000"/>
      <name val="맑은 고딕"/>
      <family val="3"/>
      <charset val="129"/>
    </font>
    <font>
      <sz val="10"/>
      <color theme="0"/>
      <name val="맑은 고딕"/>
      <family val="3"/>
      <charset val="129"/>
    </font>
    <font>
      <sz val="10"/>
      <color theme="1"/>
      <name val="맑은 고딕"/>
      <family val="3"/>
      <charset val="129"/>
      <scheme val="minor"/>
    </font>
    <font>
      <b/>
      <sz val="10"/>
      <color theme="1"/>
      <name val="맑은 고딕"/>
      <family val="3"/>
      <charset val="129"/>
      <scheme val="minor"/>
    </font>
    <font>
      <sz val="10"/>
      <color rgb="FFFF0000"/>
      <name val="맑은 고딕"/>
      <family val="3"/>
      <charset val="129"/>
      <scheme val="minor"/>
    </font>
    <font>
      <b/>
      <sz val="30"/>
      <color theme="1"/>
      <name val="HY그래픽M"/>
      <family val="1"/>
      <charset val="129"/>
    </font>
    <font>
      <sz val="8"/>
      <name val="돋움"/>
      <family val="3"/>
      <charset val="129"/>
    </font>
    <font>
      <b/>
      <sz val="14"/>
      <name val="맑은 고딕"/>
      <family val="3"/>
      <charset val="129"/>
    </font>
    <font>
      <sz val="12"/>
      <name val="맑은 고딕"/>
      <family val="3"/>
      <charset val="129"/>
      <scheme val="minor"/>
    </font>
    <font>
      <b/>
      <sz val="14"/>
      <color theme="1"/>
      <name val="맑은 고딕"/>
      <family val="3"/>
      <charset val="129"/>
      <scheme val="minor"/>
    </font>
    <font>
      <b/>
      <sz val="14"/>
      <color theme="1"/>
      <name val="맑은 고딕"/>
      <family val="3"/>
      <charset val="129"/>
    </font>
    <font>
      <b/>
      <sz val="12"/>
      <color theme="1"/>
      <name val="맑은 고딕"/>
      <family val="3"/>
      <charset val="129"/>
    </font>
    <font>
      <sz val="10"/>
      <color rgb="FF000000"/>
      <name val="맑은 고딕"/>
      <family val="3"/>
      <charset val="129"/>
    </font>
    <font>
      <sz val="11"/>
      <color rgb="FF000000"/>
      <name val="맑은 고딕"/>
      <family val="3"/>
      <charset val="129"/>
    </font>
    <font>
      <b/>
      <sz val="10"/>
      <color rgb="FF000000"/>
      <name val="맑은 고딕"/>
      <family val="3"/>
      <charset val="129"/>
    </font>
    <font>
      <sz val="11"/>
      <color theme="1"/>
      <name val="맑은 고딕"/>
      <family val="3"/>
      <charset val="129"/>
    </font>
    <font>
      <b/>
      <sz val="11"/>
      <color theme="1"/>
      <name val="맑은 고딕"/>
      <family val="3"/>
      <charset val="129"/>
    </font>
    <font>
      <sz val="10"/>
      <color theme="1"/>
      <name val="맑은 고딕"/>
      <family val="3"/>
      <charset val="129"/>
    </font>
    <font>
      <sz val="11"/>
      <color rgb="FFFF0000"/>
      <name val="맑은 고딕"/>
      <family val="3"/>
      <charset val="129"/>
    </font>
    <font>
      <b/>
      <sz val="11"/>
      <color rgb="FFFF0000"/>
      <name val="맑은 고딕"/>
      <family val="3"/>
      <charset val="129"/>
    </font>
    <font>
      <sz val="10"/>
      <color indexed="18"/>
      <name val="맑은 고딕"/>
      <family val="3"/>
      <charset val="129"/>
      <scheme val="minor"/>
    </font>
    <font>
      <b/>
      <sz val="18"/>
      <name val="맑은 고딕"/>
      <family val="3"/>
      <charset val="129"/>
      <scheme val="major"/>
    </font>
    <font>
      <b/>
      <sz val="10"/>
      <name val="맑은 고딕"/>
      <family val="3"/>
      <charset val="129"/>
      <scheme val="major"/>
    </font>
    <font>
      <sz val="10"/>
      <name val="맑은 고딕"/>
      <family val="3"/>
      <charset val="129"/>
      <scheme val="major"/>
    </font>
    <font>
      <b/>
      <sz val="10"/>
      <color indexed="8"/>
      <name val="맑은 고딕"/>
      <family val="3"/>
      <charset val="129"/>
      <scheme val="minor"/>
    </font>
    <font>
      <sz val="10"/>
      <color rgb="FF000000"/>
      <name val="맑은 고딕"/>
      <family val="3"/>
      <charset val="129"/>
      <scheme val="minor"/>
    </font>
    <font>
      <sz val="10"/>
      <color indexed="8"/>
      <name val="맑은 고딕"/>
      <family val="3"/>
      <charset val="129"/>
      <scheme val="minor"/>
    </font>
    <font>
      <b/>
      <sz val="10"/>
      <color rgb="FFFF0000"/>
      <name val="맑은 고딕"/>
      <family val="3"/>
      <charset val="129"/>
      <scheme val="minor"/>
    </font>
    <font>
      <sz val="9"/>
      <name val="맑은 고딕"/>
      <family val="3"/>
      <charset val="129"/>
      <scheme val="minor"/>
    </font>
    <font>
      <b/>
      <sz val="10"/>
      <color rgb="FF000000"/>
      <name val="맑은 고딕"/>
      <family val="3"/>
      <charset val="129"/>
      <scheme val="minor"/>
    </font>
    <font>
      <sz val="9"/>
      <name val="굴림체"/>
      <family val="3"/>
      <charset val="129"/>
    </font>
    <font>
      <sz val="9"/>
      <name val="맑은 고딕"/>
      <family val="3"/>
      <charset val="129"/>
      <scheme val="major"/>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10"/>
      <color indexed="81"/>
      <name val="맑은 고딕"/>
      <family val="3"/>
      <charset val="129"/>
      <scheme val="minor"/>
    </font>
    <font>
      <b/>
      <sz val="9"/>
      <name val="맑은 고딕"/>
      <family val="3"/>
      <charset val="129"/>
      <scheme val="minor"/>
    </font>
    <font>
      <sz val="9"/>
      <color theme="1"/>
      <name val="맑은 고딕"/>
      <family val="3"/>
      <charset val="129"/>
    </font>
    <font>
      <sz val="9"/>
      <color rgb="FF000000"/>
      <name val="맑은 고딕"/>
      <family val="3"/>
      <charset val="129"/>
      <scheme val="minor"/>
    </font>
    <font>
      <sz val="10"/>
      <color rgb="FFFF0000"/>
      <name val="맑은 고딕"/>
      <family val="3"/>
      <charset val="129"/>
    </font>
    <font>
      <sz val="10"/>
      <color rgb="FF222222"/>
      <name val="맑은 고딕"/>
      <family val="3"/>
      <charset val="129"/>
      <scheme val="minor"/>
    </font>
    <font>
      <b/>
      <sz val="10"/>
      <color rgb="FF222222"/>
      <name val="맑은 고딕"/>
      <family val="3"/>
      <charset val="129"/>
      <scheme val="minor"/>
    </font>
    <font>
      <sz val="9"/>
      <color rgb="FF222222"/>
      <name val="맑은 고딕"/>
      <family val="3"/>
      <charset val="129"/>
      <scheme val="minor"/>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gray0625">
        <bgColor theme="4" tint="0.59999389629810485"/>
      </patternFill>
    </fill>
    <fill>
      <patternFill patternType="solid">
        <fgColor theme="4" tint="0.59999389629810485"/>
        <bgColor rgb="FF000000"/>
      </patternFill>
    </fill>
    <fill>
      <patternFill patternType="solid">
        <fgColor rgb="FFFFFFFF"/>
        <bgColor rgb="FF000000"/>
      </patternFill>
    </fill>
    <fill>
      <patternFill patternType="solid">
        <fgColor theme="3" tint="0.7999816888943144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indexed="9"/>
        <bgColor indexed="64"/>
      </patternFill>
    </fill>
    <fill>
      <patternFill patternType="solid">
        <fgColor theme="3" tint="0.59999389629810485"/>
        <bgColor indexed="64"/>
      </patternFill>
    </fill>
    <fill>
      <patternFill patternType="solid">
        <fgColor theme="5" tint="0.59999389629810485"/>
        <bgColor indexed="64"/>
      </patternFill>
    </fill>
  </fills>
  <borders count="91">
    <border>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left style="thin">
        <color indexed="64"/>
      </left>
      <right style="thin">
        <color indexed="64"/>
      </right>
      <top/>
      <bottom/>
      <diagonal/>
    </border>
    <border>
      <left/>
      <right style="thin">
        <color indexed="64"/>
      </right>
      <top/>
      <bottom/>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thin">
        <color theme="1"/>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s>
  <cellStyleXfs count="26">
    <xf numFmtId="0" fontId="0" fillId="0" borderId="0">
      <alignment vertical="center"/>
    </xf>
    <xf numFmtId="41" fontId="10" fillId="0" borderId="0" applyFont="0" applyFill="0" applyBorder="0" applyAlignment="0" applyProtection="0">
      <alignment vertical="center"/>
    </xf>
    <xf numFmtId="0" fontId="1" fillId="0" borderId="0"/>
    <xf numFmtId="41" fontId="1" fillId="0" borderId="0" applyFont="0" applyFill="0" applyBorder="0" applyAlignment="0" applyProtection="0"/>
    <xf numFmtId="41" fontId="14" fillId="0" borderId="0" applyFont="0" applyFill="0" applyBorder="0" applyAlignment="0" applyProtection="0">
      <alignment vertical="center"/>
    </xf>
    <xf numFmtId="0" fontId="1" fillId="0" borderId="0"/>
    <xf numFmtId="0" fontId="1" fillId="0" borderId="0"/>
    <xf numFmtId="0" fontId="14" fillId="0" borderId="0">
      <alignment vertical="center"/>
    </xf>
    <xf numFmtId="41" fontId="14" fillId="0" borderId="0" applyFont="0" applyFill="0" applyBorder="0" applyAlignment="0" applyProtection="0">
      <alignment vertical="center"/>
    </xf>
    <xf numFmtId="0" fontId="15" fillId="0" borderId="0"/>
    <xf numFmtId="179" fontId="16" fillId="0" borderId="0" applyFont="0" applyFill="0" applyBorder="0" applyAlignment="0" applyProtection="0"/>
    <xf numFmtId="41" fontId="17" fillId="0" borderId="0" applyFont="0" applyFill="0" applyBorder="0" applyAlignment="0" applyProtection="0">
      <alignment vertical="center"/>
    </xf>
    <xf numFmtId="0" fontId="16" fillId="0" borderId="0"/>
    <xf numFmtId="0" fontId="17" fillId="0" borderId="0"/>
    <xf numFmtId="9" fontId="17" fillId="0" borderId="0" applyFont="0" applyFill="0" applyBorder="0" applyAlignment="0" applyProtection="0">
      <alignment vertical="center"/>
    </xf>
    <xf numFmtId="9" fontId="14" fillId="0" borderId="0" applyFont="0" applyFill="0" applyBorder="0" applyAlignment="0" applyProtection="0">
      <alignment vertical="center"/>
    </xf>
    <xf numFmtId="0" fontId="22" fillId="0" borderId="0"/>
    <xf numFmtId="9" fontId="22" fillId="0" borderId="0" applyFont="0" applyFill="0" applyBorder="0" applyAlignment="0" applyProtection="0"/>
    <xf numFmtId="0" fontId="22" fillId="0" borderId="0" applyFont="0" applyFill="0" applyBorder="0" applyAlignment="0" applyProtection="0"/>
    <xf numFmtId="41" fontId="26" fillId="0" borderId="0" applyFont="0" applyFill="0" applyBorder="0" applyAlignment="0" applyProtection="0">
      <alignment vertical="center"/>
    </xf>
    <xf numFmtId="41" fontId="14" fillId="0" borderId="0" applyFont="0" applyFill="0" applyBorder="0" applyAlignment="0" applyProtection="0">
      <alignment vertical="center"/>
    </xf>
    <xf numFmtId="0" fontId="14" fillId="0" borderId="0">
      <alignment vertical="center"/>
    </xf>
    <xf numFmtId="0" fontId="1" fillId="0" borderId="0"/>
    <xf numFmtId="0" fontId="7" fillId="0" borderId="0"/>
    <xf numFmtId="0" fontId="8" fillId="0" borderId="0"/>
    <xf numFmtId="0" fontId="16" fillId="0" borderId="0"/>
  </cellStyleXfs>
  <cellXfs count="622">
    <xf numFmtId="0" fontId="0" fillId="0" borderId="0" xfId="0">
      <alignment vertical="center"/>
    </xf>
    <xf numFmtId="41" fontId="0" fillId="0" borderId="0" xfId="0" applyNumberFormat="1">
      <alignment vertical="center"/>
    </xf>
    <xf numFmtId="41" fontId="0" fillId="0" borderId="0" xfId="4" applyFont="1">
      <alignment vertical="center"/>
    </xf>
    <xf numFmtId="0" fontId="9" fillId="0" borderId="0" xfId="16" applyFont="1" applyAlignment="1">
      <alignment vertical="center"/>
    </xf>
    <xf numFmtId="0" fontId="5" fillId="0" borderId="0" xfId="16" applyFont="1"/>
    <xf numFmtId="0" fontId="9" fillId="0" borderId="1" xfId="16" applyFont="1" applyBorder="1"/>
    <xf numFmtId="0" fontId="9" fillId="0" borderId="0" xfId="16" applyFont="1"/>
    <xf numFmtId="179" fontId="9" fillId="0" borderId="0" xfId="16" applyNumberFormat="1" applyFont="1"/>
    <xf numFmtId="180" fontId="9" fillId="0" borderId="0" xfId="17" applyNumberFormat="1" applyFont="1" applyFill="1" applyBorder="1" applyAlignment="1">
      <alignment horizontal="right"/>
    </xf>
    <xf numFmtId="179" fontId="9" fillId="0" borderId="0" xfId="18" applyNumberFormat="1" applyFont="1" applyFill="1" applyBorder="1" applyAlignment="1">
      <alignment vertical="center"/>
    </xf>
    <xf numFmtId="14" fontId="9" fillId="0" borderId="0" xfId="18" applyNumberFormat="1" applyFont="1" applyFill="1" applyBorder="1" applyAlignment="1">
      <alignment vertical="center"/>
    </xf>
    <xf numFmtId="0" fontId="9" fillId="0" borderId="7" xfId="16" applyFont="1" applyBorder="1" applyAlignment="1">
      <alignment horizontal="center" vertical="center" wrapText="1"/>
    </xf>
    <xf numFmtId="0" fontId="9" fillId="0" borderId="12" xfId="16" applyFont="1" applyBorder="1" applyAlignment="1">
      <alignment vertical="center"/>
    </xf>
    <xf numFmtId="0" fontId="9" fillId="0" borderId="4" xfId="16" applyFont="1" applyBorder="1" applyAlignment="1">
      <alignment vertical="center"/>
    </xf>
    <xf numFmtId="0" fontId="9" fillId="0" borderId="7" xfId="16" applyFont="1" applyBorder="1" applyAlignment="1">
      <alignment horizontal="center" vertical="center"/>
    </xf>
    <xf numFmtId="0" fontId="9" fillId="0" borderId="13" xfId="16" quotePrefix="1" applyFont="1" applyBorder="1" applyAlignment="1">
      <alignment horizontal="center" vertical="center"/>
    </xf>
    <xf numFmtId="0" fontId="9" fillId="0" borderId="0" xfId="16" quotePrefix="1" applyFont="1" applyAlignment="1">
      <alignment horizontal="center" vertical="center"/>
    </xf>
    <xf numFmtId="0" fontId="9" fillId="0" borderId="5" xfId="16" applyFont="1" applyBorder="1" applyAlignment="1">
      <alignment horizontal="center" vertical="center"/>
    </xf>
    <xf numFmtId="41" fontId="20" fillId="0" borderId="7" xfId="19" applyFont="1" applyFill="1" applyBorder="1" applyAlignment="1">
      <alignment vertical="center"/>
    </xf>
    <xf numFmtId="180" fontId="20" fillId="0" borderId="12" xfId="16" applyNumberFormat="1" applyFont="1" applyBorder="1" applyAlignment="1">
      <alignment horizontal="centerContinuous" vertical="center"/>
    </xf>
    <xf numFmtId="41" fontId="20" fillId="0" borderId="12" xfId="19" applyFont="1" applyFill="1" applyBorder="1" applyAlignment="1">
      <alignment vertical="center"/>
    </xf>
    <xf numFmtId="180" fontId="20" fillId="0" borderId="4" xfId="16" applyNumberFormat="1" applyFont="1" applyBorder="1" applyAlignment="1">
      <alignment horizontal="centerContinuous" vertical="center"/>
    </xf>
    <xf numFmtId="180" fontId="27" fillId="0" borderId="4" xfId="16" applyNumberFormat="1" applyFont="1" applyBorder="1" applyAlignment="1">
      <alignment horizontal="centerContinuous" vertical="center"/>
    </xf>
    <xf numFmtId="179" fontId="9" fillId="0" borderId="0" xfId="16" applyNumberFormat="1" applyFont="1" applyAlignment="1">
      <alignment vertical="center"/>
    </xf>
    <xf numFmtId="0" fontId="9" fillId="0" borderId="0" xfId="16" applyFont="1" applyAlignment="1">
      <alignment horizontal="center" vertical="center"/>
    </xf>
    <xf numFmtId="0" fontId="20" fillId="0" borderId="13" xfId="16" applyFont="1" applyBorder="1" applyAlignment="1">
      <alignment vertical="center"/>
    </xf>
    <xf numFmtId="0" fontId="9" fillId="0" borderId="19" xfId="16" applyFont="1" applyBorder="1" applyAlignment="1">
      <alignment vertical="center" textRotation="255"/>
    </xf>
    <xf numFmtId="0" fontId="9" fillId="0" borderId="19" xfId="16" applyFont="1" applyBorder="1" applyAlignment="1">
      <alignment vertical="center"/>
    </xf>
    <xf numFmtId="41" fontId="9" fillId="0" borderId="7" xfId="4" applyFont="1" applyBorder="1" applyAlignment="1">
      <alignment vertical="center"/>
    </xf>
    <xf numFmtId="180" fontId="9" fillId="0" borderId="12" xfId="16" applyNumberFormat="1" applyFont="1" applyBorder="1" applyAlignment="1">
      <alignment horizontal="centerContinuous" vertical="center"/>
    </xf>
    <xf numFmtId="41" fontId="9" fillId="0" borderId="12" xfId="4" applyFont="1" applyBorder="1" applyAlignment="1">
      <alignment vertical="center"/>
    </xf>
    <xf numFmtId="180" fontId="9" fillId="0" borderId="4" xfId="16" applyNumberFormat="1" applyFont="1" applyBorder="1" applyAlignment="1">
      <alignment horizontal="centerContinuous" vertical="center"/>
    </xf>
    <xf numFmtId="41" fontId="9" fillId="0" borderId="12" xfId="19" applyFont="1" applyFill="1" applyBorder="1" applyAlignment="1">
      <alignment vertical="center"/>
    </xf>
    <xf numFmtId="41" fontId="9" fillId="0" borderId="12" xfId="16" applyNumberFormat="1" applyFont="1" applyBorder="1" applyAlignment="1">
      <alignment vertical="center"/>
    </xf>
    <xf numFmtId="0" fontId="9" fillId="3" borderId="12" xfId="16" applyFont="1" applyFill="1" applyBorder="1" applyAlignment="1">
      <alignment horizontal="center" vertical="center"/>
    </xf>
    <xf numFmtId="0" fontId="9" fillId="3" borderId="7" xfId="18" applyFont="1" applyFill="1" applyBorder="1" applyAlignment="1">
      <alignment horizontal="center" vertical="center"/>
    </xf>
    <xf numFmtId="0" fontId="9" fillId="3" borderId="7" xfId="16" applyFont="1" applyFill="1" applyBorder="1" applyAlignment="1">
      <alignment horizontal="center" vertical="center"/>
    </xf>
    <xf numFmtId="41" fontId="9" fillId="0" borderId="7" xfId="4" applyFont="1" applyFill="1" applyBorder="1" applyAlignment="1">
      <alignment vertical="center"/>
    </xf>
    <xf numFmtId="41" fontId="9" fillId="0" borderId="12" xfId="4" applyFont="1" applyFill="1" applyBorder="1" applyAlignment="1">
      <alignment vertical="center"/>
    </xf>
    <xf numFmtId="0" fontId="9" fillId="3" borderId="7" xfId="16" quotePrefix="1" applyFont="1" applyFill="1" applyBorder="1" applyAlignment="1">
      <alignment horizontal="center" vertical="center"/>
    </xf>
    <xf numFmtId="0" fontId="9" fillId="0" borderId="13" xfId="16" applyFont="1" applyBorder="1" applyAlignment="1">
      <alignment horizontal="left" vertical="center"/>
    </xf>
    <xf numFmtId="0" fontId="9" fillId="0" borderId="6" xfId="16" applyFont="1" applyBorder="1" applyAlignment="1">
      <alignment vertical="center"/>
    </xf>
    <xf numFmtId="0" fontId="9" fillId="0" borderId="15" xfId="16" applyFont="1" applyBorder="1" applyAlignment="1">
      <alignment vertical="center" shrinkToFit="1"/>
    </xf>
    <xf numFmtId="0" fontId="9" fillId="0" borderId="14" xfId="16" applyFont="1" applyBorder="1" applyAlignment="1">
      <alignment vertical="center" shrinkToFit="1"/>
    </xf>
    <xf numFmtId="3" fontId="9" fillId="3" borderId="12" xfId="16" applyNumberFormat="1" applyFont="1" applyFill="1" applyBorder="1" applyAlignment="1">
      <alignment horizontal="center" vertical="center"/>
    </xf>
    <xf numFmtId="179" fontId="9" fillId="0" borderId="0" xfId="16" applyNumberFormat="1" applyFont="1" applyAlignment="1">
      <alignment horizontal="left" vertical="center"/>
    </xf>
    <xf numFmtId="0" fontId="9" fillId="0" borderId="13" xfId="16" applyFont="1" applyBorder="1" applyAlignment="1">
      <alignment vertical="center" textRotation="255"/>
    </xf>
    <xf numFmtId="0" fontId="9" fillId="0" borderId="20" xfId="16" applyFont="1" applyBorder="1" applyAlignment="1">
      <alignment vertical="center" textRotation="255"/>
    </xf>
    <xf numFmtId="0" fontId="9" fillId="0" borderId="8" xfId="16" applyFont="1" applyBorder="1" applyAlignment="1">
      <alignment vertical="center" shrinkToFit="1"/>
    </xf>
    <xf numFmtId="0" fontId="9" fillId="0" borderId="4" xfId="16" applyFont="1" applyBorder="1" applyAlignment="1">
      <alignment vertical="center" shrinkToFit="1"/>
    </xf>
    <xf numFmtId="179" fontId="28" fillId="0" borderId="0" xfId="16" applyNumberFormat="1" applyFont="1" applyAlignment="1">
      <alignment horizontal="left" vertical="center"/>
    </xf>
    <xf numFmtId="0" fontId="9" fillId="0" borderId="2" xfId="16" applyFont="1" applyBorder="1" applyAlignment="1">
      <alignment vertical="center" textRotation="255"/>
    </xf>
    <xf numFmtId="41" fontId="9" fillId="0" borderId="7" xfId="19" applyFont="1" applyFill="1" applyBorder="1" applyAlignment="1">
      <alignment vertical="center"/>
    </xf>
    <xf numFmtId="180" fontId="29" fillId="0" borderId="4" xfId="16" applyNumberFormat="1" applyFont="1" applyBorder="1" applyAlignment="1">
      <alignment horizontal="centerContinuous" vertical="center"/>
    </xf>
    <xf numFmtId="41" fontId="9" fillId="0" borderId="0" xfId="19" applyFont="1" applyAlignment="1">
      <alignment vertical="center"/>
    </xf>
    <xf numFmtId="180" fontId="9" fillId="0" borderId="12" xfId="16" applyNumberFormat="1" applyFont="1" applyBorder="1" applyAlignment="1">
      <alignment horizontal="center" vertical="center"/>
    </xf>
    <xf numFmtId="180" fontId="9" fillId="0" borderId="4" xfId="16" applyNumberFormat="1" applyFont="1" applyBorder="1" applyAlignment="1">
      <alignment horizontal="center" vertical="center"/>
    </xf>
    <xf numFmtId="180" fontId="29" fillId="0" borderId="4" xfId="16" applyNumberFormat="1" applyFont="1" applyBorder="1" applyAlignment="1">
      <alignment horizontal="center" vertical="center"/>
    </xf>
    <xf numFmtId="41" fontId="9" fillId="0" borderId="7" xfId="19" applyFont="1" applyBorder="1" applyAlignment="1">
      <alignment vertical="center"/>
    </xf>
    <xf numFmtId="41" fontId="9" fillId="0" borderId="12" xfId="19" applyFont="1" applyBorder="1" applyAlignment="1">
      <alignment vertical="center"/>
    </xf>
    <xf numFmtId="179" fontId="20" fillId="0" borderId="0" xfId="16" applyNumberFormat="1" applyFont="1" applyAlignment="1">
      <alignment vertical="center"/>
    </xf>
    <xf numFmtId="41" fontId="30" fillId="0" borderId="0" xfId="4" applyFont="1">
      <alignment vertical="center"/>
    </xf>
    <xf numFmtId="0" fontId="30" fillId="0" borderId="0" xfId="0" applyFont="1">
      <alignment vertical="center"/>
    </xf>
    <xf numFmtId="0" fontId="5" fillId="0" borderId="1" xfId="16" applyFont="1" applyBorder="1"/>
    <xf numFmtId="0" fontId="3" fillId="0" borderId="0" xfId="22" applyFont="1" applyAlignment="1">
      <alignment horizontal="right" vertical="center"/>
    </xf>
    <xf numFmtId="0" fontId="35" fillId="0" borderId="0" xfId="22" applyFont="1" applyAlignment="1">
      <alignment vertical="center"/>
    </xf>
    <xf numFmtId="0" fontId="36" fillId="0" borderId="0" xfId="22" applyFont="1" applyAlignment="1">
      <alignment horizontal="left" vertical="center"/>
    </xf>
    <xf numFmtId="0" fontId="20" fillId="0" borderId="25" xfId="22" applyFont="1" applyBorder="1" applyAlignment="1">
      <alignment vertical="center"/>
    </xf>
    <xf numFmtId="0" fontId="0" fillId="0" borderId="25" xfId="0" applyBorder="1">
      <alignment vertical="center"/>
    </xf>
    <xf numFmtId="0" fontId="13" fillId="0" borderId="25" xfId="0" applyFont="1" applyBorder="1">
      <alignment vertical="center"/>
    </xf>
    <xf numFmtId="0" fontId="5" fillId="0" borderId="26" xfId="22" applyFont="1" applyBorder="1" applyAlignment="1">
      <alignment vertical="center"/>
    </xf>
    <xf numFmtId="0" fontId="0" fillId="0" borderId="26" xfId="0" applyBorder="1">
      <alignment vertical="center"/>
    </xf>
    <xf numFmtId="0" fontId="37" fillId="0" borderId="26" xfId="0" applyFont="1" applyBorder="1">
      <alignment vertical="center"/>
    </xf>
    <xf numFmtId="24" fontId="38" fillId="0" borderId="26" xfId="22" quotePrefix="1" applyNumberFormat="1" applyFont="1" applyBorder="1" applyAlignment="1">
      <alignment vertical="center"/>
    </xf>
    <xf numFmtId="24" fontId="39" fillId="0" borderId="26" xfId="22" applyNumberFormat="1" applyFont="1" applyBorder="1" applyAlignment="1">
      <alignment vertical="center"/>
    </xf>
    <xf numFmtId="0" fontId="3" fillId="6" borderId="27" xfId="22" applyFont="1" applyFill="1" applyBorder="1" applyAlignment="1">
      <alignment horizontal="center" vertical="center"/>
    </xf>
    <xf numFmtId="0" fontId="6" fillId="6" borderId="30" xfId="22" applyFont="1" applyFill="1" applyBorder="1" applyAlignment="1">
      <alignment horizontal="center" vertical="center" wrapText="1"/>
    </xf>
    <xf numFmtId="0" fontId="6" fillId="6" borderId="31" xfId="22" applyFont="1" applyFill="1" applyBorder="1" applyAlignment="1">
      <alignment horizontal="center" vertical="center" wrapText="1"/>
    </xf>
    <xf numFmtId="0" fontId="40" fillId="7" borderId="32" xfId="23" applyFont="1" applyFill="1" applyBorder="1" applyAlignment="1">
      <alignment vertical="center"/>
    </xf>
    <xf numFmtId="0" fontId="9" fillId="0" borderId="35" xfId="24" applyFont="1" applyBorder="1" applyAlignment="1">
      <alignment horizontal="center" vertical="center"/>
    </xf>
    <xf numFmtId="0" fontId="9" fillId="0" borderId="35" xfId="24" applyFont="1" applyBorder="1" applyAlignment="1">
      <alignment horizontal="centerContinuous" vertical="center"/>
    </xf>
    <xf numFmtId="41" fontId="9" fillId="0" borderId="36" xfId="1" applyFont="1" applyFill="1" applyBorder="1" applyAlignment="1">
      <alignment vertical="center"/>
    </xf>
    <xf numFmtId="10" fontId="6" fillId="0" borderId="37" xfId="24" applyNumberFormat="1" applyFont="1" applyBorder="1" applyAlignment="1">
      <alignment vertical="center"/>
    </xf>
    <xf numFmtId="10" fontId="6" fillId="0" borderId="38" xfId="24" applyNumberFormat="1" applyFont="1" applyBorder="1" applyAlignment="1">
      <alignment vertical="center"/>
    </xf>
    <xf numFmtId="10" fontId="6" fillId="0" borderId="39" xfId="24" applyNumberFormat="1" applyFont="1" applyBorder="1" applyAlignment="1">
      <alignment vertical="center"/>
    </xf>
    <xf numFmtId="0" fontId="41" fillId="7" borderId="38" xfId="23" applyFont="1" applyFill="1" applyBorder="1" applyAlignment="1">
      <alignment vertical="center"/>
    </xf>
    <xf numFmtId="0" fontId="41" fillId="7" borderId="39" xfId="23" applyFont="1" applyFill="1" applyBorder="1" applyAlignment="1">
      <alignment vertical="center"/>
    </xf>
    <xf numFmtId="0" fontId="3" fillId="0" borderId="35" xfId="24" applyFont="1" applyBorder="1" applyAlignment="1">
      <alignment horizontal="center" vertical="center"/>
    </xf>
    <xf numFmtId="41" fontId="3" fillId="0" borderId="35" xfId="24" applyNumberFormat="1" applyFont="1" applyBorder="1" applyAlignment="1">
      <alignment horizontal="centerContinuous" vertical="center"/>
    </xf>
    <xf numFmtId="41" fontId="3" fillId="0" borderId="36" xfId="1" applyFont="1" applyFill="1" applyBorder="1" applyAlignment="1">
      <alignment vertical="center"/>
    </xf>
    <xf numFmtId="0" fontId="42" fillId="7" borderId="32" xfId="23" quotePrefix="1" applyFont="1" applyFill="1" applyBorder="1" applyAlignment="1">
      <alignment horizontal="right" vertical="center"/>
    </xf>
    <xf numFmtId="10" fontId="43" fillId="7" borderId="38" xfId="23" quotePrefix="1" applyNumberFormat="1" applyFont="1" applyFill="1" applyBorder="1" applyAlignment="1">
      <alignment horizontal="left" vertical="center"/>
    </xf>
    <xf numFmtId="0" fontId="44" fillId="7" borderId="39" xfId="23" applyFont="1" applyFill="1" applyBorder="1" applyAlignment="1">
      <alignment horizontal="left" vertical="center"/>
    </xf>
    <xf numFmtId="10" fontId="45" fillId="7" borderId="38" xfId="23" quotePrefix="1" applyNumberFormat="1" applyFont="1" applyFill="1" applyBorder="1" applyAlignment="1">
      <alignment horizontal="left" vertical="center"/>
    </xf>
    <xf numFmtId="10" fontId="3" fillId="0" borderId="39" xfId="24" applyNumberFormat="1" applyFont="1" applyBorder="1" applyAlignment="1">
      <alignment vertical="center"/>
    </xf>
    <xf numFmtId="0" fontId="43" fillId="7" borderId="39" xfId="23" applyFont="1" applyFill="1" applyBorder="1" applyAlignment="1">
      <alignment horizontal="left" vertical="center"/>
    </xf>
    <xf numFmtId="0" fontId="45" fillId="7" borderId="32" xfId="23" applyFont="1" applyFill="1" applyBorder="1" applyAlignment="1">
      <alignment horizontal="center" vertical="center"/>
    </xf>
    <xf numFmtId="0" fontId="43" fillId="0" borderId="39" xfId="23" applyFont="1" applyBorder="1" applyAlignment="1">
      <alignment horizontal="left" vertical="center"/>
    </xf>
    <xf numFmtId="0" fontId="43" fillId="0" borderId="38" xfId="23" applyFont="1" applyBorder="1" applyAlignment="1">
      <alignment horizontal="center" vertical="center"/>
    </xf>
    <xf numFmtId="0" fontId="43" fillId="0" borderId="39" xfId="23" applyFont="1" applyBorder="1" applyAlignment="1">
      <alignment horizontal="center" vertical="center"/>
    </xf>
    <xf numFmtId="0" fontId="46" fillId="0" borderId="39" xfId="23" applyFont="1" applyBorder="1" applyAlignment="1">
      <alignment vertical="center"/>
    </xf>
    <xf numFmtId="0" fontId="41" fillId="0" borderId="38" xfId="23" applyFont="1" applyBorder="1" applyAlignment="1">
      <alignment vertical="center"/>
    </xf>
    <xf numFmtId="0" fontId="41" fillId="0" borderId="39" xfId="23" applyFont="1" applyBorder="1" applyAlignment="1">
      <alignment vertical="center"/>
    </xf>
    <xf numFmtId="43" fontId="0" fillId="0" borderId="0" xfId="0" applyNumberFormat="1">
      <alignment vertical="center"/>
    </xf>
    <xf numFmtId="0" fontId="40" fillId="7" borderId="32" xfId="23" applyFont="1" applyFill="1" applyBorder="1" applyAlignment="1">
      <alignment horizontal="center" vertical="center"/>
    </xf>
    <xf numFmtId="0" fontId="43" fillId="7" borderId="38" xfId="23" quotePrefix="1" applyFont="1" applyFill="1" applyBorder="1" applyAlignment="1">
      <alignment horizontal="left" vertical="center"/>
    </xf>
    <xf numFmtId="0" fontId="46" fillId="7" borderId="39" xfId="23" applyFont="1" applyFill="1" applyBorder="1" applyAlignment="1">
      <alignment vertical="center"/>
    </xf>
    <xf numFmtId="10" fontId="43" fillId="7" borderId="38" xfId="23" applyNumberFormat="1" applyFont="1" applyFill="1" applyBorder="1" applyAlignment="1">
      <alignment horizontal="left" vertical="center"/>
    </xf>
    <xf numFmtId="0" fontId="3" fillId="0" borderId="35" xfId="24" applyFont="1" applyBorder="1" applyAlignment="1">
      <alignment horizontal="centerContinuous" vertical="center"/>
    </xf>
    <xf numFmtId="176" fontId="0" fillId="0" borderId="0" xfId="4" applyNumberFormat="1" applyFont="1">
      <alignment vertical="center"/>
    </xf>
    <xf numFmtId="10" fontId="43" fillId="0" borderId="38" xfId="23" quotePrefix="1" applyNumberFormat="1" applyFont="1" applyBorder="1" applyAlignment="1">
      <alignment horizontal="left" vertical="center"/>
    </xf>
    <xf numFmtId="0" fontId="41" fillId="0" borderId="38" xfId="23" applyFont="1" applyBorder="1" applyAlignment="1">
      <alignment horizontal="center" vertical="center"/>
    </xf>
    <xf numFmtId="0" fontId="41" fillId="0" borderId="39" xfId="23" applyFont="1" applyBorder="1" applyAlignment="1">
      <alignment horizontal="center" vertical="center"/>
    </xf>
    <xf numFmtId="177" fontId="3" fillId="0" borderId="36" xfId="1" applyNumberFormat="1" applyFont="1" applyFill="1" applyBorder="1" applyAlignment="1">
      <alignment vertical="center"/>
    </xf>
    <xf numFmtId="0" fontId="3" fillId="0" borderId="39" xfId="24" applyFont="1" applyBorder="1" applyAlignment="1">
      <alignment horizontal="center" vertical="center"/>
    </xf>
    <xf numFmtId="0" fontId="47" fillId="0" borderId="35" xfId="24" applyFont="1" applyBorder="1" applyAlignment="1">
      <alignment horizontal="centerContinuous" vertical="center"/>
    </xf>
    <xf numFmtId="42" fontId="47" fillId="0" borderId="36" xfId="1" applyNumberFormat="1" applyFont="1" applyFill="1" applyBorder="1" applyAlignment="1">
      <alignment vertical="center"/>
    </xf>
    <xf numFmtId="0" fontId="46" fillId="7" borderId="38" xfId="23" applyFont="1" applyFill="1" applyBorder="1" applyAlignment="1">
      <alignment vertical="center"/>
    </xf>
    <xf numFmtId="0" fontId="40" fillId="7" borderId="40" xfId="23" applyFont="1" applyFill="1" applyBorder="1" applyAlignment="1">
      <alignment horizontal="center" vertical="center"/>
    </xf>
    <xf numFmtId="0" fontId="9" fillId="0" borderId="41" xfId="24" applyFont="1" applyBorder="1" applyAlignment="1">
      <alignment horizontal="center" vertical="center"/>
    </xf>
    <xf numFmtId="0" fontId="47" fillId="0" borderId="41" xfId="24" applyFont="1" applyBorder="1" applyAlignment="1">
      <alignment horizontal="centerContinuous" vertical="center"/>
    </xf>
    <xf numFmtId="182" fontId="47" fillId="0" borderId="42" xfId="1" applyNumberFormat="1" applyFont="1" applyFill="1" applyBorder="1" applyAlignment="1">
      <alignment horizontal="center" vertical="center"/>
    </xf>
    <xf numFmtId="0" fontId="9" fillId="8" borderId="27" xfId="24" applyFont="1" applyFill="1" applyBorder="1" applyAlignment="1">
      <alignment horizontal="center" vertical="center"/>
    </xf>
    <xf numFmtId="0" fontId="9" fillId="8" borderId="30" xfId="24" applyFont="1" applyFill="1" applyBorder="1" applyAlignment="1">
      <alignment horizontal="center" vertical="center"/>
    </xf>
    <xf numFmtId="0" fontId="45" fillId="8" borderId="30" xfId="24" applyFont="1" applyFill="1" applyBorder="1" applyAlignment="1">
      <alignment horizontal="centerContinuous" vertical="center"/>
    </xf>
    <xf numFmtId="182" fontId="6" fillId="8" borderId="4" xfId="1" applyNumberFormat="1" applyFont="1" applyFill="1" applyBorder="1" applyAlignment="1">
      <alignment vertical="center"/>
    </xf>
    <xf numFmtId="0" fontId="0" fillId="0" borderId="5" xfId="0" applyBorder="1">
      <alignment vertical="center"/>
    </xf>
    <xf numFmtId="0" fontId="0" fillId="0" borderId="1" xfId="0" applyBorder="1">
      <alignment vertical="center"/>
    </xf>
    <xf numFmtId="0" fontId="0" fillId="0" borderId="3" xfId="0" applyBorder="1">
      <alignment vertical="center"/>
    </xf>
    <xf numFmtId="0" fontId="48" fillId="2" borderId="0" xfId="7" applyFont="1" applyFill="1">
      <alignment vertical="center"/>
    </xf>
    <xf numFmtId="0" fontId="48" fillId="2" borderId="0" xfId="7" applyFont="1" applyFill="1" applyAlignment="1">
      <alignment horizontal="center" vertical="center"/>
    </xf>
    <xf numFmtId="178" fontId="48" fillId="2" borderId="0" xfId="7" applyNumberFormat="1" applyFont="1" applyFill="1">
      <alignment vertical="center"/>
    </xf>
    <xf numFmtId="41" fontId="48" fillId="2" borderId="0" xfId="8" applyFont="1" applyFill="1">
      <alignment vertical="center"/>
    </xf>
    <xf numFmtId="0" fontId="14" fillId="0" borderId="0" xfId="7">
      <alignment vertical="center"/>
    </xf>
    <xf numFmtId="49" fontId="12" fillId="2" borderId="52" xfId="7" applyNumberFormat="1" applyFont="1" applyFill="1" applyBorder="1" applyAlignment="1">
      <alignment horizontal="right" vertical="center"/>
    </xf>
    <xf numFmtId="0" fontId="52" fillId="2" borderId="53" xfId="7" applyFont="1" applyFill="1" applyBorder="1">
      <alignment vertical="center"/>
    </xf>
    <xf numFmtId="0" fontId="51" fillId="0" borderId="54" xfId="9" applyFont="1" applyBorder="1" applyAlignment="1">
      <alignment horizontal="center" vertical="center" wrapText="1"/>
    </xf>
    <xf numFmtId="0" fontId="51" fillId="0" borderId="54" xfId="8" applyNumberFormat="1" applyFont="1" applyFill="1" applyBorder="1" applyAlignment="1">
      <alignment horizontal="center" vertical="center" wrapText="1"/>
    </xf>
    <xf numFmtId="0" fontId="51" fillId="0" borderId="54" xfId="9" applyFont="1" applyBorder="1" applyAlignment="1">
      <alignment horizontal="center" vertical="center"/>
    </xf>
    <xf numFmtId="41" fontId="51" fillId="0" borderId="54" xfId="8" applyFont="1" applyFill="1" applyBorder="1" applyAlignment="1">
      <alignment horizontal="center" vertical="center"/>
    </xf>
    <xf numFmtId="41" fontId="51" fillId="0" borderId="55" xfId="8" applyFont="1" applyFill="1" applyBorder="1" applyAlignment="1">
      <alignment horizontal="center" vertical="center"/>
    </xf>
    <xf numFmtId="49" fontId="11" fillId="0" borderId="56" xfId="7" applyNumberFormat="1" applyFont="1" applyBorder="1" applyAlignment="1">
      <alignment horizontal="right" vertical="center"/>
    </xf>
    <xf numFmtId="3" fontId="12" fillId="0" borderId="57" xfId="25" applyNumberFormat="1" applyFont="1" applyBorder="1" applyAlignment="1">
      <alignment vertical="center" wrapText="1"/>
    </xf>
    <xf numFmtId="0" fontId="11" fillId="0" borderId="53" xfId="7" applyFont="1" applyBorder="1" applyAlignment="1">
      <alignment vertical="center" wrapText="1"/>
    </xf>
    <xf numFmtId="0" fontId="53" fillId="0" borderId="53" xfId="10" applyNumberFormat="1" applyFont="1" applyFill="1" applyBorder="1" applyAlignment="1">
      <alignment horizontal="center" vertical="center"/>
    </xf>
    <xf numFmtId="3" fontId="53" fillId="0" borderId="53" xfId="25" applyNumberFormat="1" applyFont="1" applyBorder="1" applyAlignment="1">
      <alignment horizontal="center" vertical="center"/>
    </xf>
    <xf numFmtId="41" fontId="11" fillId="0" borderId="53" xfId="8" applyFont="1" applyFill="1" applyBorder="1" applyAlignment="1">
      <alignment horizontal="center" vertical="center"/>
    </xf>
    <xf numFmtId="41" fontId="11" fillId="0" borderId="53" xfId="8" applyFont="1" applyFill="1" applyBorder="1" applyAlignment="1">
      <alignment horizontal="left" vertical="center"/>
    </xf>
    <xf numFmtId="3" fontId="54" fillId="0" borderId="58" xfId="7" applyNumberFormat="1" applyFont="1" applyBorder="1" applyAlignment="1">
      <alignment horizontal="center" vertical="center" wrapText="1"/>
    </xf>
    <xf numFmtId="0" fontId="11" fillId="0" borderId="0" xfId="7" applyFont="1" applyAlignment="1"/>
    <xf numFmtId="0" fontId="11" fillId="10" borderId="53" xfId="7" applyFont="1" applyFill="1" applyBorder="1" applyAlignment="1">
      <alignment horizontal="center" vertical="center" wrapText="1"/>
    </xf>
    <xf numFmtId="41" fontId="12" fillId="10" borderId="53" xfId="8" applyFont="1" applyFill="1" applyBorder="1" applyAlignment="1">
      <alignment horizontal="left" vertical="center"/>
    </xf>
    <xf numFmtId="3" fontId="54" fillId="10" borderId="58" xfId="7" applyNumberFormat="1" applyFont="1" applyFill="1" applyBorder="1" applyAlignment="1">
      <alignment horizontal="right" vertical="center" wrapText="1"/>
    </xf>
    <xf numFmtId="3" fontId="12" fillId="0" borderId="57" xfId="25" applyNumberFormat="1" applyFont="1" applyBorder="1" applyAlignment="1">
      <alignment horizontal="left" vertical="center" wrapText="1"/>
    </xf>
    <xf numFmtId="3" fontId="11" fillId="0" borderId="53" xfId="25" applyNumberFormat="1" applyFont="1" applyBorder="1" applyAlignment="1">
      <alignment horizontal="left" vertical="center" wrapText="1"/>
    </xf>
    <xf numFmtId="3" fontId="54" fillId="0" borderId="58" xfId="7" applyNumberFormat="1" applyFont="1" applyBorder="1" applyAlignment="1">
      <alignment horizontal="right" vertical="center" wrapText="1"/>
    </xf>
    <xf numFmtId="41" fontId="11" fillId="0" borderId="0" xfId="11" applyFont="1" applyAlignment="1"/>
    <xf numFmtId="0" fontId="52" fillId="0" borderId="57" xfId="7" applyFont="1" applyBorder="1">
      <alignment vertical="center"/>
    </xf>
    <xf numFmtId="0" fontId="11" fillId="0" borderId="53" xfId="7" applyFont="1" applyBorder="1">
      <alignment vertical="center"/>
    </xf>
    <xf numFmtId="3" fontId="55" fillId="0" borderId="58" xfId="7" applyNumberFormat="1" applyFont="1" applyBorder="1" applyAlignment="1">
      <alignment horizontal="right" vertical="center" wrapText="1"/>
    </xf>
    <xf numFmtId="41" fontId="11" fillId="0" borderId="0" xfId="7" applyNumberFormat="1" applyFont="1" applyAlignment="1"/>
    <xf numFmtId="0" fontId="11" fillId="2" borderId="53" xfId="7" applyFont="1" applyFill="1" applyBorder="1">
      <alignment vertical="center"/>
    </xf>
    <xf numFmtId="183" fontId="11" fillId="2" borderId="53" xfId="8" applyNumberFormat="1" applyFont="1" applyFill="1" applyBorder="1" applyAlignment="1">
      <alignment horizontal="center" vertical="center"/>
    </xf>
    <xf numFmtId="184" fontId="11" fillId="2" borderId="53" xfId="8" applyNumberFormat="1" applyFont="1" applyFill="1" applyBorder="1" applyAlignment="1">
      <alignment horizontal="center" vertical="center"/>
    </xf>
    <xf numFmtId="184" fontId="12" fillId="2" borderId="53" xfId="8" applyNumberFormat="1" applyFont="1" applyFill="1" applyBorder="1" applyAlignment="1">
      <alignment horizontal="center" vertical="center"/>
    </xf>
    <xf numFmtId="3" fontId="54" fillId="2" borderId="58" xfId="7" applyNumberFormat="1" applyFont="1" applyFill="1" applyBorder="1" applyAlignment="1">
      <alignment horizontal="right" vertical="center" wrapText="1"/>
    </xf>
    <xf numFmtId="49" fontId="11" fillId="2" borderId="52" xfId="7" applyNumberFormat="1" applyFont="1" applyFill="1" applyBorder="1" applyAlignment="1">
      <alignment horizontal="right" vertical="center"/>
    </xf>
    <xf numFmtId="0" fontId="54" fillId="2" borderId="53" xfId="7" applyFont="1" applyFill="1" applyBorder="1">
      <alignment vertical="center"/>
    </xf>
    <xf numFmtId="0" fontId="11" fillId="2" borderId="53" xfId="12" applyFont="1" applyFill="1" applyBorder="1" applyAlignment="1">
      <alignment vertical="center"/>
    </xf>
    <xf numFmtId="38" fontId="56" fillId="2" borderId="53" xfId="12" applyNumberFormat="1" applyFont="1" applyFill="1" applyBorder="1" applyAlignment="1">
      <alignment vertical="center"/>
    </xf>
    <xf numFmtId="0" fontId="53" fillId="2" borderId="53" xfId="10" applyNumberFormat="1" applyFont="1" applyFill="1" applyBorder="1" applyAlignment="1">
      <alignment horizontal="center" vertical="center"/>
    </xf>
    <xf numFmtId="3" fontId="53" fillId="2" borderId="53" xfId="25" applyNumberFormat="1" applyFont="1" applyFill="1" applyBorder="1" applyAlignment="1">
      <alignment horizontal="center" vertical="center"/>
    </xf>
    <xf numFmtId="41" fontId="11" fillId="2" borderId="53" xfId="8" applyFont="1" applyFill="1" applyBorder="1" applyAlignment="1">
      <alignment horizontal="left" vertical="center"/>
    </xf>
    <xf numFmtId="41" fontId="11" fillId="2" borderId="58" xfId="8" applyFont="1" applyFill="1" applyBorder="1" applyAlignment="1"/>
    <xf numFmtId="0" fontId="11" fillId="2" borderId="53" xfId="12" applyFont="1" applyFill="1" applyBorder="1" applyAlignment="1">
      <alignment horizontal="left" vertical="center"/>
    </xf>
    <xf numFmtId="2" fontId="53" fillId="2" borderId="53" xfId="10" applyNumberFormat="1" applyFont="1" applyFill="1" applyBorder="1" applyAlignment="1">
      <alignment horizontal="center" vertical="center"/>
    </xf>
    <xf numFmtId="41" fontId="11" fillId="2" borderId="58" xfId="8" applyFont="1" applyFill="1" applyBorder="1" applyAlignment="1">
      <alignment horizontal="center"/>
    </xf>
    <xf numFmtId="49" fontId="11" fillId="0" borderId="52" xfId="7" applyNumberFormat="1" applyFont="1" applyBorder="1" applyAlignment="1">
      <alignment horizontal="right" vertical="center"/>
    </xf>
    <xf numFmtId="0" fontId="11" fillId="0" borderId="53" xfId="12" applyFont="1" applyBorder="1" applyAlignment="1">
      <alignment horizontal="left" vertical="center"/>
    </xf>
    <xf numFmtId="38" fontId="56" fillId="0" borderId="53" xfId="12" applyNumberFormat="1" applyFont="1" applyBorder="1" applyAlignment="1">
      <alignment vertical="center" wrapText="1"/>
    </xf>
    <xf numFmtId="185" fontId="11" fillId="0" borderId="58" xfId="8" applyNumberFormat="1" applyFont="1" applyFill="1" applyBorder="1" applyAlignment="1">
      <alignment horizontal="center" vertical="center"/>
    </xf>
    <xf numFmtId="186" fontId="11" fillId="0" borderId="0" xfId="7" applyNumberFormat="1" applyFont="1" applyAlignment="1"/>
    <xf numFmtId="9" fontId="11" fillId="0" borderId="0" xfId="14" applyFont="1" applyAlignment="1"/>
    <xf numFmtId="186" fontId="11" fillId="2" borderId="53" xfId="8" applyNumberFormat="1" applyFont="1" applyFill="1" applyBorder="1" applyAlignment="1">
      <alignment horizontal="left" vertical="center"/>
    </xf>
    <xf numFmtId="187" fontId="53" fillId="0" borderId="53" xfId="10" applyNumberFormat="1" applyFont="1" applyFill="1" applyBorder="1" applyAlignment="1">
      <alignment horizontal="center" vertical="center"/>
    </xf>
    <xf numFmtId="0" fontId="11" fillId="0" borderId="0" xfId="7" applyFont="1" applyAlignment="1">
      <alignment horizontal="center" vertical="center"/>
    </xf>
    <xf numFmtId="0" fontId="53" fillId="2" borderId="53" xfId="10" quotePrefix="1" applyNumberFormat="1" applyFont="1" applyFill="1" applyBorder="1" applyAlignment="1">
      <alignment horizontal="center" vertical="center"/>
    </xf>
    <xf numFmtId="3" fontId="53" fillId="2" borderId="53" xfId="25" quotePrefix="1" applyNumberFormat="1" applyFont="1" applyFill="1" applyBorder="1" applyAlignment="1">
      <alignment horizontal="center" vertical="center"/>
    </xf>
    <xf numFmtId="0" fontId="57" fillId="10" borderId="53" xfId="10" applyNumberFormat="1" applyFont="1" applyFill="1" applyBorder="1" applyAlignment="1">
      <alignment horizontal="center" vertical="center"/>
    </xf>
    <xf numFmtId="3" fontId="57" fillId="10" borderId="53" xfId="25" applyNumberFormat="1" applyFont="1" applyFill="1" applyBorder="1" applyAlignment="1">
      <alignment horizontal="center" vertical="center"/>
    </xf>
    <xf numFmtId="184" fontId="12" fillId="10" borderId="53" xfId="8" applyNumberFormat="1" applyFont="1" applyFill="1" applyBorder="1" applyAlignment="1">
      <alignment horizontal="center" vertical="center"/>
    </xf>
    <xf numFmtId="41" fontId="12" fillId="10" borderId="58" xfId="8" applyFont="1" applyFill="1" applyBorder="1" applyAlignment="1">
      <alignment horizontal="center" vertical="center"/>
    </xf>
    <xf numFmtId="0" fontId="53" fillId="10" borderId="53" xfId="10" applyNumberFormat="1" applyFont="1" applyFill="1" applyBorder="1" applyAlignment="1">
      <alignment horizontal="center" vertical="center"/>
    </xf>
    <xf numFmtId="3" fontId="53" fillId="10" borderId="53" xfId="25" applyNumberFormat="1" applyFont="1" applyFill="1" applyBorder="1" applyAlignment="1">
      <alignment horizontal="center" vertical="center"/>
    </xf>
    <xf numFmtId="184" fontId="11" fillId="10" borderId="53" xfId="8" applyNumberFormat="1" applyFont="1" applyFill="1" applyBorder="1" applyAlignment="1">
      <alignment horizontal="center" vertical="center"/>
    </xf>
    <xf numFmtId="41" fontId="12" fillId="10" borderId="53" xfId="11" applyFont="1" applyFill="1" applyBorder="1" applyAlignment="1">
      <alignment horizontal="left" vertical="center"/>
    </xf>
    <xf numFmtId="41" fontId="11" fillId="10" borderId="58" xfId="8" applyFont="1" applyFill="1" applyBorder="1" applyAlignment="1">
      <alignment horizontal="center"/>
    </xf>
    <xf numFmtId="49" fontId="12" fillId="2" borderId="53" xfId="7" applyNumberFormat="1" applyFont="1" applyFill="1" applyBorder="1" applyAlignment="1">
      <alignment horizontal="left" vertical="center"/>
    </xf>
    <xf numFmtId="0" fontId="12" fillId="2" borderId="58" xfId="7" applyFont="1" applyFill="1" applyBorder="1" applyAlignment="1"/>
    <xf numFmtId="0" fontId="12" fillId="0" borderId="0" xfId="7" applyFont="1" applyAlignment="1"/>
    <xf numFmtId="176" fontId="12" fillId="0" borderId="0" xfId="7" applyNumberFormat="1" applyFont="1" applyAlignment="1"/>
    <xf numFmtId="49" fontId="12" fillId="0" borderId="53" xfId="7" applyNumberFormat="1" applyFont="1" applyBorder="1" applyAlignment="1">
      <alignment horizontal="left" vertical="center"/>
    </xf>
    <xf numFmtId="38" fontId="56" fillId="0" borderId="53" xfId="12" applyNumberFormat="1" applyFont="1" applyBorder="1" applyAlignment="1">
      <alignment vertical="center"/>
    </xf>
    <xf numFmtId="184" fontId="12" fillId="0" borderId="53" xfId="8" applyNumberFormat="1" applyFont="1" applyFill="1" applyBorder="1" applyAlignment="1">
      <alignment horizontal="center" vertical="center"/>
    </xf>
    <xf numFmtId="0" fontId="12" fillId="0" borderId="58" xfId="7" applyFont="1" applyBorder="1" applyAlignment="1">
      <alignment horizontal="center" vertical="center" wrapText="1"/>
    </xf>
    <xf numFmtId="41" fontId="12" fillId="0" borderId="0" xfId="7" applyNumberFormat="1" applyFont="1" applyAlignment="1"/>
    <xf numFmtId="49" fontId="12" fillId="0" borderId="52" xfId="7" applyNumberFormat="1" applyFont="1" applyBorder="1" applyAlignment="1">
      <alignment horizontal="right" vertical="center"/>
    </xf>
    <xf numFmtId="38" fontId="58" fillId="0" borderId="53" xfId="12" applyNumberFormat="1" applyFont="1" applyBorder="1" applyAlignment="1">
      <alignment vertical="center"/>
    </xf>
    <xf numFmtId="179" fontId="12" fillId="3" borderId="66" xfId="9" applyNumberFormat="1" applyFont="1" applyFill="1" applyBorder="1" applyAlignment="1">
      <alignment horizontal="center" vertical="center"/>
    </xf>
    <xf numFmtId="41" fontId="12" fillId="3" borderId="26" xfId="9" applyNumberFormat="1" applyFont="1" applyFill="1" applyBorder="1" applyAlignment="1">
      <alignment horizontal="left" vertical="center"/>
    </xf>
    <xf numFmtId="41" fontId="12" fillId="3" borderId="66" xfId="8" applyFont="1" applyFill="1" applyBorder="1" applyAlignment="1">
      <alignment horizontal="center" vertical="center"/>
    </xf>
    <xf numFmtId="41" fontId="12" fillId="3" borderId="66" xfId="8" applyFont="1" applyFill="1" applyBorder="1" applyAlignment="1">
      <alignment vertical="center"/>
    </xf>
    <xf numFmtId="41" fontId="12" fillId="3" borderId="67" xfId="8" applyFont="1" applyFill="1" applyBorder="1" applyAlignment="1">
      <alignment horizontal="center" vertical="center"/>
    </xf>
    <xf numFmtId="184" fontId="14" fillId="0" borderId="0" xfId="7" applyNumberFormat="1">
      <alignment vertical="center"/>
    </xf>
    <xf numFmtId="188" fontId="14" fillId="0" borderId="0" xfId="7" applyNumberFormat="1">
      <alignment vertical="center"/>
    </xf>
    <xf numFmtId="0" fontId="59" fillId="2" borderId="68" xfId="9" applyFont="1" applyFill="1" applyBorder="1" applyAlignment="1">
      <alignment horizontal="center" vertical="center"/>
    </xf>
    <xf numFmtId="0" fontId="59" fillId="2" borderId="68" xfId="9" applyFont="1" applyFill="1" applyBorder="1" applyAlignment="1">
      <alignment horizontal="left" vertical="center"/>
    </xf>
    <xf numFmtId="0" fontId="59" fillId="2" borderId="68" xfId="8" applyNumberFormat="1" applyFont="1" applyFill="1" applyBorder="1" applyAlignment="1">
      <alignment horizontal="right" vertical="center"/>
    </xf>
    <xf numFmtId="41" fontId="59" fillId="2" borderId="68" xfId="8" applyFont="1" applyFill="1" applyBorder="1">
      <alignment vertical="center"/>
    </xf>
    <xf numFmtId="41" fontId="59" fillId="2" borderId="68" xfId="8" applyFont="1" applyFill="1" applyBorder="1" applyAlignment="1">
      <alignment horizontal="center" vertical="center"/>
    </xf>
    <xf numFmtId="41" fontId="14" fillId="0" borderId="0" xfId="11" applyFont="1">
      <alignment vertical="center"/>
    </xf>
    <xf numFmtId="41" fontId="0" fillId="0" borderId="0" xfId="8" applyFont="1">
      <alignment vertical="center"/>
    </xf>
    <xf numFmtId="0" fontId="44" fillId="0" borderId="0" xfId="7" applyFont="1">
      <alignment vertical="center"/>
    </xf>
    <xf numFmtId="10" fontId="14" fillId="0" borderId="0" xfId="14" applyNumberFormat="1" applyFont="1">
      <alignment vertical="center"/>
    </xf>
    <xf numFmtId="0" fontId="21" fillId="0" borderId="0" xfId="7" applyFont="1">
      <alignment vertical="center"/>
    </xf>
    <xf numFmtId="186" fontId="14" fillId="0" borderId="0" xfId="7" applyNumberFormat="1">
      <alignment vertical="center"/>
    </xf>
    <xf numFmtId="0" fontId="14" fillId="0" borderId="0" xfId="7" applyAlignment="1">
      <alignment horizontal="right" vertical="center"/>
    </xf>
    <xf numFmtId="0" fontId="56" fillId="0" borderId="0" xfId="2" applyFont="1" applyAlignment="1">
      <alignment vertical="center"/>
    </xf>
    <xf numFmtId="0" fontId="56" fillId="0" borderId="0" xfId="2" applyFont="1" applyAlignment="1">
      <alignment horizontal="center" vertical="center"/>
    </xf>
    <xf numFmtId="183" fontId="56" fillId="0" borderId="0" xfId="2" applyNumberFormat="1" applyFont="1" applyAlignment="1">
      <alignment horizontal="center" vertical="center"/>
    </xf>
    <xf numFmtId="41" fontId="56" fillId="0" borderId="0" xfId="4" applyFont="1" applyAlignment="1">
      <alignment vertical="center"/>
    </xf>
    <xf numFmtId="0" fontId="11" fillId="0" borderId="1" xfId="2" applyFont="1" applyBorder="1" applyAlignment="1">
      <alignment horizontal="left" vertical="center"/>
    </xf>
    <xf numFmtId="0" fontId="11" fillId="0" borderId="0" xfId="2" applyFont="1" applyAlignment="1">
      <alignment horizontal="left" vertical="center"/>
    </xf>
    <xf numFmtId="0" fontId="12" fillId="0" borderId="0" xfId="2" applyFont="1" applyAlignment="1">
      <alignment vertical="center"/>
    </xf>
    <xf numFmtId="41" fontId="12" fillId="0" borderId="0" xfId="4" applyFont="1" applyAlignment="1">
      <alignment vertical="center"/>
    </xf>
    <xf numFmtId="0" fontId="12" fillId="9" borderId="41" xfId="2" applyFont="1" applyFill="1" applyBorder="1" applyAlignment="1">
      <alignment horizontal="center" vertical="center"/>
    </xf>
    <xf numFmtId="10" fontId="65" fillId="0" borderId="69" xfId="2" applyNumberFormat="1" applyFont="1" applyBorder="1" applyAlignment="1">
      <alignment vertical="center"/>
    </xf>
    <xf numFmtId="0" fontId="56" fillId="0" borderId="70" xfId="2" applyFont="1" applyBorder="1" applyAlignment="1">
      <alignment horizontal="center" vertical="center" shrinkToFit="1"/>
    </xf>
    <xf numFmtId="0" fontId="56" fillId="0" borderId="70" xfId="2" applyFont="1" applyBorder="1" applyAlignment="1">
      <alignment horizontal="center" vertical="center"/>
    </xf>
    <xf numFmtId="41" fontId="56" fillId="0" borderId="70" xfId="3" applyFont="1" applyBorder="1" applyAlignment="1">
      <alignment horizontal="center" vertical="center"/>
    </xf>
    <xf numFmtId="41" fontId="56" fillId="2" borderId="70" xfId="4" applyFont="1" applyFill="1" applyBorder="1" applyAlignment="1">
      <alignment horizontal="center" vertical="center"/>
    </xf>
    <xf numFmtId="41" fontId="56" fillId="11" borderId="70" xfId="4" applyFont="1" applyFill="1" applyBorder="1" applyAlignment="1">
      <alignment horizontal="center" vertical="center"/>
    </xf>
    <xf numFmtId="41" fontId="56" fillId="0" borderId="70" xfId="4" applyFont="1" applyBorder="1" applyAlignment="1">
      <alignment horizontal="center" vertical="center"/>
    </xf>
    <xf numFmtId="41" fontId="65" fillId="11" borderId="70" xfId="4" applyFont="1" applyFill="1" applyBorder="1" applyAlignment="1">
      <alignment horizontal="right" vertical="center"/>
    </xf>
    <xf numFmtId="41" fontId="56" fillId="0" borderId="71" xfId="4" applyFont="1" applyBorder="1" applyAlignment="1">
      <alignment horizontal="center" vertical="center"/>
    </xf>
    <xf numFmtId="0" fontId="65" fillId="0" borderId="32" xfId="2" applyFont="1" applyBorder="1" applyAlignment="1">
      <alignment vertical="center"/>
    </xf>
    <xf numFmtId="0" fontId="56" fillId="0" borderId="35" xfId="2" applyFont="1" applyBorder="1" applyAlignment="1">
      <alignment vertical="center" shrinkToFit="1"/>
    </xf>
    <xf numFmtId="0" fontId="56" fillId="0" borderId="35" xfId="2" applyFont="1" applyBorder="1" applyAlignment="1">
      <alignment horizontal="center" vertical="center"/>
    </xf>
    <xf numFmtId="41" fontId="56" fillId="0" borderId="35" xfId="3" applyFont="1" applyBorder="1" applyAlignment="1">
      <alignment horizontal="center" vertical="center"/>
    </xf>
    <xf numFmtId="41" fontId="56" fillId="2" borderId="35" xfId="4" applyFont="1" applyFill="1" applyBorder="1" applyAlignment="1">
      <alignment horizontal="center" vertical="center"/>
    </xf>
    <xf numFmtId="41" fontId="19" fillId="0" borderId="35" xfId="4" applyFont="1" applyBorder="1" applyAlignment="1">
      <alignment horizontal="center" vertical="center"/>
    </xf>
    <xf numFmtId="41" fontId="56" fillId="0" borderId="35" xfId="4" applyFont="1" applyBorder="1" applyAlignment="1">
      <alignment horizontal="center" vertical="center"/>
    </xf>
    <xf numFmtId="41" fontId="56" fillId="0" borderId="73" xfId="4" applyFont="1" applyBorder="1" applyAlignment="1">
      <alignment horizontal="center" vertical="center"/>
    </xf>
    <xf numFmtId="0" fontId="65" fillId="0" borderId="0" xfId="2" applyFont="1" applyAlignment="1">
      <alignment vertical="center"/>
    </xf>
    <xf numFmtId="188" fontId="56" fillId="0" borderId="0" xfId="2" applyNumberFormat="1" applyFont="1" applyAlignment="1">
      <alignment vertical="center"/>
    </xf>
    <xf numFmtId="42" fontId="56" fillId="0" borderId="0" xfId="2" applyNumberFormat="1" applyFont="1" applyAlignment="1">
      <alignment vertical="center"/>
    </xf>
    <xf numFmtId="0" fontId="56" fillId="12" borderId="35" xfId="2" applyFont="1" applyFill="1" applyBorder="1" applyAlignment="1">
      <alignment horizontal="center" vertical="center"/>
    </xf>
    <xf numFmtId="41" fontId="65" fillId="12" borderId="35" xfId="4" applyFont="1" applyFill="1" applyBorder="1" applyAlignment="1">
      <alignment horizontal="center" vertical="center"/>
    </xf>
    <xf numFmtId="41" fontId="65" fillId="12" borderId="73" xfId="4" applyFont="1" applyFill="1" applyBorder="1" applyAlignment="1">
      <alignment horizontal="center" vertical="center"/>
    </xf>
    <xf numFmtId="41" fontId="65" fillId="0" borderId="0" xfId="4" applyFont="1" applyAlignment="1">
      <alignment vertical="center"/>
    </xf>
    <xf numFmtId="0" fontId="56" fillId="0" borderId="35" xfId="2" applyFont="1" applyBorder="1" applyAlignment="1">
      <alignment horizontal="left" vertical="center"/>
    </xf>
    <xf numFmtId="0" fontId="56" fillId="2" borderId="35" xfId="2" applyFont="1" applyFill="1" applyBorder="1" applyAlignment="1">
      <alignment horizontal="center" vertical="center"/>
    </xf>
    <xf numFmtId="41" fontId="56" fillId="0" borderId="73" xfId="3" applyFont="1" applyBorder="1" applyAlignment="1">
      <alignment horizontal="center" vertical="center"/>
    </xf>
    <xf numFmtId="0" fontId="56" fillId="0" borderId="32" xfId="2" applyFont="1" applyBorder="1" applyAlignment="1">
      <alignment vertical="center"/>
    </xf>
    <xf numFmtId="41" fontId="56" fillId="0" borderId="35" xfId="4" applyFont="1" applyFill="1" applyBorder="1" applyAlignment="1">
      <alignment horizontal="center" vertical="center"/>
    </xf>
    <xf numFmtId="186" fontId="19" fillId="0" borderId="35" xfId="4" applyNumberFormat="1" applyFont="1" applyBorder="1" applyAlignment="1">
      <alignment horizontal="center" vertical="center"/>
    </xf>
    <xf numFmtId="41" fontId="56" fillId="0" borderId="73" xfId="4" applyFont="1" applyFill="1" applyBorder="1" applyAlignment="1">
      <alignment horizontal="center" vertical="center"/>
    </xf>
    <xf numFmtId="41" fontId="56" fillId="0" borderId="0" xfId="4" applyFont="1" applyFill="1" applyAlignment="1">
      <alignment vertical="center"/>
    </xf>
    <xf numFmtId="189" fontId="56" fillId="0" borderId="0" xfId="2" applyNumberFormat="1" applyFont="1" applyAlignment="1">
      <alignment vertical="center"/>
    </xf>
    <xf numFmtId="0" fontId="56" fillId="2" borderId="35" xfId="2" applyFont="1" applyFill="1" applyBorder="1" applyAlignment="1">
      <alignment vertical="center" shrinkToFit="1"/>
    </xf>
    <xf numFmtId="41" fontId="56" fillId="2" borderId="73" xfId="4" applyFont="1" applyFill="1" applyBorder="1" applyAlignment="1">
      <alignment horizontal="center" vertical="center"/>
    </xf>
    <xf numFmtId="0" fontId="56" fillId="0" borderId="35" xfId="2" applyFont="1" applyBorder="1" applyAlignment="1">
      <alignment horizontal="left" vertical="center" shrinkToFit="1"/>
    </xf>
    <xf numFmtId="49" fontId="56" fillId="0" borderId="35" xfId="2" applyNumberFormat="1" applyFont="1" applyBorder="1" applyAlignment="1">
      <alignment horizontal="left" vertical="center" shrinkToFit="1"/>
    </xf>
    <xf numFmtId="0" fontId="56" fillId="13" borderId="32" xfId="2" applyFont="1" applyFill="1" applyBorder="1" applyAlignment="1">
      <alignment horizontal="center" vertical="center"/>
    </xf>
    <xf numFmtId="49" fontId="56" fillId="13" borderId="35" xfId="2" applyNumberFormat="1" applyFont="1" applyFill="1" applyBorder="1" applyAlignment="1">
      <alignment horizontal="left" vertical="center" shrinkToFit="1"/>
    </xf>
    <xf numFmtId="0" fontId="56" fillId="13" borderId="35" xfId="2" applyFont="1" applyFill="1" applyBorder="1" applyAlignment="1">
      <alignment horizontal="center" vertical="center"/>
    </xf>
    <xf numFmtId="41" fontId="56" fillId="13" borderId="35" xfId="4" applyFont="1" applyFill="1" applyBorder="1" applyAlignment="1">
      <alignment horizontal="center" vertical="center"/>
    </xf>
    <xf numFmtId="41" fontId="19" fillId="13" borderId="35" xfId="4" applyFont="1" applyFill="1" applyBorder="1" applyAlignment="1">
      <alignment horizontal="center" vertical="center"/>
    </xf>
    <xf numFmtId="41" fontId="56" fillId="13" borderId="73" xfId="4" applyFont="1" applyFill="1" applyBorder="1" applyAlignment="1">
      <alignment horizontal="center" vertical="center"/>
    </xf>
    <xf numFmtId="0" fontId="56" fillId="10" borderId="75" xfId="2" applyFont="1" applyFill="1" applyBorder="1" applyAlignment="1">
      <alignment horizontal="center" vertical="center"/>
    </xf>
    <xf numFmtId="41" fontId="56" fillId="10" borderId="75" xfId="4" applyFont="1" applyFill="1" applyBorder="1" applyAlignment="1">
      <alignment horizontal="center" vertical="center"/>
    </xf>
    <xf numFmtId="41" fontId="56" fillId="10" borderId="76" xfId="4" applyFont="1" applyFill="1" applyBorder="1" applyAlignment="1">
      <alignment horizontal="center" vertical="center"/>
    </xf>
    <xf numFmtId="0" fontId="65" fillId="0" borderId="77" xfId="2" applyFont="1" applyBorder="1" applyAlignment="1">
      <alignment vertical="center"/>
    </xf>
    <xf numFmtId="0" fontId="56" fillId="0" borderId="78" xfId="2" applyFont="1" applyBorder="1" applyAlignment="1">
      <alignment vertical="center"/>
    </xf>
    <xf numFmtId="0" fontId="56" fillId="0" borderId="79" xfId="2" applyFont="1" applyBorder="1" applyAlignment="1">
      <alignment vertical="center"/>
    </xf>
    <xf numFmtId="0" fontId="19" fillId="0" borderId="35" xfId="2" applyFont="1" applyBorder="1" applyAlignment="1">
      <alignment horizontal="center" vertical="center"/>
    </xf>
    <xf numFmtId="41" fontId="19" fillId="0" borderId="35" xfId="3" applyFont="1" applyBorder="1" applyAlignment="1">
      <alignment horizontal="center" vertical="center"/>
    </xf>
    <xf numFmtId="41" fontId="19" fillId="0" borderId="73" xfId="3" applyFont="1" applyBorder="1" applyAlignment="1">
      <alignment horizontal="center" vertical="center"/>
    </xf>
    <xf numFmtId="41" fontId="12" fillId="0" borderId="0" xfId="3" applyFont="1" applyFill="1" applyBorder="1" applyAlignment="1">
      <alignment horizontal="center" vertical="center"/>
    </xf>
    <xf numFmtId="9" fontId="12" fillId="0" borderId="0" xfId="3" applyNumberFormat="1" applyFont="1" applyFill="1" applyBorder="1" applyAlignment="1">
      <alignment horizontal="center" vertical="center"/>
    </xf>
    <xf numFmtId="41" fontId="12" fillId="0" borderId="0" xfId="2" applyNumberFormat="1" applyFont="1" applyAlignment="1">
      <alignment vertical="center"/>
    </xf>
    <xf numFmtId="41" fontId="11" fillId="0" borderId="0" xfId="4" applyFont="1" applyBorder="1" applyAlignment="1">
      <alignment horizontal="center" vertical="center"/>
    </xf>
    <xf numFmtId="0" fontId="11" fillId="0" borderId="0" xfId="2" applyFont="1" applyAlignment="1">
      <alignment horizontal="center" vertical="center"/>
    </xf>
    <xf numFmtId="41" fontId="11" fillId="0" borderId="0" xfId="3" applyFont="1" applyFill="1" applyBorder="1" applyAlignment="1">
      <alignment horizontal="center" vertical="center"/>
    </xf>
    <xf numFmtId="0" fontId="56" fillId="10" borderId="35" xfId="2" applyFont="1" applyFill="1" applyBorder="1" applyAlignment="1">
      <alignment horizontal="center" vertical="center"/>
    </xf>
    <xf numFmtId="41" fontId="56" fillId="10" borderId="35" xfId="4" applyFont="1" applyFill="1" applyBorder="1" applyAlignment="1">
      <alignment horizontal="center" vertical="center"/>
    </xf>
    <xf numFmtId="41" fontId="56" fillId="10" borderId="73" xfId="4" applyFont="1" applyFill="1" applyBorder="1" applyAlignment="1">
      <alignment horizontal="center" vertical="center"/>
    </xf>
    <xf numFmtId="0" fontId="56" fillId="0" borderId="35" xfId="2" applyFont="1" applyBorder="1" applyAlignment="1">
      <alignment vertical="center"/>
    </xf>
    <xf numFmtId="0" fontId="56" fillId="0" borderId="73" xfId="2" applyFont="1" applyBorder="1" applyAlignment="1">
      <alignment vertical="center"/>
    </xf>
    <xf numFmtId="0" fontId="56" fillId="0" borderId="32" xfId="2" applyFont="1" applyBorder="1" applyAlignment="1">
      <alignment vertical="center" shrinkToFit="1"/>
    </xf>
    <xf numFmtId="0" fontId="56" fillId="0" borderId="35" xfId="2" quotePrefix="1" applyFont="1" applyBorder="1" applyAlignment="1">
      <alignment vertical="center" shrinkToFit="1"/>
    </xf>
    <xf numFmtId="186" fontId="56" fillId="11" borderId="35" xfId="3" applyNumberFormat="1" applyFont="1" applyFill="1" applyBorder="1" applyAlignment="1">
      <alignment horizontal="center" vertical="center"/>
    </xf>
    <xf numFmtId="41" fontId="12" fillId="0" borderId="0" xfId="3" applyFont="1" applyBorder="1" applyAlignment="1">
      <alignment horizontal="center" vertical="center"/>
    </xf>
    <xf numFmtId="41" fontId="12" fillId="0" borderId="0" xfId="4" applyFont="1" applyBorder="1" applyAlignment="1">
      <alignment vertical="center"/>
    </xf>
    <xf numFmtId="0" fontId="66" fillId="13" borderId="35" xfId="2" applyFont="1" applyFill="1" applyBorder="1" applyAlignment="1">
      <alignment horizontal="left" vertical="center" shrinkToFit="1"/>
    </xf>
    <xf numFmtId="0" fontId="19" fillId="13" borderId="35" xfId="2" applyFont="1" applyFill="1" applyBorder="1" applyAlignment="1">
      <alignment horizontal="center" vertical="center"/>
    </xf>
    <xf numFmtId="41" fontId="19" fillId="13" borderId="35" xfId="3" applyFont="1" applyFill="1" applyBorder="1" applyAlignment="1">
      <alignment horizontal="center" vertical="center"/>
    </xf>
    <xf numFmtId="186" fontId="19" fillId="13" borderId="35" xfId="3" applyNumberFormat="1" applyFont="1" applyFill="1" applyBorder="1" applyAlignment="1">
      <alignment horizontal="center" vertical="center"/>
    </xf>
    <xf numFmtId="186" fontId="19" fillId="13" borderId="35" xfId="4" applyNumberFormat="1" applyFont="1" applyFill="1" applyBorder="1" applyAlignment="1">
      <alignment horizontal="center" vertical="center"/>
    </xf>
    <xf numFmtId="41" fontId="19" fillId="13" borderId="73" xfId="3" applyFont="1" applyFill="1" applyBorder="1" applyAlignment="1">
      <alignment horizontal="center" vertical="center"/>
    </xf>
    <xf numFmtId="0" fontId="56" fillId="0" borderId="35" xfId="13" applyFont="1" applyBorder="1" applyAlignment="1">
      <alignment vertical="center"/>
    </xf>
    <xf numFmtId="186" fontId="19" fillId="11" borderId="35" xfId="3" applyNumberFormat="1" applyFont="1" applyFill="1" applyBorder="1" applyAlignment="1">
      <alignment horizontal="center" vertical="center"/>
    </xf>
    <xf numFmtId="0" fontId="66" fillId="0" borderId="35" xfId="2" applyFont="1" applyBorder="1" applyAlignment="1">
      <alignment horizontal="left" vertical="center" shrinkToFit="1"/>
    </xf>
    <xf numFmtId="0" fontId="56" fillId="0" borderId="35" xfId="0" applyFont="1" applyBorder="1" applyAlignment="1">
      <alignment vertical="center" shrinkToFit="1"/>
    </xf>
    <xf numFmtId="0" fontId="67" fillId="0" borderId="35" xfId="0" applyFont="1" applyBorder="1" applyAlignment="1">
      <alignment horizontal="justify" vertical="center"/>
    </xf>
    <xf numFmtId="0" fontId="56" fillId="13" borderId="74" xfId="2" applyFont="1" applyFill="1" applyBorder="1" applyAlignment="1">
      <alignment horizontal="center" vertical="center"/>
    </xf>
    <xf numFmtId="0" fontId="66" fillId="13" borderId="75" xfId="2" applyFont="1" applyFill="1" applyBorder="1" applyAlignment="1">
      <alignment horizontal="left" vertical="center" shrinkToFit="1"/>
    </xf>
    <xf numFmtId="0" fontId="19" fillId="13" borderId="75" xfId="2" applyFont="1" applyFill="1" applyBorder="1" applyAlignment="1">
      <alignment horizontal="center" vertical="center"/>
    </xf>
    <xf numFmtId="41" fontId="19" fillId="13" borderId="75" xfId="3" applyFont="1" applyFill="1" applyBorder="1" applyAlignment="1">
      <alignment horizontal="center" vertical="center"/>
    </xf>
    <xf numFmtId="186" fontId="19" fillId="13" borderId="75" xfId="3" applyNumberFormat="1" applyFont="1" applyFill="1" applyBorder="1" applyAlignment="1">
      <alignment horizontal="center" vertical="center"/>
    </xf>
    <xf numFmtId="41" fontId="19" fillId="13" borderId="75" xfId="4" applyFont="1" applyFill="1" applyBorder="1" applyAlignment="1">
      <alignment horizontal="center" vertical="center"/>
    </xf>
    <xf numFmtId="186" fontId="19" fillId="13" borderId="75" xfId="4" applyNumberFormat="1" applyFont="1" applyFill="1" applyBorder="1" applyAlignment="1">
      <alignment horizontal="center" vertical="center"/>
    </xf>
    <xf numFmtId="41" fontId="19" fillId="13" borderId="76" xfId="3" applyFont="1" applyFill="1" applyBorder="1" applyAlignment="1">
      <alignment horizontal="center" vertical="center"/>
    </xf>
    <xf numFmtId="0" fontId="56" fillId="0" borderId="77" xfId="2" applyFont="1" applyBorder="1" applyAlignment="1">
      <alignment vertical="center"/>
    </xf>
    <xf numFmtId="0" fontId="56" fillId="0" borderId="78" xfId="13" applyFont="1" applyBorder="1" applyAlignment="1">
      <alignment vertical="center"/>
    </xf>
    <xf numFmtId="0" fontId="19" fillId="0" borderId="78" xfId="2" applyFont="1" applyBorder="1" applyAlignment="1">
      <alignment horizontal="center" vertical="center"/>
    </xf>
    <xf numFmtId="41" fontId="19" fillId="0" borderId="78" xfId="3" applyFont="1" applyBorder="1" applyAlignment="1">
      <alignment horizontal="center" vertical="center"/>
    </xf>
    <xf numFmtId="186" fontId="19" fillId="11" borderId="78" xfId="3" applyNumberFormat="1" applyFont="1" applyFill="1" applyBorder="1" applyAlignment="1">
      <alignment horizontal="center" vertical="center"/>
    </xf>
    <xf numFmtId="41" fontId="19" fillId="0" borderId="78" xfId="4" applyFont="1" applyBorder="1" applyAlignment="1">
      <alignment horizontal="center" vertical="center"/>
    </xf>
    <xf numFmtId="186" fontId="19" fillId="0" borderId="78" xfId="4" applyNumberFormat="1" applyFont="1" applyBorder="1" applyAlignment="1">
      <alignment horizontal="center" vertical="center"/>
    </xf>
    <xf numFmtId="41" fontId="19" fillId="0" borderId="79" xfId="3" applyFont="1" applyBorder="1" applyAlignment="1">
      <alignment horizontal="center" vertical="center"/>
    </xf>
    <xf numFmtId="9" fontId="56" fillId="0" borderId="35" xfId="2" applyNumberFormat="1" applyFont="1" applyBorder="1" applyAlignment="1">
      <alignment horizontal="left" vertical="center" shrinkToFit="1"/>
    </xf>
    <xf numFmtId="0" fontId="56" fillId="0" borderId="35" xfId="0" applyFont="1" applyBorder="1" applyAlignment="1">
      <alignment horizontal="center" vertical="center"/>
    </xf>
    <xf numFmtId="41" fontId="56" fillId="2" borderId="73" xfId="4" applyFont="1" applyFill="1" applyBorder="1" applyAlignment="1">
      <alignment vertical="center"/>
    </xf>
    <xf numFmtId="41" fontId="12" fillId="13" borderId="0" xfId="3" applyFont="1" applyFill="1" applyBorder="1" applyAlignment="1">
      <alignment horizontal="center" vertical="center"/>
    </xf>
    <xf numFmtId="9" fontId="12" fillId="13" borderId="0" xfId="3" applyNumberFormat="1" applyFont="1" applyFill="1" applyBorder="1" applyAlignment="1">
      <alignment horizontal="center" vertical="center"/>
    </xf>
    <xf numFmtId="41" fontId="12" fillId="13" borderId="0" xfId="2" applyNumberFormat="1" applyFont="1" applyFill="1" applyAlignment="1">
      <alignment vertical="center"/>
    </xf>
    <xf numFmtId="41" fontId="11" fillId="13" borderId="0" xfId="4" applyFont="1" applyFill="1" applyBorder="1" applyAlignment="1">
      <alignment horizontal="center" vertical="center"/>
    </xf>
    <xf numFmtId="0" fontId="11" fillId="13" borderId="0" xfId="2" applyFont="1" applyFill="1" applyAlignment="1">
      <alignment horizontal="center" vertical="center"/>
    </xf>
    <xf numFmtId="41" fontId="11" fillId="13" borderId="0" xfId="3" applyFont="1" applyFill="1" applyBorder="1" applyAlignment="1">
      <alignment horizontal="center" vertical="center"/>
    </xf>
    <xf numFmtId="0" fontId="56" fillId="13" borderId="0" xfId="2" applyFont="1" applyFill="1" applyAlignment="1">
      <alignment vertical="center"/>
    </xf>
    <xf numFmtId="0" fontId="56" fillId="0" borderId="77" xfId="2" applyFont="1" applyBorder="1" applyAlignment="1">
      <alignment vertical="center" shrinkToFit="1"/>
    </xf>
    <xf numFmtId="0" fontId="56" fillId="0" borderId="78" xfId="0" applyFont="1" applyBorder="1" applyAlignment="1">
      <alignment vertical="center" shrinkToFit="1"/>
    </xf>
    <xf numFmtId="0" fontId="56" fillId="0" borderId="78" xfId="0" applyFont="1" applyBorder="1" applyAlignment="1">
      <alignment horizontal="center" vertical="center"/>
    </xf>
    <xf numFmtId="41" fontId="56" fillId="2" borderId="78" xfId="4" applyFont="1" applyFill="1" applyBorder="1" applyAlignment="1">
      <alignment horizontal="center" vertical="center"/>
    </xf>
    <xf numFmtId="0" fontId="56" fillId="13" borderId="75" xfId="2" applyFont="1" applyFill="1" applyBorder="1" applyAlignment="1">
      <alignment horizontal="center" vertical="center"/>
    </xf>
    <xf numFmtId="41" fontId="56" fillId="13" borderId="75" xfId="4" applyFont="1" applyFill="1" applyBorder="1" applyAlignment="1">
      <alignment horizontal="center" vertical="center"/>
    </xf>
    <xf numFmtId="41" fontId="56" fillId="13" borderId="76" xfId="4" applyFont="1" applyFill="1" applyBorder="1" applyAlignment="1">
      <alignment horizontal="center" vertical="center"/>
    </xf>
    <xf numFmtId="0" fontId="56" fillId="0" borderId="0" xfId="2" applyFont="1" applyAlignment="1">
      <alignment horizontal="left" vertical="center"/>
    </xf>
    <xf numFmtId="41" fontId="56" fillId="0" borderId="0" xfId="2" applyNumberFormat="1" applyFont="1" applyAlignment="1">
      <alignment horizontal="center" vertical="center"/>
    </xf>
    <xf numFmtId="41" fontId="56" fillId="0" borderId="0" xfId="4" applyFont="1" applyBorder="1" applyAlignment="1">
      <alignment vertical="center"/>
    </xf>
    <xf numFmtId="41" fontId="56" fillId="0" borderId="0" xfId="2" applyNumberFormat="1" applyFont="1" applyAlignment="1">
      <alignment vertical="center"/>
    </xf>
    <xf numFmtId="43" fontId="56" fillId="0" borderId="0" xfId="2" applyNumberFormat="1" applyFont="1" applyAlignment="1">
      <alignment horizontal="center" vertical="center"/>
    </xf>
    <xf numFmtId="179" fontId="9" fillId="0" borderId="0" xfId="16" applyNumberFormat="1" applyFont="1" applyAlignment="1">
      <alignment horizontal="center" vertical="center"/>
    </xf>
    <xf numFmtId="41" fontId="9" fillId="0" borderId="0" xfId="4" applyFont="1" applyAlignment="1">
      <alignment vertical="center"/>
    </xf>
    <xf numFmtId="0" fontId="9" fillId="0" borderId="12" xfId="16" applyFont="1" applyBorder="1" applyAlignment="1">
      <alignment horizontal="center" vertical="center"/>
    </xf>
    <xf numFmtId="41" fontId="9" fillId="0" borderId="12" xfId="4" applyFont="1" applyBorder="1" applyAlignment="1">
      <alignment horizontal="center" vertical="center"/>
    </xf>
    <xf numFmtId="41" fontId="68" fillId="0" borderId="12" xfId="4" applyFont="1" applyBorder="1" applyAlignment="1">
      <alignment horizontal="center" vertical="center"/>
    </xf>
    <xf numFmtId="41" fontId="32" fillId="0" borderId="53" xfId="8" applyFont="1" applyFill="1" applyBorder="1" applyAlignment="1">
      <alignment horizontal="left" vertical="center"/>
    </xf>
    <xf numFmtId="41" fontId="30" fillId="0" borderId="0" xfId="0" applyNumberFormat="1" applyFont="1">
      <alignment vertical="center"/>
    </xf>
    <xf numFmtId="41" fontId="45" fillId="0" borderId="7" xfId="19" applyFont="1" applyFill="1" applyBorder="1" applyAlignment="1">
      <alignment vertical="center"/>
    </xf>
    <xf numFmtId="0" fontId="30" fillId="0" borderId="0" xfId="4" applyNumberFormat="1" applyFont="1" applyAlignment="1">
      <alignment vertical="center" wrapText="1"/>
    </xf>
    <xf numFmtId="41" fontId="30" fillId="0" borderId="0" xfId="4" applyFont="1" applyAlignment="1">
      <alignment vertical="center" wrapText="1"/>
    </xf>
    <xf numFmtId="0" fontId="70" fillId="0" borderId="0" xfId="0" applyFont="1" applyAlignment="1">
      <alignment horizontal="left" vertical="center"/>
    </xf>
    <xf numFmtId="0" fontId="69" fillId="0" borderId="0" xfId="0" applyFont="1">
      <alignment vertical="center"/>
    </xf>
    <xf numFmtId="14" fontId="30" fillId="0" borderId="0" xfId="4" applyNumberFormat="1" applyFont="1">
      <alignment vertical="center"/>
    </xf>
    <xf numFmtId="14" fontId="30" fillId="0" borderId="0" xfId="4" applyNumberFormat="1" applyFont="1" applyAlignment="1">
      <alignment vertical="center" wrapText="1"/>
    </xf>
    <xf numFmtId="0" fontId="31" fillId="0" borderId="0" xfId="0" applyFont="1">
      <alignment vertical="center"/>
    </xf>
    <xf numFmtId="0" fontId="70" fillId="0" borderId="0" xfId="0" applyFont="1">
      <alignment vertical="center"/>
    </xf>
    <xf numFmtId="0" fontId="71" fillId="0" borderId="0" xfId="0" applyFont="1">
      <alignment vertical="center"/>
    </xf>
    <xf numFmtId="3" fontId="30" fillId="0" borderId="0" xfId="0" applyNumberFormat="1" applyFont="1">
      <alignment vertical="center"/>
    </xf>
    <xf numFmtId="41" fontId="69" fillId="0" borderId="0" xfId="4" applyFont="1" applyAlignment="1">
      <alignment vertical="center"/>
    </xf>
    <xf numFmtId="9" fontId="30" fillId="0" borderId="0" xfId="0" applyNumberFormat="1" applyFont="1">
      <alignment vertical="center"/>
    </xf>
    <xf numFmtId="41" fontId="69" fillId="0" borderId="0" xfId="4" applyFont="1">
      <alignment vertical="center"/>
    </xf>
    <xf numFmtId="0" fontId="23" fillId="0" borderId="0" xfId="16" applyFont="1" applyAlignment="1">
      <alignment horizontal="center" vertical="center"/>
    </xf>
    <xf numFmtId="14" fontId="9" fillId="0" borderId="0" xfId="18" applyNumberFormat="1" applyFont="1" applyFill="1" applyBorder="1" applyAlignment="1">
      <alignment horizontal="right" vertical="center"/>
    </xf>
    <xf numFmtId="0" fontId="9" fillId="3" borderId="6" xfId="16" applyFont="1" applyFill="1" applyBorder="1" applyAlignment="1">
      <alignment horizontal="center" vertical="center" wrapText="1"/>
    </xf>
    <xf numFmtId="0" fontId="9" fillId="3" borderId="13" xfId="16" applyFont="1" applyFill="1" applyBorder="1" applyAlignment="1">
      <alignment horizontal="center" vertical="center" wrapText="1"/>
    </xf>
    <xf numFmtId="0" fontId="9" fillId="3" borderId="5" xfId="16" applyFont="1" applyFill="1" applyBorder="1" applyAlignment="1">
      <alignment horizontal="center" vertical="center" wrapText="1"/>
    </xf>
    <xf numFmtId="0" fontId="9" fillId="3" borderId="7" xfId="16" applyFont="1" applyFill="1" applyBorder="1" applyAlignment="1">
      <alignment horizontal="center" vertical="center"/>
    </xf>
    <xf numFmtId="0" fontId="9" fillId="3" borderId="4" xfId="16" applyFont="1" applyFill="1" applyBorder="1" applyAlignment="1">
      <alignment vertical="center"/>
    </xf>
    <xf numFmtId="0" fontId="9" fillId="3" borderId="4" xfId="16" applyFont="1" applyFill="1" applyBorder="1" applyAlignment="1">
      <alignment horizontal="center" vertical="center"/>
    </xf>
    <xf numFmtId="0" fontId="9" fillId="3" borderId="8" xfId="16" applyFont="1" applyFill="1" applyBorder="1" applyAlignment="1">
      <alignment horizontal="center" vertical="center"/>
    </xf>
    <xf numFmtId="0" fontId="9" fillId="0" borderId="9" xfId="16" applyFont="1" applyBorder="1" applyAlignment="1">
      <alignment horizontal="left" vertical="center" wrapText="1"/>
    </xf>
    <xf numFmtId="0" fontId="9" fillId="0" borderId="10" xfId="16" applyFont="1" applyBorder="1"/>
    <xf numFmtId="0" fontId="9" fillId="0" borderId="11" xfId="16" applyFont="1" applyBorder="1"/>
    <xf numFmtId="0" fontId="9" fillId="0" borderId="16" xfId="16" applyFont="1" applyBorder="1"/>
    <xf numFmtId="0" fontId="9" fillId="0" borderId="17" xfId="16" applyFont="1" applyBorder="1"/>
    <xf numFmtId="0" fontId="9" fillId="0" borderId="18" xfId="16" applyFont="1" applyBorder="1"/>
    <xf numFmtId="0" fontId="9" fillId="0" borderId="21" xfId="16" applyFont="1" applyBorder="1"/>
    <xf numFmtId="0" fontId="9" fillId="0" borderId="22" xfId="16" applyFont="1" applyBorder="1"/>
    <xf numFmtId="0" fontId="9" fillId="0" borderId="23" xfId="16" applyFont="1" applyBorder="1"/>
    <xf numFmtId="0" fontId="9" fillId="0" borderId="6" xfId="16" applyFont="1" applyBorder="1" applyAlignment="1">
      <alignment vertical="center"/>
    </xf>
    <xf numFmtId="0" fontId="9" fillId="0" borderId="14" xfId="16" applyFont="1" applyBorder="1" applyAlignment="1">
      <alignment vertical="center"/>
    </xf>
    <xf numFmtId="0" fontId="9" fillId="0" borderId="13" xfId="16" applyFont="1" applyBorder="1" applyAlignment="1">
      <alignment vertical="center"/>
    </xf>
    <xf numFmtId="0" fontId="9" fillId="0" borderId="20" xfId="16" applyFont="1" applyBorder="1" applyAlignment="1">
      <alignment vertical="center"/>
    </xf>
    <xf numFmtId="0" fontId="9" fillId="0" borderId="5" xfId="16" applyFont="1" applyBorder="1" applyAlignment="1">
      <alignment vertical="center"/>
    </xf>
    <xf numFmtId="0" fontId="9" fillId="0" borderId="3" xfId="16" applyFont="1" applyBorder="1" applyAlignment="1">
      <alignment vertical="center"/>
    </xf>
    <xf numFmtId="0" fontId="9" fillId="0" borderId="19" xfId="16" applyFont="1" applyBorder="1" applyAlignment="1">
      <alignment horizontal="center" vertical="center"/>
    </xf>
    <xf numFmtId="0" fontId="9" fillId="0" borderId="2" xfId="16" applyFont="1" applyBorder="1" applyAlignment="1">
      <alignment horizontal="center" vertical="center"/>
    </xf>
    <xf numFmtId="0" fontId="20" fillId="0" borderId="6" xfId="16" applyFont="1" applyBorder="1" applyAlignment="1">
      <alignment vertical="center"/>
    </xf>
    <xf numFmtId="0" fontId="20" fillId="0" borderId="15" xfId="16" applyFont="1" applyBorder="1" applyAlignment="1">
      <alignment vertical="center"/>
    </xf>
    <xf numFmtId="0" fontId="20" fillId="0" borderId="14" xfId="16" applyFont="1" applyBorder="1" applyAlignment="1">
      <alignment vertical="center"/>
    </xf>
    <xf numFmtId="0" fontId="9" fillId="3" borderId="24" xfId="16" applyFont="1" applyFill="1" applyBorder="1" applyAlignment="1">
      <alignment horizontal="center" vertical="center"/>
    </xf>
    <xf numFmtId="0" fontId="9" fillId="3" borderId="2" xfId="16" applyFont="1" applyFill="1" applyBorder="1" applyAlignment="1">
      <alignment horizontal="center" vertical="center"/>
    </xf>
    <xf numFmtId="178" fontId="3" fillId="0" borderId="15" xfId="18" applyNumberFormat="1" applyFont="1" applyFill="1" applyBorder="1" applyAlignment="1">
      <alignment horizontal="center" vertical="center"/>
    </xf>
    <xf numFmtId="178" fontId="3" fillId="0" borderId="14" xfId="18" applyNumberFormat="1" applyFont="1" applyFill="1" applyBorder="1" applyAlignment="1">
      <alignment horizontal="center" vertical="center"/>
    </xf>
    <xf numFmtId="178" fontId="3" fillId="0" borderId="1" xfId="18" applyNumberFormat="1" applyFont="1" applyFill="1" applyBorder="1" applyAlignment="1">
      <alignment horizontal="center" vertical="center"/>
    </xf>
    <xf numFmtId="178" fontId="3" fillId="0" borderId="3" xfId="18" applyNumberFormat="1" applyFont="1" applyFill="1" applyBorder="1" applyAlignment="1">
      <alignment horizontal="center" vertical="center"/>
    </xf>
    <xf numFmtId="0" fontId="9" fillId="3" borderId="12" xfId="16" applyFont="1" applyFill="1" applyBorder="1" applyAlignment="1">
      <alignment horizontal="center" vertical="center"/>
    </xf>
    <xf numFmtId="178" fontId="3" fillId="0" borderId="15" xfId="18" applyNumberFormat="1" applyFont="1" applyBorder="1" applyAlignment="1">
      <alignment horizontal="center" vertical="center"/>
    </xf>
    <xf numFmtId="0" fontId="3" fillId="0" borderId="15" xfId="18" applyFont="1" applyBorder="1" applyAlignment="1">
      <alignment horizontal="center" vertical="center"/>
    </xf>
    <xf numFmtId="0" fontId="3" fillId="0" borderId="14" xfId="18" applyFont="1" applyBorder="1" applyAlignment="1">
      <alignment horizontal="center" vertical="center"/>
    </xf>
    <xf numFmtId="0" fontId="3" fillId="0" borderId="0" xfId="18" applyFont="1" applyBorder="1" applyAlignment="1">
      <alignment horizontal="center" vertical="center"/>
    </xf>
    <xf numFmtId="0" fontId="3" fillId="0" borderId="20" xfId="18" applyFont="1" applyBorder="1" applyAlignment="1">
      <alignment horizontal="center" vertical="center"/>
    </xf>
    <xf numFmtId="0" fontId="3" fillId="0" borderId="1" xfId="18" applyFont="1" applyBorder="1" applyAlignment="1">
      <alignment horizontal="center" vertical="center"/>
    </xf>
    <xf numFmtId="0" fontId="3" fillId="0" borderId="3" xfId="18" applyFont="1" applyBorder="1" applyAlignment="1">
      <alignment horizontal="center" vertical="center"/>
    </xf>
    <xf numFmtId="0" fontId="20" fillId="0" borderId="6" xfId="16" applyFont="1" applyBorder="1" applyAlignment="1">
      <alignment horizontal="center" vertical="center"/>
    </xf>
    <xf numFmtId="0" fontId="20" fillId="0" borderId="8" xfId="16" applyFont="1" applyBorder="1" applyAlignment="1">
      <alignment horizontal="center" vertical="center"/>
    </xf>
    <xf numFmtId="0" fontId="20" fillId="0" borderId="4" xfId="16" applyFont="1" applyBorder="1" applyAlignment="1">
      <alignment horizontal="center" vertical="center"/>
    </xf>
    <xf numFmtId="0" fontId="9" fillId="0" borderId="8" xfId="16" applyFont="1" applyBorder="1" applyAlignment="1">
      <alignment horizontal="left" vertical="center"/>
    </xf>
    <xf numFmtId="0" fontId="9" fillId="0" borderId="4" xfId="16" applyFont="1" applyBorder="1" applyAlignment="1">
      <alignment horizontal="left" vertical="center"/>
    </xf>
    <xf numFmtId="178" fontId="3" fillId="0" borderId="7" xfId="18" applyNumberFormat="1" applyFont="1" applyFill="1" applyBorder="1" applyAlignment="1">
      <alignment horizontal="center" vertical="center"/>
    </xf>
    <xf numFmtId="178" fontId="3" fillId="0" borderId="8" xfId="18" applyNumberFormat="1" applyFont="1" applyFill="1" applyBorder="1" applyAlignment="1">
      <alignment horizontal="center" vertical="center"/>
    </xf>
    <xf numFmtId="178" fontId="3" fillId="0" borderId="4" xfId="18" applyNumberFormat="1" applyFont="1" applyFill="1" applyBorder="1" applyAlignment="1">
      <alignment horizontal="center" vertical="center"/>
    </xf>
    <xf numFmtId="0" fontId="9" fillId="0" borderId="15" xfId="16" applyFont="1" applyBorder="1" applyAlignment="1">
      <alignment vertical="center"/>
    </xf>
    <xf numFmtId="0" fontId="9" fillId="0" borderId="0" xfId="16" applyFont="1" applyAlignment="1">
      <alignment vertical="center"/>
    </xf>
    <xf numFmtId="0" fontId="9" fillId="0" borderId="1" xfId="16" applyFont="1" applyBorder="1" applyAlignment="1">
      <alignment vertical="center"/>
    </xf>
    <xf numFmtId="0" fontId="9" fillId="3" borderId="5" xfId="16" applyFont="1" applyFill="1" applyBorder="1" applyAlignment="1">
      <alignment horizontal="center" vertical="center"/>
    </xf>
    <xf numFmtId="0" fontId="3" fillId="0" borderId="7" xfId="18" applyFont="1" applyFill="1" applyBorder="1" applyAlignment="1">
      <alignment horizontal="center" vertical="center"/>
    </xf>
    <xf numFmtId="0" fontId="3" fillId="0" borderId="8" xfId="18" applyFont="1" applyFill="1" applyBorder="1" applyAlignment="1">
      <alignment horizontal="center" vertical="center"/>
    </xf>
    <xf numFmtId="0" fontId="3" fillId="0" borderId="4" xfId="18" applyFont="1" applyFill="1" applyBorder="1" applyAlignment="1">
      <alignment horizontal="center" vertical="center"/>
    </xf>
    <xf numFmtId="0" fontId="3" fillId="0" borderId="7" xfId="16" applyFont="1" applyBorder="1" applyAlignment="1">
      <alignment horizontal="center" vertical="center"/>
    </xf>
    <xf numFmtId="0" fontId="3" fillId="0" borderId="8" xfId="16" applyFont="1" applyBorder="1" applyAlignment="1">
      <alignment horizontal="center" vertical="center"/>
    </xf>
    <xf numFmtId="0" fontId="3" fillId="0" borderId="4" xfId="16" applyFont="1" applyBorder="1" applyAlignment="1">
      <alignment horizontal="center" vertical="center"/>
    </xf>
    <xf numFmtId="0" fontId="9" fillId="0" borderId="15" xfId="16" applyFont="1" applyBorder="1" applyAlignment="1">
      <alignment horizontal="left" vertical="center"/>
    </xf>
    <xf numFmtId="0" fontId="9" fillId="0" borderId="14" xfId="16" applyFont="1" applyBorder="1" applyAlignment="1">
      <alignment horizontal="left" vertical="center"/>
    </xf>
    <xf numFmtId="0" fontId="9" fillId="0" borderId="13" xfId="16" applyFont="1" applyBorder="1" applyAlignment="1">
      <alignment horizontal="left" vertical="center"/>
    </xf>
    <xf numFmtId="0" fontId="9" fillId="0" borderId="0" xfId="16" applyFont="1" applyAlignment="1">
      <alignment horizontal="left" vertical="center"/>
    </xf>
    <xf numFmtId="0" fontId="9" fillId="0" borderId="20" xfId="16" applyFont="1" applyBorder="1" applyAlignment="1">
      <alignment horizontal="left" vertical="center"/>
    </xf>
    <xf numFmtId="0" fontId="9" fillId="0" borderId="5" xfId="16" applyFont="1" applyBorder="1" applyAlignment="1">
      <alignment horizontal="left" vertical="center"/>
    </xf>
    <xf numFmtId="0" fontId="9" fillId="0" borderId="1" xfId="16" applyFont="1" applyBorder="1" applyAlignment="1">
      <alignment horizontal="left" vertical="center"/>
    </xf>
    <xf numFmtId="0" fontId="9" fillId="0" borderId="3" xfId="16" applyFont="1" applyBorder="1" applyAlignment="1">
      <alignment horizontal="left" vertical="center"/>
    </xf>
    <xf numFmtId="41" fontId="3" fillId="0" borderId="7" xfId="4" applyFont="1" applyBorder="1" applyAlignment="1">
      <alignment horizontal="center" vertical="center"/>
    </xf>
    <xf numFmtId="41" fontId="3" fillId="0" borderId="8" xfId="4" applyFont="1" applyBorder="1" applyAlignment="1">
      <alignment horizontal="center" vertical="center"/>
    </xf>
    <xf numFmtId="41" fontId="6" fillId="0" borderId="7" xfId="4" applyFont="1" applyBorder="1" applyAlignment="1">
      <alignment horizontal="center" vertical="center"/>
    </xf>
    <xf numFmtId="41" fontId="6" fillId="0" borderId="4" xfId="4" applyFont="1" applyBorder="1" applyAlignment="1">
      <alignment horizontal="center" vertical="center"/>
    </xf>
    <xf numFmtId="41" fontId="3" fillId="0" borderId="4" xfId="4" applyFont="1" applyBorder="1" applyAlignment="1">
      <alignment horizontal="center" vertical="center"/>
    </xf>
    <xf numFmtId="180" fontId="3" fillId="0" borderId="7" xfId="16" applyNumberFormat="1" applyFont="1" applyBorder="1" applyAlignment="1">
      <alignment horizontal="center" vertical="center"/>
    </xf>
    <xf numFmtId="180" fontId="3" fillId="0" borderId="4" xfId="16" applyNumberFormat="1" applyFont="1" applyBorder="1" applyAlignment="1">
      <alignment horizontal="center" vertical="center"/>
    </xf>
    <xf numFmtId="41" fontId="3" fillId="0" borderId="7" xfId="4" applyFont="1" applyBorder="1" applyAlignment="1">
      <alignment vertical="center"/>
    </xf>
    <xf numFmtId="41" fontId="3" fillId="0" borderId="8" xfId="4" applyFont="1" applyBorder="1" applyAlignment="1">
      <alignment vertical="center"/>
    </xf>
    <xf numFmtId="41" fontId="3" fillId="0" borderId="4" xfId="4" applyFont="1" applyBorder="1" applyAlignment="1">
      <alignment vertical="center"/>
    </xf>
    <xf numFmtId="180" fontId="3" fillId="0" borderId="7" xfId="4" applyNumberFormat="1" applyFont="1" applyBorder="1" applyAlignment="1">
      <alignment horizontal="center" vertical="center"/>
    </xf>
    <xf numFmtId="0" fontId="9" fillId="0" borderId="5" xfId="16" quotePrefix="1" applyFont="1" applyBorder="1" applyAlignment="1">
      <alignment horizontal="left" vertical="center"/>
    </xf>
    <xf numFmtId="0" fontId="9" fillId="0" borderId="1" xfId="16" quotePrefix="1" applyFont="1" applyBorder="1" applyAlignment="1">
      <alignment horizontal="left" vertical="center"/>
    </xf>
    <xf numFmtId="0" fontId="9" fillId="0" borderId="3" xfId="16" quotePrefix="1" applyFont="1" applyBorder="1" applyAlignment="1">
      <alignment horizontal="left" vertical="center"/>
    </xf>
    <xf numFmtId="0" fontId="9" fillId="0" borderId="7" xfId="16" quotePrefix="1" applyFont="1" applyBorder="1" applyAlignment="1">
      <alignment vertical="center"/>
    </xf>
    <xf numFmtId="0" fontId="9" fillId="0" borderId="8" xfId="16" quotePrefix="1" applyFont="1" applyBorder="1" applyAlignment="1">
      <alignment vertical="center"/>
    </xf>
    <xf numFmtId="0" fontId="9" fillId="0" borderId="4" xfId="16" quotePrefix="1" applyFont="1" applyBorder="1" applyAlignment="1">
      <alignment vertical="center"/>
    </xf>
    <xf numFmtId="0" fontId="20" fillId="0" borderId="7" xfId="16" applyFont="1" applyBorder="1" applyAlignment="1">
      <alignment horizontal="center" vertical="center"/>
    </xf>
    <xf numFmtId="0" fontId="9" fillId="3" borderId="24" xfId="16" applyFont="1" applyFill="1" applyBorder="1" applyAlignment="1">
      <alignment horizontal="center" vertical="center" wrapText="1"/>
    </xf>
    <xf numFmtId="0" fontId="9" fillId="3" borderId="19" xfId="16" applyFont="1" applyFill="1" applyBorder="1" applyAlignment="1">
      <alignment horizontal="center" vertical="center" wrapText="1"/>
    </xf>
    <xf numFmtId="0" fontId="9" fillId="3" borderId="2" xfId="16" applyFont="1" applyFill="1" applyBorder="1" applyAlignment="1">
      <alignment horizontal="center" vertical="center" wrapText="1"/>
    </xf>
    <xf numFmtId="0" fontId="9" fillId="3" borderId="12" xfId="16" applyFont="1" applyFill="1" applyBorder="1" applyAlignment="1">
      <alignment horizontal="center" vertical="center" wrapText="1"/>
    </xf>
    <xf numFmtId="0" fontId="9" fillId="0" borderId="12" xfId="16" quotePrefix="1" applyFont="1" applyBorder="1" applyAlignment="1">
      <alignment horizontal="left" vertical="top" wrapText="1"/>
    </xf>
    <xf numFmtId="0" fontId="9" fillId="0" borderId="6" xfId="16" applyFont="1" applyBorder="1" applyAlignment="1">
      <alignment horizontal="left" vertical="center"/>
    </xf>
    <xf numFmtId="0" fontId="9" fillId="3" borderId="13" xfId="16" applyFont="1" applyFill="1" applyBorder="1" applyAlignment="1">
      <alignment horizontal="center" vertical="center"/>
    </xf>
    <xf numFmtId="0" fontId="9" fillId="0" borderId="13" xfId="16" quotePrefix="1" applyFont="1" applyBorder="1" applyAlignment="1">
      <alignment horizontal="left" vertical="center"/>
    </xf>
    <xf numFmtId="0" fontId="9" fillId="0" borderId="0" xfId="16" quotePrefix="1" applyFont="1" applyAlignment="1">
      <alignment horizontal="left" vertical="center"/>
    </xf>
    <xf numFmtId="0" fontId="9" fillId="0" borderId="20" xfId="16" quotePrefix="1" applyFont="1" applyBorder="1" applyAlignment="1">
      <alignment horizontal="left" vertical="center"/>
    </xf>
    <xf numFmtId="0" fontId="9" fillId="3" borderId="7" xfId="16" applyFont="1" applyFill="1" applyBorder="1" applyAlignment="1">
      <alignment horizontal="center" vertical="center" wrapText="1"/>
    </xf>
    <xf numFmtId="0" fontId="9" fillId="0" borderId="6" xfId="16" quotePrefix="1" applyFont="1" applyBorder="1" applyAlignment="1">
      <alignment horizontal="left" vertical="center"/>
    </xf>
    <xf numFmtId="0" fontId="9" fillId="0" borderId="15" xfId="16" quotePrefix="1" applyFont="1" applyBorder="1" applyAlignment="1">
      <alignment horizontal="left" vertical="center"/>
    </xf>
    <xf numFmtId="0" fontId="9" fillId="0" borderId="14" xfId="16" quotePrefix="1" applyFont="1" applyBorder="1" applyAlignment="1">
      <alignment horizontal="left" vertical="center"/>
    </xf>
    <xf numFmtId="0" fontId="9" fillId="3" borderId="14" xfId="16" applyFont="1" applyFill="1" applyBorder="1" applyAlignment="1">
      <alignment horizontal="center" vertical="center"/>
    </xf>
    <xf numFmtId="179" fontId="9" fillId="0" borderId="0" xfId="16" applyNumberFormat="1" applyFont="1" applyAlignment="1">
      <alignment horizontal="center" vertical="center"/>
    </xf>
    <xf numFmtId="0" fontId="43" fillId="7" borderId="38" xfId="23" applyFont="1" applyFill="1" applyBorder="1" applyAlignment="1">
      <alignment horizontal="center" vertical="center"/>
    </xf>
    <xf numFmtId="0" fontId="43" fillId="7" borderId="39" xfId="23" applyFont="1" applyFill="1" applyBorder="1" applyAlignment="1">
      <alignment horizontal="center" vertical="center"/>
    </xf>
    <xf numFmtId="0" fontId="6" fillId="8" borderId="28" xfId="24" applyFont="1" applyFill="1" applyBorder="1" applyAlignment="1">
      <alignment horizontal="center" vertical="center"/>
    </xf>
    <xf numFmtId="0" fontId="6" fillId="8" borderId="29" xfId="24" applyFont="1" applyFill="1" applyBorder="1" applyAlignment="1">
      <alignment horizontal="center" vertical="center"/>
    </xf>
    <xf numFmtId="0" fontId="9" fillId="8" borderId="28" xfId="24" applyFont="1" applyFill="1" applyBorder="1" applyAlignment="1">
      <alignment horizontal="center" vertical="center"/>
    </xf>
    <xf numFmtId="0" fontId="9" fillId="8" borderId="29" xfId="24" applyFont="1" applyFill="1" applyBorder="1" applyAlignment="1">
      <alignment horizontal="center" vertical="center"/>
    </xf>
    <xf numFmtId="0" fontId="33" fillId="5" borderId="0" xfId="22" applyFont="1" applyFill="1" applyAlignment="1">
      <alignment horizontal="center" vertical="center"/>
    </xf>
    <xf numFmtId="31" fontId="5" fillId="0" borderId="0" xfId="22" applyNumberFormat="1" applyFont="1" applyAlignment="1">
      <alignment horizontal="left" vertical="center"/>
    </xf>
    <xf numFmtId="0" fontId="35" fillId="0" borderId="25" xfId="22" applyFont="1" applyBorder="1" applyAlignment="1">
      <alignment horizontal="center" vertical="center"/>
    </xf>
    <xf numFmtId="0" fontId="6" fillId="6" borderId="28" xfId="22" applyFont="1" applyFill="1" applyBorder="1" applyAlignment="1">
      <alignment horizontal="center" vertical="center" wrapText="1"/>
    </xf>
    <xf numFmtId="0" fontId="6" fillId="6" borderId="29" xfId="22" applyFont="1" applyFill="1" applyBorder="1" applyAlignment="1">
      <alignment horizontal="center" vertical="center" wrapText="1"/>
    </xf>
    <xf numFmtId="0" fontId="40" fillId="7" borderId="33" xfId="23" applyFont="1" applyFill="1" applyBorder="1" applyAlignment="1">
      <alignment horizontal="center" vertical="center"/>
    </xf>
    <xf numFmtId="0" fontId="40" fillId="7" borderId="34" xfId="23" applyFont="1" applyFill="1" applyBorder="1" applyAlignment="1">
      <alignment horizontal="center" vertical="center"/>
    </xf>
    <xf numFmtId="0" fontId="49" fillId="2" borderId="0" xfId="9" applyFont="1" applyFill="1" applyAlignment="1">
      <alignment horizontal="center" vertical="center"/>
    </xf>
    <xf numFmtId="0" fontId="50" fillId="2" borderId="43" xfId="9" applyFont="1" applyFill="1" applyBorder="1" applyAlignment="1">
      <alignment horizontal="left" vertical="center"/>
    </xf>
    <xf numFmtId="0" fontId="50" fillId="2" borderId="0" xfId="7" applyFont="1" applyFill="1" applyAlignment="1">
      <alignment horizontal="left" vertical="center"/>
    </xf>
    <xf numFmtId="0" fontId="50" fillId="2" borderId="44" xfId="7" applyFont="1" applyFill="1" applyBorder="1" applyAlignment="1">
      <alignment horizontal="left" vertical="center"/>
    </xf>
    <xf numFmtId="0" fontId="51" fillId="9" borderId="45" xfId="9" applyFont="1" applyFill="1" applyBorder="1" applyAlignment="1">
      <alignment horizontal="center" vertical="center" wrapText="1"/>
    </xf>
    <xf numFmtId="0" fontId="51" fillId="9" borderId="49" xfId="9" applyFont="1" applyFill="1" applyBorder="1" applyAlignment="1">
      <alignment horizontal="center" vertical="center" wrapText="1"/>
    </xf>
    <xf numFmtId="0" fontId="51" fillId="9" borderId="46" xfId="7" applyFont="1" applyFill="1" applyBorder="1" applyAlignment="1">
      <alignment horizontal="center" vertical="center"/>
    </xf>
    <xf numFmtId="0" fontId="51" fillId="9" borderId="2" xfId="7" applyFont="1" applyFill="1" applyBorder="1" applyAlignment="1">
      <alignment horizontal="center" vertical="center"/>
    </xf>
    <xf numFmtId="0" fontId="51" fillId="9" borderId="47" xfId="9" applyFont="1" applyFill="1" applyBorder="1" applyAlignment="1">
      <alignment horizontal="center" vertical="center" wrapText="1"/>
    </xf>
    <xf numFmtId="0" fontId="51" fillId="9" borderId="50" xfId="9" applyFont="1" applyFill="1" applyBorder="1" applyAlignment="1">
      <alignment horizontal="center" vertical="center" wrapText="1"/>
    </xf>
    <xf numFmtId="0" fontId="51" fillId="9" borderId="46" xfId="8" applyNumberFormat="1" applyFont="1" applyFill="1" applyBorder="1" applyAlignment="1">
      <alignment horizontal="center" vertical="center" wrapText="1"/>
    </xf>
    <xf numFmtId="0" fontId="51" fillId="9" borderId="2" xfId="8" applyNumberFormat="1" applyFont="1" applyFill="1" applyBorder="1" applyAlignment="1">
      <alignment horizontal="center" vertical="center" wrapText="1"/>
    </xf>
    <xf numFmtId="0" fontId="51" fillId="9" borderId="50" xfId="9" applyFont="1" applyFill="1" applyBorder="1" applyAlignment="1">
      <alignment horizontal="center" vertical="center"/>
    </xf>
    <xf numFmtId="41" fontId="51" fillId="9" borderId="46" xfId="8" applyFont="1" applyFill="1" applyBorder="1" applyAlignment="1">
      <alignment horizontal="center" vertical="center"/>
    </xf>
    <xf numFmtId="41" fontId="51" fillId="9" borderId="2" xfId="8" applyFont="1" applyFill="1" applyBorder="1" applyAlignment="1">
      <alignment horizontal="center" vertical="center"/>
    </xf>
    <xf numFmtId="41" fontId="51" fillId="9" borderId="48" xfId="8" applyFont="1" applyFill="1" applyBorder="1" applyAlignment="1">
      <alignment horizontal="center" vertical="center"/>
    </xf>
    <xf numFmtId="41" fontId="51" fillId="9" borderId="51" xfId="8" applyFont="1" applyFill="1" applyBorder="1" applyAlignment="1">
      <alignment horizontal="center" vertical="center"/>
    </xf>
    <xf numFmtId="41" fontId="12" fillId="3" borderId="64" xfId="9" applyNumberFormat="1" applyFont="1" applyFill="1" applyBorder="1" applyAlignment="1">
      <alignment horizontal="center" vertical="center"/>
    </xf>
    <xf numFmtId="41" fontId="12" fillId="3" borderId="26" xfId="9" applyNumberFormat="1" applyFont="1" applyFill="1" applyBorder="1" applyAlignment="1">
      <alignment horizontal="center" vertical="center"/>
    </xf>
    <xf numFmtId="41" fontId="12" fillId="3" borderId="65" xfId="9" applyNumberFormat="1" applyFont="1" applyFill="1" applyBorder="1" applyAlignment="1">
      <alignment horizontal="center" vertical="center"/>
    </xf>
    <xf numFmtId="0" fontId="14" fillId="0" borderId="0" xfId="7" applyAlignment="1">
      <alignment horizontal="right" vertical="center"/>
    </xf>
    <xf numFmtId="0" fontId="12" fillId="10" borderId="59" xfId="7" applyFont="1" applyFill="1" applyBorder="1" applyAlignment="1">
      <alignment horizontal="center" vertical="center" wrapText="1"/>
    </xf>
    <xf numFmtId="0" fontId="12" fillId="10" borderId="60" xfId="7" applyFont="1" applyFill="1" applyBorder="1" applyAlignment="1">
      <alignment horizontal="center" vertical="center" wrapText="1"/>
    </xf>
    <xf numFmtId="0" fontId="12" fillId="10" borderId="36" xfId="7" applyFont="1" applyFill="1" applyBorder="1" applyAlignment="1">
      <alignment horizontal="center" vertical="center" wrapText="1"/>
    </xf>
    <xf numFmtId="0" fontId="12" fillId="10" borderId="61" xfId="7" applyFont="1" applyFill="1" applyBorder="1" applyAlignment="1">
      <alignment horizontal="center" vertical="center" wrapText="1"/>
    </xf>
    <xf numFmtId="0" fontId="12" fillId="10" borderId="62" xfId="7" applyFont="1" applyFill="1" applyBorder="1" applyAlignment="1">
      <alignment horizontal="center" vertical="center" wrapText="1"/>
    </xf>
    <xf numFmtId="0" fontId="12" fillId="10" borderId="63" xfId="7" applyFont="1" applyFill="1" applyBorder="1" applyAlignment="1">
      <alignment horizontal="center" vertical="center" wrapText="1"/>
    </xf>
    <xf numFmtId="49" fontId="12" fillId="10" borderId="59" xfId="7" applyNumberFormat="1" applyFont="1" applyFill="1" applyBorder="1" applyAlignment="1">
      <alignment horizontal="center" vertical="center"/>
    </xf>
    <xf numFmtId="49" fontId="12" fillId="10" borderId="60" xfId="7" applyNumberFormat="1" applyFont="1" applyFill="1" applyBorder="1" applyAlignment="1">
      <alignment horizontal="center" vertical="center"/>
    </xf>
    <xf numFmtId="49" fontId="12" fillId="10" borderId="36" xfId="7" applyNumberFormat="1" applyFont="1" applyFill="1" applyBorder="1" applyAlignment="1">
      <alignment horizontal="center" vertical="center"/>
    </xf>
    <xf numFmtId="0" fontId="56" fillId="10" borderId="32" xfId="2" applyFont="1" applyFill="1" applyBorder="1" applyAlignment="1">
      <alignment horizontal="center" vertical="center"/>
    </xf>
    <xf numFmtId="0" fontId="56" fillId="10" borderId="35" xfId="2" applyFont="1" applyFill="1" applyBorder="1" applyAlignment="1">
      <alignment horizontal="center" vertical="center"/>
    </xf>
    <xf numFmtId="0" fontId="12" fillId="9" borderId="69" xfId="2" applyFont="1" applyFill="1" applyBorder="1" applyAlignment="1">
      <alignment horizontal="center" vertical="center"/>
    </xf>
    <xf numFmtId="0" fontId="12" fillId="9" borderId="40" xfId="2" applyFont="1" applyFill="1" applyBorder="1" applyAlignment="1">
      <alignment horizontal="center" vertical="center"/>
    </xf>
    <xf numFmtId="0" fontId="12" fillId="9" borderId="70" xfId="2" applyFont="1" applyFill="1" applyBorder="1" applyAlignment="1">
      <alignment horizontal="center" vertical="center"/>
    </xf>
    <xf numFmtId="0" fontId="12" fillId="9" borderId="41" xfId="2" applyFont="1" applyFill="1" applyBorder="1" applyAlignment="1">
      <alignment horizontal="center" vertical="center"/>
    </xf>
    <xf numFmtId="183" fontId="12" fillId="9" borderId="71" xfId="2" applyNumberFormat="1" applyFont="1" applyFill="1" applyBorder="1" applyAlignment="1">
      <alignment horizontal="center" vertical="center"/>
    </xf>
    <xf numFmtId="183" fontId="12" fillId="9" borderId="72" xfId="2" applyNumberFormat="1" applyFont="1" applyFill="1" applyBorder="1" applyAlignment="1">
      <alignment horizontal="center" vertical="center"/>
    </xf>
    <xf numFmtId="0" fontId="65" fillId="12" borderId="32" xfId="2" applyFont="1" applyFill="1" applyBorder="1" applyAlignment="1">
      <alignment horizontal="center" vertical="center"/>
    </xf>
    <xf numFmtId="0" fontId="65" fillId="12" borderId="35" xfId="2" applyFont="1" applyFill="1" applyBorder="1" applyAlignment="1">
      <alignment horizontal="center" vertical="center"/>
    </xf>
    <xf numFmtId="0" fontId="56" fillId="10" borderId="74" xfId="2" applyFont="1" applyFill="1" applyBorder="1" applyAlignment="1">
      <alignment horizontal="center" vertical="center"/>
    </xf>
    <xf numFmtId="0" fontId="56" fillId="10" borderId="75" xfId="2" applyFont="1" applyFill="1" applyBorder="1" applyAlignment="1">
      <alignment horizontal="center" vertical="center"/>
    </xf>
    <xf numFmtId="0" fontId="56" fillId="13" borderId="74" xfId="2" applyFont="1" applyFill="1" applyBorder="1" applyAlignment="1">
      <alignment horizontal="center" vertical="center"/>
    </xf>
    <xf numFmtId="0" fontId="56" fillId="13" borderId="75" xfId="2" applyFont="1" applyFill="1" applyBorder="1" applyAlignment="1">
      <alignment horizontal="center" vertical="center"/>
    </xf>
    <xf numFmtId="0" fontId="56" fillId="10" borderId="37" xfId="2" applyFont="1" applyFill="1" applyBorder="1" applyAlignment="1">
      <alignment horizontal="center" vertical="center"/>
    </xf>
    <xf numFmtId="0" fontId="56" fillId="10" borderId="39" xfId="2" applyFont="1" applyFill="1" applyBorder="1" applyAlignment="1">
      <alignment horizontal="center" vertical="center"/>
    </xf>
    <xf numFmtId="41" fontId="70" fillId="3" borderId="12" xfId="4" applyFont="1" applyFill="1" applyBorder="1" applyAlignment="1">
      <alignment horizontal="center" vertical="center"/>
    </xf>
    <xf numFmtId="41" fontId="69" fillId="2" borderId="7" xfId="4" applyFont="1" applyFill="1" applyBorder="1" applyAlignment="1">
      <alignment horizontal="center" vertical="center"/>
    </xf>
    <xf numFmtId="41" fontId="69" fillId="2" borderId="8" xfId="4" applyFont="1" applyFill="1" applyBorder="1" applyAlignment="1">
      <alignment horizontal="center" vertical="center"/>
    </xf>
    <xf numFmtId="41" fontId="69" fillId="2" borderId="4" xfId="4" applyFont="1" applyFill="1" applyBorder="1" applyAlignment="1">
      <alignment horizontal="center" vertical="center"/>
    </xf>
    <xf numFmtId="41" fontId="69" fillId="2" borderId="12" xfId="4" applyFont="1" applyFill="1" applyBorder="1" applyAlignment="1">
      <alignment horizontal="center" vertical="center"/>
    </xf>
    <xf numFmtId="41" fontId="69" fillId="0" borderId="12" xfId="4" applyFont="1" applyFill="1" applyBorder="1" applyAlignment="1">
      <alignment horizontal="center" vertical="center"/>
    </xf>
    <xf numFmtId="0" fontId="71" fillId="0" borderId="1" xfId="0" applyFont="1" applyBorder="1" applyAlignment="1">
      <alignment horizontal="right" vertical="center"/>
    </xf>
    <xf numFmtId="0" fontId="70" fillId="0" borderId="7" xfId="0" applyFont="1" applyBorder="1" applyAlignment="1">
      <alignment horizontal="center" vertical="center" wrapText="1"/>
    </xf>
    <xf numFmtId="0" fontId="70" fillId="0" borderId="8" xfId="0" applyFont="1" applyBorder="1" applyAlignment="1">
      <alignment horizontal="center" vertical="center" wrapText="1"/>
    </xf>
    <xf numFmtId="0" fontId="70" fillId="0" borderId="4" xfId="0" applyFont="1" applyBorder="1" applyAlignment="1">
      <alignment horizontal="center" vertical="center" wrapText="1"/>
    </xf>
    <xf numFmtId="0" fontId="69" fillId="2" borderId="7" xfId="0" applyFont="1" applyFill="1" applyBorder="1" applyAlignment="1">
      <alignment horizontal="center" vertical="center" wrapText="1"/>
    </xf>
    <xf numFmtId="0" fontId="69" fillId="2" borderId="8" xfId="0" applyFont="1" applyFill="1" applyBorder="1" applyAlignment="1">
      <alignment horizontal="center" vertical="center" wrapText="1"/>
    </xf>
    <xf numFmtId="0" fontId="69" fillId="2" borderId="4" xfId="0" applyFont="1" applyFill="1" applyBorder="1" applyAlignment="1">
      <alignment horizontal="center" vertical="center" wrapText="1"/>
    </xf>
    <xf numFmtId="41" fontId="69" fillId="0" borderId="7" xfId="4" applyFont="1" applyFill="1" applyBorder="1" applyAlignment="1">
      <alignment horizontal="left" vertical="center"/>
    </xf>
    <xf numFmtId="41" fontId="69" fillId="0" borderId="8" xfId="4" applyFont="1" applyFill="1" applyBorder="1" applyAlignment="1">
      <alignment horizontal="left" vertical="center"/>
    </xf>
    <xf numFmtId="41" fontId="69" fillId="0" borderId="4" xfId="4" applyFont="1" applyFill="1" applyBorder="1" applyAlignment="1">
      <alignment horizontal="left" vertical="center"/>
    </xf>
    <xf numFmtId="41" fontId="69" fillId="0" borderId="8" xfId="4" applyFont="1" applyFill="1" applyBorder="1" applyAlignment="1">
      <alignment horizontal="center" vertical="center"/>
    </xf>
    <xf numFmtId="41" fontId="69" fillId="0" borderId="4" xfId="4" applyFont="1" applyFill="1" applyBorder="1" applyAlignment="1">
      <alignment horizontal="center" vertical="center"/>
    </xf>
    <xf numFmtId="41" fontId="69" fillId="3" borderId="13" xfId="4" applyFont="1" applyFill="1" applyBorder="1" applyAlignment="1">
      <alignment horizontal="center" vertical="center"/>
    </xf>
    <xf numFmtId="41" fontId="69" fillId="3" borderId="20" xfId="4" applyFont="1" applyFill="1" applyBorder="1" applyAlignment="1">
      <alignment horizontal="center" vertical="center"/>
    </xf>
    <xf numFmtId="41" fontId="70" fillId="3" borderId="5" xfId="4" applyFont="1" applyFill="1" applyBorder="1" applyAlignment="1">
      <alignment horizontal="left" vertical="center" indent="2"/>
    </xf>
    <xf numFmtId="41" fontId="70" fillId="3" borderId="1" xfId="4" applyFont="1" applyFill="1" applyBorder="1" applyAlignment="1">
      <alignment horizontal="left" vertical="center" indent="2"/>
    </xf>
    <xf numFmtId="41" fontId="70" fillId="3" borderId="8" xfId="4" applyFont="1" applyFill="1" applyBorder="1" applyAlignment="1">
      <alignment horizontal="left" vertical="center" indent="2"/>
    </xf>
    <xf numFmtId="41" fontId="70" fillId="3" borderId="4" xfId="4" applyFont="1" applyFill="1" applyBorder="1" applyAlignment="1">
      <alignment horizontal="left" vertical="center" indent="2"/>
    </xf>
    <xf numFmtId="0" fontId="30" fillId="3" borderId="12" xfId="0" applyFont="1" applyFill="1" applyBorder="1" applyAlignment="1">
      <alignment horizontal="center" vertical="center"/>
    </xf>
    <xf numFmtId="41" fontId="70" fillId="3" borderId="5" xfId="4" applyFont="1" applyFill="1" applyBorder="1" applyAlignment="1">
      <alignment horizontal="center" vertical="center"/>
    </xf>
    <xf numFmtId="41" fontId="70" fillId="3" borderId="1" xfId="4" applyFont="1" applyFill="1" applyBorder="1" applyAlignment="1">
      <alignment horizontal="center" vertical="center"/>
    </xf>
    <xf numFmtId="41" fontId="70" fillId="3" borderId="3" xfId="4" applyFont="1" applyFill="1" applyBorder="1" applyAlignment="1">
      <alignment horizontal="center" vertical="center"/>
    </xf>
    <xf numFmtId="41" fontId="30" fillId="0" borderId="7" xfId="4" applyFont="1" applyBorder="1" applyAlignment="1">
      <alignment horizontal="center" vertical="center" wrapText="1"/>
    </xf>
    <xf numFmtId="41" fontId="30" fillId="0" borderId="8" xfId="4" applyFont="1" applyBorder="1" applyAlignment="1">
      <alignment horizontal="center" vertical="center" wrapText="1"/>
    </xf>
    <xf numFmtId="41" fontId="30" fillId="0" borderId="4" xfId="4" applyFont="1" applyBorder="1" applyAlignment="1">
      <alignment horizontal="center" vertical="center" wrapText="1"/>
    </xf>
    <xf numFmtId="41" fontId="30" fillId="0" borderId="7" xfId="4" applyFont="1" applyBorder="1" applyAlignment="1">
      <alignment horizontal="left" vertical="center" wrapText="1"/>
    </xf>
    <xf numFmtId="41" fontId="30" fillId="0" borderId="8" xfId="4" applyFont="1" applyBorder="1" applyAlignment="1">
      <alignment horizontal="left" vertical="center" wrapText="1"/>
    </xf>
    <xf numFmtId="41" fontId="30" fillId="0" borderId="4" xfId="4" applyFont="1" applyBorder="1" applyAlignment="1">
      <alignment horizontal="left" vertical="center" wrapText="1"/>
    </xf>
    <xf numFmtId="41" fontId="30" fillId="0" borderId="6" xfId="4" applyFont="1" applyBorder="1" applyAlignment="1">
      <alignment horizontal="left" vertical="center" wrapText="1"/>
    </xf>
    <xf numFmtId="41" fontId="30" fillId="0" borderId="15" xfId="4" applyFont="1" applyBorder="1" applyAlignment="1">
      <alignment horizontal="left" vertical="center" wrapText="1"/>
    </xf>
    <xf numFmtId="41" fontId="30" fillId="0" borderId="14" xfId="4" applyFont="1" applyBorder="1" applyAlignment="1">
      <alignment horizontal="left" vertical="center" wrapText="1"/>
    </xf>
    <xf numFmtId="41" fontId="30" fillId="0" borderId="13" xfId="4" applyFont="1" applyBorder="1" applyAlignment="1">
      <alignment horizontal="left" vertical="center" wrapText="1"/>
    </xf>
    <xf numFmtId="41" fontId="30" fillId="0" borderId="0" xfId="4" applyFont="1" applyBorder="1" applyAlignment="1">
      <alignment horizontal="left" vertical="center" wrapText="1"/>
    </xf>
    <xf numFmtId="41" fontId="30" fillId="0" borderId="20" xfId="4" applyFont="1" applyBorder="1" applyAlignment="1">
      <alignment horizontal="left" vertical="center" wrapText="1"/>
    </xf>
    <xf numFmtId="41" fontId="30" fillId="0" borderId="5" xfId="4" applyFont="1" applyBorder="1" applyAlignment="1">
      <alignment horizontal="left" vertical="center" wrapText="1"/>
    </xf>
    <xf numFmtId="41" fontId="30" fillId="0" borderId="1" xfId="4" applyFont="1" applyBorder="1" applyAlignment="1">
      <alignment horizontal="left" vertical="center" wrapText="1"/>
    </xf>
    <xf numFmtId="41" fontId="30" fillId="0" borderId="3" xfId="4" applyFont="1" applyBorder="1" applyAlignment="1">
      <alignment horizontal="left" vertical="center" wrapText="1"/>
    </xf>
    <xf numFmtId="41" fontId="30" fillId="0" borderId="12" xfId="4" applyFont="1" applyBorder="1" applyAlignment="1">
      <alignment horizontal="center" vertical="center" wrapText="1"/>
    </xf>
    <xf numFmtId="41" fontId="70" fillId="0" borderId="0" xfId="4" applyFont="1" applyAlignment="1">
      <alignment horizontal="left" vertical="center"/>
    </xf>
    <xf numFmtId="41" fontId="69" fillId="0" borderId="0" xfId="4" applyFont="1" applyAlignment="1">
      <alignment horizontal="left" vertical="center"/>
    </xf>
    <xf numFmtId="0" fontId="69" fillId="0" borderId="0" xfId="0" applyFont="1" applyAlignment="1">
      <alignment horizontal="left" vertical="center"/>
    </xf>
    <xf numFmtId="41" fontId="30" fillId="0" borderId="0" xfId="4" applyFont="1" applyAlignment="1">
      <alignment horizontal="left" vertical="center"/>
    </xf>
    <xf numFmtId="0" fontId="70" fillId="0" borderId="0" xfId="0" applyFont="1" applyAlignment="1">
      <alignment horizontal="left" vertical="center"/>
    </xf>
    <xf numFmtId="41" fontId="69" fillId="0" borderId="0" xfId="4" applyFont="1" applyFill="1" applyAlignment="1">
      <alignment horizontal="left" vertical="center"/>
    </xf>
    <xf numFmtId="41" fontId="69" fillId="4" borderId="12" xfId="4" applyFont="1" applyFill="1" applyBorder="1" applyAlignment="1">
      <alignment horizontal="center" vertical="center"/>
    </xf>
    <xf numFmtId="41" fontId="70" fillId="3" borderId="7" xfId="4" applyFont="1" applyFill="1" applyBorder="1" applyAlignment="1">
      <alignment horizontal="center" vertical="center"/>
    </xf>
    <xf numFmtId="41" fontId="70" fillId="3" borderId="8" xfId="4" applyFont="1" applyFill="1" applyBorder="1" applyAlignment="1">
      <alignment horizontal="center" vertical="center"/>
    </xf>
    <xf numFmtId="41" fontId="70" fillId="3" borderId="4" xfId="4" applyFont="1" applyFill="1" applyBorder="1" applyAlignment="1">
      <alignment horizontal="center" vertical="center"/>
    </xf>
    <xf numFmtId="0" fontId="70" fillId="3" borderId="6" xfId="0" applyFont="1" applyFill="1" applyBorder="1" applyAlignment="1">
      <alignment horizontal="center" vertical="center" wrapText="1" readingOrder="1"/>
    </xf>
    <xf numFmtId="0" fontId="70" fillId="3" borderId="14" xfId="0" applyFont="1" applyFill="1" applyBorder="1" applyAlignment="1">
      <alignment horizontal="center" vertical="center" wrapText="1" readingOrder="1"/>
    </xf>
    <xf numFmtId="0" fontId="70" fillId="3" borderId="13" xfId="0" applyFont="1" applyFill="1" applyBorder="1" applyAlignment="1">
      <alignment horizontal="center" vertical="center" wrapText="1" readingOrder="1"/>
    </xf>
    <xf numFmtId="0" fontId="70" fillId="3" borderId="20" xfId="0" applyFont="1" applyFill="1" applyBorder="1" applyAlignment="1">
      <alignment horizontal="center" vertical="center" wrapText="1" readingOrder="1"/>
    </xf>
    <xf numFmtId="41" fontId="69" fillId="0" borderId="13" xfId="4" applyFont="1" applyBorder="1" applyAlignment="1">
      <alignment horizontal="center" vertical="center" wrapText="1"/>
    </xf>
    <xf numFmtId="41" fontId="69" fillId="0" borderId="0" xfId="4" applyFont="1" applyBorder="1" applyAlignment="1">
      <alignment horizontal="center" vertical="center" wrapText="1"/>
    </xf>
    <xf numFmtId="41" fontId="69" fillId="0" borderId="20" xfId="4" applyFont="1" applyBorder="1" applyAlignment="1">
      <alignment horizontal="center" vertical="center" wrapText="1"/>
    </xf>
    <xf numFmtId="41" fontId="69" fillId="0" borderId="5" xfId="4" applyFont="1" applyBorder="1" applyAlignment="1">
      <alignment horizontal="center" vertical="center" wrapText="1"/>
    </xf>
    <xf numFmtId="41" fontId="69" fillId="0" borderId="1" xfId="4" applyFont="1" applyBorder="1" applyAlignment="1">
      <alignment horizontal="center" vertical="center" wrapText="1"/>
    </xf>
    <xf numFmtId="41" fontId="69" fillId="0" borderId="3" xfId="4" applyFont="1" applyBorder="1" applyAlignment="1">
      <alignment horizontal="center" vertical="center" wrapText="1"/>
    </xf>
    <xf numFmtId="41" fontId="69" fillId="0" borderId="6" xfId="4" applyFont="1" applyBorder="1" applyAlignment="1">
      <alignment horizontal="center" vertical="center" wrapText="1"/>
    </xf>
    <xf numFmtId="41" fontId="69" fillId="0" borderId="15" xfId="4" applyFont="1" applyBorder="1" applyAlignment="1">
      <alignment horizontal="center" vertical="center" wrapText="1"/>
    </xf>
    <xf numFmtId="41" fontId="69" fillId="0" borderId="14" xfId="4" applyFont="1" applyBorder="1" applyAlignment="1">
      <alignment horizontal="center" vertical="center" wrapText="1"/>
    </xf>
    <xf numFmtId="178" fontId="69" fillId="0" borderId="12" xfId="4" applyNumberFormat="1" applyFont="1" applyBorder="1" applyAlignment="1">
      <alignment horizontal="center" vertical="center"/>
    </xf>
    <xf numFmtId="178" fontId="69" fillId="0" borderId="88" xfId="4" applyNumberFormat="1" applyFont="1" applyBorder="1" applyAlignment="1">
      <alignment horizontal="center" vertical="center"/>
    </xf>
    <xf numFmtId="9" fontId="69" fillId="0" borderId="12" xfId="15" applyFont="1" applyBorder="1" applyAlignment="1">
      <alignment horizontal="center" vertical="center"/>
    </xf>
    <xf numFmtId="180" fontId="69" fillId="0" borderId="89" xfId="15" applyNumberFormat="1" applyFont="1" applyBorder="1" applyAlignment="1">
      <alignment horizontal="center" vertical="center"/>
    </xf>
    <xf numFmtId="180" fontId="69" fillId="0" borderId="90" xfId="15" applyNumberFormat="1" applyFont="1" applyBorder="1" applyAlignment="1">
      <alignment horizontal="center" vertical="center"/>
    </xf>
    <xf numFmtId="41" fontId="31" fillId="0" borderId="0" xfId="4" applyFont="1" applyAlignment="1">
      <alignment horizontal="left" vertical="center"/>
    </xf>
    <xf numFmtId="41" fontId="69" fillId="4" borderId="7" xfId="4" applyFont="1" applyFill="1" applyBorder="1" applyAlignment="1">
      <alignment horizontal="center" vertical="center"/>
    </xf>
    <xf numFmtId="41" fontId="69" fillId="4" borderId="8" xfId="4" applyFont="1" applyFill="1" applyBorder="1" applyAlignment="1">
      <alignment horizontal="center" vertical="center"/>
    </xf>
    <xf numFmtId="41" fontId="69" fillId="4" borderId="4" xfId="4" applyFont="1" applyFill="1" applyBorder="1" applyAlignment="1">
      <alignment horizontal="center" vertical="center"/>
    </xf>
    <xf numFmtId="41" fontId="69" fillId="4" borderId="80" xfId="4" applyFont="1" applyFill="1" applyBorder="1" applyAlignment="1">
      <alignment horizontal="center" vertical="center"/>
    </xf>
    <xf numFmtId="41" fontId="69" fillId="4" borderId="81" xfId="4" applyFont="1" applyFill="1" applyBorder="1" applyAlignment="1">
      <alignment horizontal="center" vertical="center"/>
    </xf>
    <xf numFmtId="41" fontId="69" fillId="4" borderId="82" xfId="4" applyFont="1" applyFill="1" applyBorder="1" applyAlignment="1">
      <alignment horizontal="center" vertical="center"/>
    </xf>
    <xf numFmtId="41" fontId="69" fillId="4" borderId="83" xfId="4" applyFont="1" applyFill="1" applyBorder="1" applyAlignment="1">
      <alignment horizontal="center" vertical="center"/>
    </xf>
    <xf numFmtId="41" fontId="69" fillId="4" borderId="84" xfId="4" applyFont="1" applyFill="1" applyBorder="1" applyAlignment="1">
      <alignment horizontal="center" vertical="center"/>
    </xf>
    <xf numFmtId="41" fontId="69" fillId="4" borderId="85" xfId="4" applyFont="1" applyFill="1" applyBorder="1" applyAlignment="1">
      <alignment horizontal="center" vertical="center"/>
    </xf>
    <xf numFmtId="41" fontId="69" fillId="4" borderId="86" xfId="4" applyFont="1" applyFill="1" applyBorder="1" applyAlignment="1">
      <alignment horizontal="center" vertical="center"/>
    </xf>
    <xf numFmtId="41" fontId="69" fillId="4" borderId="87" xfId="4" applyFont="1" applyFill="1" applyBorder="1" applyAlignment="1">
      <alignment horizontal="center" vertical="center"/>
    </xf>
    <xf numFmtId="0" fontId="30" fillId="2" borderId="0" xfId="0" applyFont="1" applyFill="1" applyAlignment="1">
      <alignment horizontal="left" vertical="center"/>
    </xf>
    <xf numFmtId="0" fontId="69" fillId="0" borderId="0" xfId="0" applyFont="1" applyAlignment="1">
      <alignment horizontal="center" vertical="center"/>
    </xf>
  </cellXfs>
  <cellStyles count="26">
    <cellStyle name="백분율" xfId="15" builtinId="5"/>
    <cellStyle name="백분율 2" xfId="14" xr:uid="{9BD72CEE-A583-466F-8169-D34F7526E016}"/>
    <cellStyle name="백분율 2 2" xfId="17" xr:uid="{03B51C33-C1A6-4E21-8806-03BE3C15F06A}"/>
    <cellStyle name="쉼표 [0]" xfId="4" builtinId="6"/>
    <cellStyle name="쉼표 [0] 2" xfId="3" xr:uid="{00000000-0005-0000-0000-000001000000}"/>
    <cellStyle name="쉼표 [0] 2 3 2 2" xfId="19" xr:uid="{F887D059-AE4D-4FE5-9B11-AF7582A3ECA0}"/>
    <cellStyle name="쉼표 [0] 20" xfId="18" xr:uid="{4DB00D70-A0E2-4EDF-B7F4-CF766D961C6C}"/>
    <cellStyle name="쉼표 [0] 3" xfId="11" xr:uid="{00000000-0005-0000-0000-000002000000}"/>
    <cellStyle name="쉼표 [0] 4" xfId="8" xr:uid="{00000000-0005-0000-0000-000003000000}"/>
    <cellStyle name="쉼표 [0] 6" xfId="20" xr:uid="{AFB4B36D-A9FC-4600-AC49-9F3F14997A57}"/>
    <cellStyle name="쉼표 [0] 7" xfId="1" xr:uid="{00000000-0005-0000-0000-000004000000}"/>
    <cellStyle name="스타일 1 3" xfId="9" xr:uid="{00000000-0005-0000-0000-000005000000}"/>
    <cellStyle name="콤마 [0]_경주산내STP 2" xfId="10" xr:uid="{00000000-0005-0000-0000-000006000000}"/>
    <cellStyle name="표준" xfId="0" builtinId="0"/>
    <cellStyle name="표준 123" xfId="13" xr:uid="{00000000-0005-0000-0000-000008000000}"/>
    <cellStyle name="표준 2" xfId="2" xr:uid="{00000000-0005-0000-0000-000009000000}"/>
    <cellStyle name="표준 2 10" xfId="6" xr:uid="{00000000-0005-0000-0000-00000A000000}"/>
    <cellStyle name="표준 2 3" xfId="5" xr:uid="{00000000-0005-0000-0000-00000B000000}"/>
    <cellStyle name="표준 2_20110328-윤활유 생산능력 증대사업(집유설비 유수분리)_CIVIL" xfId="12" xr:uid="{00000000-0005-0000-0000-00000C000000}"/>
    <cellStyle name="표준 4" xfId="7" xr:uid="{00000000-0005-0000-0000-00000D000000}"/>
    <cellStyle name="표준 53" xfId="16" xr:uid="{062FD01A-4244-4F96-B434-75DB1B40F867}"/>
    <cellStyle name="표준 7" xfId="21" xr:uid="{E25F501A-AAF1-4CC5-881F-34C0BC003920}"/>
    <cellStyle name="표준_10CMMRCO세부견적서_SE0401" xfId="22" xr:uid="{DE9C0B1C-F9B4-4B17-BDEA-90FD53CE124E}"/>
    <cellStyle name="표준_LCD 추가공사1" xfId="23" xr:uid="{2C876003-539B-4B4D-BBEE-D388F98E6C08}"/>
    <cellStyle name="표준_P7견적서_040930(REV3)" xfId="24" xr:uid="{70D84B3A-1BF3-4D9C-9670-AA4AABEA91A4}"/>
    <cellStyle name="표준_경주산내STP 2" xfId="25" xr:uid="{BE141DBD-2148-4E71-9864-63AA55715515}"/>
  </cellStyles>
  <dxfs count="7">
    <dxf>
      <font>
        <color rgb="FFFF0000"/>
      </font>
    </dxf>
    <dxf>
      <font>
        <color rgb="FFFF0000"/>
      </font>
    </dxf>
    <dxf>
      <font>
        <color rgb="FFFF0000"/>
      </font>
    </dxf>
    <dxf>
      <font>
        <color rgb="FFFF0000"/>
      </font>
    </dxf>
    <dxf>
      <font>
        <color rgb="FFFF0000"/>
      </font>
    </dxf>
    <dxf>
      <font>
        <color rgb="FFFF000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styles" Target="styles.xml"/><Relationship Id="rId16" Type="http://schemas.openxmlformats.org/officeDocument/2006/relationships/externalLink" Target="externalLinks/externalLink11.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5" Type="http://schemas.openxmlformats.org/officeDocument/2006/relationships/worksheet" Target="worksheets/sheet5.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77" Type="http://schemas.openxmlformats.org/officeDocument/2006/relationships/externalLink" Target="externalLinks/externalLink7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80" Type="http://schemas.openxmlformats.org/officeDocument/2006/relationships/externalLink" Target="externalLinks/externalLink75.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1098176</xdr:colOff>
      <xdr:row>8</xdr:row>
      <xdr:rowOff>45720</xdr:rowOff>
    </xdr:from>
    <xdr:to>
      <xdr:col>6</xdr:col>
      <xdr:colOff>58734</xdr:colOff>
      <xdr:row>16</xdr:row>
      <xdr:rowOff>155279</xdr:rowOff>
    </xdr:to>
    <xdr:sp macro="" textlink="">
      <xdr:nvSpPr>
        <xdr:cNvPr id="2" name="직사각형 1">
          <a:extLst>
            <a:ext uri="{FF2B5EF4-FFF2-40B4-BE49-F238E27FC236}">
              <a16:creationId xmlns:a16="http://schemas.microsoft.com/office/drawing/2014/main" id="{BBF7FB63-2948-4712-864D-77CC1FF623E8}"/>
            </a:ext>
          </a:extLst>
        </xdr:cNvPr>
        <xdr:cNvSpPr/>
      </xdr:nvSpPr>
      <xdr:spPr>
        <a:xfrm>
          <a:off x="3927101" y="2388870"/>
          <a:ext cx="55933" cy="199550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ko-KR" altLang="en-US"/>
        </a:p>
      </xdr:txBody>
    </xdr:sp>
    <xdr:clientData/>
  </xdr:twoCellAnchor>
  <xdr:twoCellAnchor>
    <xdr:from>
      <xdr:col>5</xdr:col>
      <xdr:colOff>1074378</xdr:colOff>
      <xdr:row>13</xdr:row>
      <xdr:rowOff>176210</xdr:rowOff>
    </xdr:from>
    <xdr:to>
      <xdr:col>10</xdr:col>
      <xdr:colOff>56028</xdr:colOff>
      <xdr:row>15</xdr:row>
      <xdr:rowOff>73614</xdr:rowOff>
    </xdr:to>
    <xdr:sp macro="" textlink="">
      <xdr:nvSpPr>
        <xdr:cNvPr id="3" name="TextBox 2">
          <a:extLst>
            <a:ext uri="{FF2B5EF4-FFF2-40B4-BE49-F238E27FC236}">
              <a16:creationId xmlns:a16="http://schemas.microsoft.com/office/drawing/2014/main" id="{B3979A45-BE6D-41FE-8084-9D8971336223}"/>
            </a:ext>
          </a:extLst>
        </xdr:cNvPr>
        <xdr:cNvSpPr txBox="1"/>
      </xdr:nvSpPr>
      <xdr:spPr bwMode="auto">
        <a:xfrm>
          <a:off x="3922353" y="3605210"/>
          <a:ext cx="4887150" cy="345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600" b="1">
              <a:latin typeface="HY견명조" panose="02030600000101010101" pitchFamily="18" charset="-127"/>
              <a:ea typeface="HY견명조" panose="02030600000101010101" pitchFamily="18" charset="-127"/>
            </a:rPr>
            <a:t>대  표  이  사   </a:t>
          </a:r>
          <a:r>
            <a:rPr lang="en-US" altLang="ko-KR" sz="1600" b="1">
              <a:latin typeface="HY견명조" panose="02030600000101010101" pitchFamily="18" charset="-127"/>
              <a:ea typeface="HY견명조" panose="02030600000101010101" pitchFamily="18" charset="-127"/>
            </a:rPr>
            <a:t>:   </a:t>
          </a:r>
          <a:r>
            <a:rPr lang="ko-KR" altLang="en-US" sz="1600" b="1">
              <a:latin typeface="HY견명조" panose="02030600000101010101" pitchFamily="18" charset="-127"/>
              <a:ea typeface="HY견명조" panose="02030600000101010101" pitchFamily="18" charset="-127"/>
            </a:rPr>
            <a:t>김   종   섭 </a:t>
          </a:r>
          <a:r>
            <a:rPr lang="en-US" altLang="ko-KR" sz="1600" b="1">
              <a:latin typeface="HY견명조" panose="02030600000101010101" pitchFamily="18" charset="-127"/>
              <a:ea typeface="HY견명조" panose="02030600000101010101" pitchFamily="18" charset="-127"/>
            </a:rPr>
            <a:t>(</a:t>
          </a:r>
          <a:r>
            <a:rPr lang="ko-KR" altLang="en-US" sz="1600" b="1">
              <a:latin typeface="HY견명조" panose="02030600000101010101" pitchFamily="18" charset="-127"/>
              <a:ea typeface="HY견명조" panose="02030600000101010101" pitchFamily="18" charset="-127"/>
            </a:rPr>
            <a:t>직인 생략</a:t>
          </a:r>
          <a:r>
            <a:rPr lang="en-US" altLang="ko-KR" sz="1600" b="1">
              <a:latin typeface="HY견명조" panose="02030600000101010101" pitchFamily="18" charset="-127"/>
              <a:ea typeface="HY견명조" panose="02030600000101010101" pitchFamily="18" charset="-127"/>
            </a:rPr>
            <a:t>)</a:t>
          </a:r>
        </a:p>
        <a:p>
          <a:endParaRPr lang="en-US" altLang="ko-KR" sz="1600" b="1">
            <a:latin typeface="HY견명조" panose="02030600000101010101" pitchFamily="18" charset="-127"/>
            <a:ea typeface="HY견명조" panose="02030600000101010101" pitchFamily="18" charset="-127"/>
          </a:endParaRPr>
        </a:p>
        <a:p>
          <a:r>
            <a:rPr lang="ko-KR" altLang="en-US" sz="1600" b="1">
              <a:latin typeface="HY견명조" panose="02030600000101010101" pitchFamily="18" charset="-127"/>
              <a:ea typeface="HY견명조" panose="02030600000101010101" pitchFamily="18" charset="-127"/>
            </a:rPr>
            <a:t>   </a:t>
          </a:r>
        </a:p>
      </xdr:txBody>
    </xdr:sp>
    <xdr:clientData/>
  </xdr:twoCellAnchor>
  <xdr:twoCellAnchor>
    <xdr:from>
      <xdr:col>5</xdr:col>
      <xdr:colOff>1087870</xdr:colOff>
      <xdr:row>9</xdr:row>
      <xdr:rowOff>21865</xdr:rowOff>
    </xdr:from>
    <xdr:to>
      <xdr:col>10</xdr:col>
      <xdr:colOff>30480</xdr:colOff>
      <xdr:row>13</xdr:row>
      <xdr:rowOff>174033</xdr:rowOff>
    </xdr:to>
    <xdr:sp macro="" textlink="">
      <xdr:nvSpPr>
        <xdr:cNvPr id="4" name="TextBox 11">
          <a:extLst>
            <a:ext uri="{FF2B5EF4-FFF2-40B4-BE49-F238E27FC236}">
              <a16:creationId xmlns:a16="http://schemas.microsoft.com/office/drawing/2014/main" id="{5D91476C-D739-4017-8E6F-71047CF735EA}"/>
            </a:ext>
          </a:extLst>
        </xdr:cNvPr>
        <xdr:cNvSpPr txBox="1"/>
      </xdr:nvSpPr>
      <xdr:spPr bwMode="auto">
        <a:xfrm>
          <a:off x="3926320" y="2555515"/>
          <a:ext cx="4857635" cy="1047518"/>
        </a:xfrm>
        <a:prstGeom prst="rect">
          <a:avLst/>
        </a:prstGeom>
        <a:noFill/>
      </xdr:spPr>
      <xdr:txBody>
        <a:bodyPr wrap="square" rtlCol="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nSpc>
              <a:spcPts val="2200"/>
            </a:lnSpc>
          </a:pPr>
          <a:r>
            <a:rPr lang="en-US" altLang="ko-KR" sz="1600" b="1">
              <a:latin typeface="+mn-ea"/>
            </a:rPr>
            <a:t>ECOPRO Co., Ld.</a:t>
          </a:r>
        </a:p>
        <a:p>
          <a:pPr>
            <a:lnSpc>
              <a:spcPts val="1500"/>
            </a:lnSpc>
          </a:pPr>
          <a:r>
            <a:rPr lang="ko-KR" altLang="en-US" sz="1200" b="1">
              <a:latin typeface="+mn-ea"/>
            </a:rPr>
            <a:t>충청북도 청주시 청원구 오창읍 송대리 </a:t>
          </a:r>
          <a:r>
            <a:rPr lang="en-US" altLang="ko-KR" sz="1200" b="1">
              <a:latin typeface="+mn-ea"/>
            </a:rPr>
            <a:t>311-1</a:t>
          </a:r>
        </a:p>
        <a:p>
          <a:pPr>
            <a:lnSpc>
              <a:spcPts val="1500"/>
            </a:lnSpc>
          </a:pPr>
          <a:r>
            <a:rPr lang="en-US" altLang="ko-KR" sz="1200" b="1">
              <a:latin typeface="+mn-ea"/>
            </a:rPr>
            <a:t>TEL : +82 43) 240-7700    FAX : +82 43)241-7771</a:t>
          </a:r>
        </a:p>
        <a:p>
          <a:pPr>
            <a:lnSpc>
              <a:spcPts val="1500"/>
            </a:lnSpc>
          </a:pPr>
          <a:r>
            <a:rPr lang="en-US" altLang="ko-KR" sz="1200" b="1">
              <a:latin typeface="+mn-ea"/>
            </a:rPr>
            <a:t>http://www.ecopro.co.kr</a:t>
          </a:r>
          <a:endParaRPr lang="ko-KR" altLang="en-US" sz="1200" b="1">
            <a:latin typeface="+mn-ea"/>
          </a:endParaRPr>
        </a:p>
      </xdr:txBody>
    </xdr:sp>
    <xdr:clientData/>
  </xdr:twoCellAnchor>
  <xdr:oneCellAnchor>
    <xdr:from>
      <xdr:col>1</xdr:col>
      <xdr:colOff>188322</xdr:colOff>
      <xdr:row>42</xdr:row>
      <xdr:rowOff>1217</xdr:rowOff>
    </xdr:from>
    <xdr:ext cx="3195854" cy="1500372"/>
    <xdr:sp macro="" textlink="">
      <xdr:nvSpPr>
        <xdr:cNvPr id="5" name="TextBox 4">
          <a:extLst>
            <a:ext uri="{FF2B5EF4-FFF2-40B4-BE49-F238E27FC236}">
              <a16:creationId xmlns:a16="http://schemas.microsoft.com/office/drawing/2014/main" id="{B1453D5B-F29C-40A2-9ABB-263A12BFA8D5}"/>
            </a:ext>
          </a:extLst>
        </xdr:cNvPr>
        <xdr:cNvSpPr txBox="1"/>
      </xdr:nvSpPr>
      <xdr:spPr>
        <a:xfrm>
          <a:off x="321672" y="11650292"/>
          <a:ext cx="3195854" cy="1500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latin typeface="+mn-ea"/>
              <a:ea typeface="+mn-ea"/>
            </a:rPr>
            <a:t>※ REMARK</a:t>
          </a:r>
        </a:p>
        <a:p>
          <a:r>
            <a:rPr lang="en-US" altLang="ko-KR" sz="1100" b="1">
              <a:latin typeface="+mn-ea"/>
              <a:ea typeface="+mn-ea"/>
            </a:rPr>
            <a:t>  1) </a:t>
          </a:r>
          <a:r>
            <a:rPr lang="ko-KR" altLang="en-US" sz="1100" b="1">
              <a:latin typeface="+mn-ea"/>
              <a:ea typeface="+mn-ea"/>
            </a:rPr>
            <a:t>견적 외 사항 제외 </a:t>
          </a:r>
          <a:endParaRPr lang="en-US" altLang="ko-KR" sz="1100" b="1">
            <a:latin typeface="+mn-ea"/>
            <a:ea typeface="+mn-ea"/>
          </a:endParaRPr>
        </a:p>
        <a:p>
          <a:r>
            <a:rPr lang="en-US" altLang="ko-KR" sz="1100" b="1" baseline="0">
              <a:latin typeface="+mn-ea"/>
              <a:ea typeface="+mn-ea"/>
            </a:rPr>
            <a:t>  2) </a:t>
          </a:r>
          <a:r>
            <a:rPr lang="ko-KR" altLang="en-US" sz="1100" b="1" baseline="0">
              <a:latin typeface="+mn-ea"/>
              <a:ea typeface="+mn-ea"/>
            </a:rPr>
            <a:t>납기 </a:t>
          </a:r>
          <a:r>
            <a:rPr lang="en-US" altLang="ko-KR" sz="1100" b="1" baseline="0">
              <a:latin typeface="+mn-ea"/>
              <a:ea typeface="+mn-ea"/>
            </a:rPr>
            <a:t>: </a:t>
          </a:r>
          <a:r>
            <a:rPr lang="ko-KR" altLang="en-US" sz="1100" b="1" baseline="0">
              <a:latin typeface="+mn-ea"/>
              <a:ea typeface="+mn-ea"/>
            </a:rPr>
            <a:t>추후 협의</a:t>
          </a:r>
          <a:endParaRPr lang="en-US" altLang="ko-KR" sz="1100" b="1" baseline="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1" baseline="0">
              <a:latin typeface="+mn-ea"/>
              <a:ea typeface="+mn-ea"/>
            </a:rPr>
            <a:t>  3) </a:t>
          </a:r>
          <a:r>
            <a:rPr lang="ko-KR" altLang="ko-KR" sz="1100" b="1">
              <a:solidFill>
                <a:schemeClr val="tx1"/>
              </a:solidFill>
              <a:effectLst/>
              <a:latin typeface="+mn-lt"/>
              <a:ea typeface="+mn-ea"/>
              <a:cs typeface="+mn-cs"/>
            </a:rPr>
            <a:t>유효기간 </a:t>
          </a:r>
          <a:r>
            <a:rPr lang="en-US" altLang="ko-KR" sz="1100" b="1">
              <a:solidFill>
                <a:schemeClr val="tx1"/>
              </a:solidFill>
              <a:effectLst/>
              <a:latin typeface="+mn-lt"/>
              <a:ea typeface="+mn-ea"/>
              <a:cs typeface="+mn-cs"/>
            </a:rPr>
            <a:t>: </a:t>
          </a:r>
          <a:r>
            <a:rPr lang="ko-KR" altLang="ko-KR" sz="1100" b="1">
              <a:solidFill>
                <a:schemeClr val="tx1"/>
              </a:solidFill>
              <a:effectLst/>
              <a:latin typeface="+mn-lt"/>
              <a:ea typeface="+mn-ea"/>
              <a:cs typeface="+mn-cs"/>
            </a:rPr>
            <a:t>견적일로부터 </a:t>
          </a:r>
          <a:r>
            <a:rPr lang="en-US" altLang="ko-KR" sz="1100" b="1">
              <a:solidFill>
                <a:schemeClr val="tx1"/>
              </a:solidFill>
              <a:effectLst/>
              <a:latin typeface="+mn-lt"/>
              <a:ea typeface="+mn-ea"/>
              <a:cs typeface="+mn-cs"/>
            </a:rPr>
            <a:t>1</a:t>
          </a:r>
          <a:r>
            <a:rPr lang="ko-KR" altLang="ko-KR" sz="1100" b="1">
              <a:solidFill>
                <a:schemeClr val="tx1"/>
              </a:solidFill>
              <a:effectLst/>
              <a:latin typeface="+mn-lt"/>
              <a:ea typeface="+mn-ea"/>
              <a:cs typeface="+mn-cs"/>
            </a:rPr>
            <a:t>개월</a:t>
          </a:r>
          <a:endParaRPr lang="ko-KR" altLang="ko-KR">
            <a:effectLst/>
          </a:endParaRPr>
        </a:p>
        <a:p>
          <a:endParaRPr lang="en-US" altLang="ko-KR" sz="1100" b="1">
            <a:latin typeface="+mn-ea"/>
            <a:ea typeface="+mn-ea"/>
          </a:endParaRPr>
        </a:p>
      </xdr:txBody>
    </xdr:sp>
    <xdr:clientData/>
  </xdr:oneCellAnchor>
  <xdr:oneCellAnchor>
    <xdr:from>
      <xdr:col>5</xdr:col>
      <xdr:colOff>1389515</xdr:colOff>
      <xdr:row>42</xdr:row>
      <xdr:rowOff>218946</xdr:rowOff>
    </xdr:from>
    <xdr:ext cx="2658292" cy="580159"/>
    <xdr:sp macro="" textlink="">
      <xdr:nvSpPr>
        <xdr:cNvPr id="6" name="TextBox 5">
          <a:extLst>
            <a:ext uri="{FF2B5EF4-FFF2-40B4-BE49-F238E27FC236}">
              <a16:creationId xmlns:a16="http://schemas.microsoft.com/office/drawing/2014/main" id="{242F25AC-C736-43F6-B941-08F9F7DDDA0D}"/>
            </a:ext>
          </a:extLst>
        </xdr:cNvPr>
        <xdr:cNvSpPr txBox="1"/>
      </xdr:nvSpPr>
      <xdr:spPr>
        <a:xfrm>
          <a:off x="3923165" y="11868021"/>
          <a:ext cx="2658292" cy="5801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1">
              <a:latin typeface="+mn-ea"/>
              <a:ea typeface="+mn-ea"/>
            </a:rPr>
            <a:t>4) </a:t>
          </a:r>
          <a:r>
            <a:rPr lang="ko-KR" altLang="en-US" sz="1100" b="1">
              <a:latin typeface="+mn-ea"/>
              <a:ea typeface="+mn-ea"/>
            </a:rPr>
            <a:t>담당자 </a:t>
          </a:r>
          <a:r>
            <a:rPr lang="en-US" altLang="ko-KR" sz="1100" b="1">
              <a:latin typeface="+mn-ea"/>
              <a:ea typeface="+mn-ea"/>
            </a:rPr>
            <a:t>: </a:t>
          </a:r>
          <a:r>
            <a:rPr lang="ko-KR" altLang="en-US" sz="1100" b="1">
              <a:latin typeface="+mn-ea"/>
              <a:ea typeface="+mn-ea"/>
            </a:rPr>
            <a:t>플랜트기술</a:t>
          </a:r>
          <a:r>
            <a:rPr lang="en-US" altLang="ko-KR" sz="1100" b="1">
              <a:latin typeface="+mn-ea"/>
              <a:ea typeface="+mn-ea"/>
            </a:rPr>
            <a:t>1</a:t>
          </a:r>
          <a:r>
            <a:rPr lang="ko-KR" altLang="en-US" sz="1100" b="1">
              <a:latin typeface="+mn-ea"/>
              <a:ea typeface="+mn-ea"/>
            </a:rPr>
            <a:t>팀 한태권 수석</a:t>
          </a:r>
          <a:endParaRPr lang="en-US" altLang="ko-KR" sz="1100" b="1">
            <a:latin typeface="+mn-ea"/>
            <a:ea typeface="+mn-ea"/>
          </a:endParaRPr>
        </a:p>
        <a:p>
          <a:r>
            <a:rPr lang="en-US" altLang="ko-KR" sz="1100" b="1">
              <a:latin typeface="+mn-ea"/>
              <a:ea typeface="+mn-ea"/>
            </a:rPr>
            <a:t>              </a:t>
          </a:r>
          <a:r>
            <a:rPr lang="en-US" altLang="ko-KR" sz="1100" b="1" baseline="0">
              <a:latin typeface="+mn-ea"/>
              <a:ea typeface="+mn-ea"/>
            </a:rPr>
            <a:t>  </a:t>
          </a:r>
          <a:r>
            <a:rPr lang="en-US" altLang="ko-KR" sz="1100" b="1">
              <a:latin typeface="+mn-ea"/>
              <a:ea typeface="+mn-ea"/>
            </a:rPr>
            <a:t>010-6754-0826</a:t>
          </a:r>
        </a:p>
      </xdr:txBody>
    </xdr:sp>
    <xdr:clientData/>
  </xdr:oneCellAnchor>
  <xdr:twoCellAnchor editAs="oneCell">
    <xdr:from>
      <xdr:col>5</xdr:col>
      <xdr:colOff>937260</xdr:colOff>
      <xdr:row>5</xdr:row>
      <xdr:rowOff>121920</xdr:rowOff>
    </xdr:from>
    <xdr:to>
      <xdr:col>9</xdr:col>
      <xdr:colOff>335768</xdr:colOff>
      <xdr:row>9</xdr:row>
      <xdr:rowOff>1716</xdr:rowOff>
    </xdr:to>
    <xdr:pic>
      <xdr:nvPicPr>
        <xdr:cNvPr id="7" name="그림 6">
          <a:extLst>
            <a:ext uri="{FF2B5EF4-FFF2-40B4-BE49-F238E27FC236}">
              <a16:creationId xmlns:a16="http://schemas.microsoft.com/office/drawing/2014/main" id="{3393A138-3853-4C73-8440-F592A0B3C54E}"/>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928110" y="1769745"/>
          <a:ext cx="3624433" cy="7656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28657</xdr:colOff>
      <xdr:row>0</xdr:row>
      <xdr:rowOff>54168</xdr:rowOff>
    </xdr:from>
    <xdr:to>
      <xdr:col>7</xdr:col>
      <xdr:colOff>1308651</xdr:colOff>
      <xdr:row>1</xdr:row>
      <xdr:rowOff>419769</xdr:rowOff>
    </xdr:to>
    <xdr:sp macro="" textlink="">
      <xdr:nvSpPr>
        <xdr:cNvPr id="2" name="Text Box 79">
          <a:extLst>
            <a:ext uri="{FF2B5EF4-FFF2-40B4-BE49-F238E27FC236}">
              <a16:creationId xmlns:a16="http://schemas.microsoft.com/office/drawing/2014/main" id="{0D9C5D7D-C5EC-443C-BB52-DD5ED823C766}"/>
            </a:ext>
          </a:extLst>
        </xdr:cNvPr>
        <xdr:cNvSpPr txBox="1">
          <a:spLocks noChangeArrowheads="1"/>
        </xdr:cNvSpPr>
      </xdr:nvSpPr>
      <xdr:spPr bwMode="auto">
        <a:xfrm>
          <a:off x="28657" y="54168"/>
          <a:ext cx="9985844" cy="537051"/>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ko-KR" altLang="en-US" sz="1600" b="1" i="0" u="none" strike="noStrike" baseline="0">
              <a:solidFill>
                <a:srgbClr val="000000"/>
              </a:solidFill>
              <a:latin typeface="돋움"/>
              <a:ea typeface="돋움"/>
            </a:rPr>
            <a:t>공 사 원 가 내 역 서</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1335405</xdr:colOff>
      <xdr:row>0</xdr:row>
      <xdr:rowOff>66675</xdr:rowOff>
    </xdr:from>
    <xdr:to>
      <xdr:col>11</xdr:col>
      <xdr:colOff>588645</xdr:colOff>
      <xdr:row>1</xdr:row>
      <xdr:rowOff>49557</xdr:rowOff>
    </xdr:to>
    <xdr:sp macro="" textlink="">
      <xdr:nvSpPr>
        <xdr:cNvPr id="2" name="Text Box 79">
          <a:extLst>
            <a:ext uri="{FF2B5EF4-FFF2-40B4-BE49-F238E27FC236}">
              <a16:creationId xmlns:a16="http://schemas.microsoft.com/office/drawing/2014/main" id="{C5712F43-8970-4128-AB2A-276F26D33CA0}"/>
            </a:ext>
          </a:extLst>
        </xdr:cNvPr>
        <xdr:cNvSpPr txBox="1">
          <a:spLocks noChangeArrowheads="1"/>
        </xdr:cNvSpPr>
      </xdr:nvSpPr>
      <xdr:spPr bwMode="auto">
        <a:xfrm>
          <a:off x="1335405" y="66675"/>
          <a:ext cx="12921615" cy="525807"/>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en-US" altLang="ko-KR" sz="1600" b="1" i="0" u="none" strike="noStrike" baseline="0">
              <a:solidFill>
                <a:srgbClr val="000000"/>
              </a:solidFill>
              <a:latin typeface="돋움"/>
              <a:ea typeface="돋움"/>
            </a:rPr>
            <a:t>De-Nox </a:t>
          </a:r>
          <a:r>
            <a:rPr lang="ko-KR" altLang="en-US" sz="1600" b="1" i="0" u="none" strike="noStrike" baseline="0">
              <a:solidFill>
                <a:srgbClr val="000000"/>
              </a:solidFill>
              <a:latin typeface="돋움"/>
              <a:ea typeface="돋움"/>
            </a:rPr>
            <a:t>설비 설치공사 견적 내역서</a:t>
          </a:r>
        </a:p>
      </xdr:txBody>
    </xdr:sp>
    <xdr:clientData/>
  </xdr:twoCellAnchor>
  <xdr:twoCellAnchor>
    <xdr:from>
      <xdr:col>0</xdr:col>
      <xdr:colOff>1335405</xdr:colOff>
      <xdr:row>0</xdr:row>
      <xdr:rowOff>66675</xdr:rowOff>
    </xdr:from>
    <xdr:to>
      <xdr:col>11</xdr:col>
      <xdr:colOff>588645</xdr:colOff>
      <xdr:row>1</xdr:row>
      <xdr:rowOff>49557</xdr:rowOff>
    </xdr:to>
    <xdr:sp macro="" textlink="">
      <xdr:nvSpPr>
        <xdr:cNvPr id="3" name="Text Box 79">
          <a:extLst>
            <a:ext uri="{FF2B5EF4-FFF2-40B4-BE49-F238E27FC236}">
              <a16:creationId xmlns:a16="http://schemas.microsoft.com/office/drawing/2014/main" id="{00B15991-D567-48DD-84ED-4BB6373540BF}"/>
            </a:ext>
          </a:extLst>
        </xdr:cNvPr>
        <xdr:cNvSpPr txBox="1">
          <a:spLocks noChangeArrowheads="1"/>
        </xdr:cNvSpPr>
      </xdr:nvSpPr>
      <xdr:spPr bwMode="auto">
        <a:xfrm>
          <a:off x="1335405" y="66675"/>
          <a:ext cx="12921615" cy="525807"/>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en-US" altLang="ko-KR" sz="1600" b="1" i="0" u="none" strike="noStrike" baseline="0">
              <a:solidFill>
                <a:srgbClr val="000000"/>
              </a:solidFill>
              <a:latin typeface="돋움"/>
              <a:ea typeface="돋움"/>
            </a:rPr>
            <a:t>De-Nox </a:t>
          </a:r>
          <a:r>
            <a:rPr lang="ko-KR" altLang="en-US" sz="1600" b="1" i="0" u="none" strike="noStrike" baseline="0">
              <a:solidFill>
                <a:srgbClr val="000000"/>
              </a:solidFill>
              <a:latin typeface="돋움"/>
              <a:ea typeface="돋움"/>
            </a:rPr>
            <a:t>설비 설치공사 견적 내역서</a:t>
          </a:r>
        </a:p>
      </xdr:txBody>
    </xdr:sp>
    <xdr:clientData/>
  </xdr:twoCellAnchor>
  <xdr:twoCellAnchor>
    <xdr:from>
      <xdr:col>0</xdr:col>
      <xdr:colOff>1335405</xdr:colOff>
      <xdr:row>0</xdr:row>
      <xdr:rowOff>66675</xdr:rowOff>
    </xdr:from>
    <xdr:to>
      <xdr:col>11</xdr:col>
      <xdr:colOff>588645</xdr:colOff>
      <xdr:row>1</xdr:row>
      <xdr:rowOff>49557</xdr:rowOff>
    </xdr:to>
    <xdr:sp macro="" textlink="">
      <xdr:nvSpPr>
        <xdr:cNvPr id="4" name="Text Box 79">
          <a:extLst>
            <a:ext uri="{FF2B5EF4-FFF2-40B4-BE49-F238E27FC236}">
              <a16:creationId xmlns:a16="http://schemas.microsoft.com/office/drawing/2014/main" id="{BC44AE88-ECF3-4F45-B112-DD063B4B9533}"/>
            </a:ext>
          </a:extLst>
        </xdr:cNvPr>
        <xdr:cNvSpPr txBox="1">
          <a:spLocks noChangeArrowheads="1"/>
        </xdr:cNvSpPr>
      </xdr:nvSpPr>
      <xdr:spPr bwMode="auto">
        <a:xfrm>
          <a:off x="1335405" y="66675"/>
          <a:ext cx="12921615" cy="525807"/>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eaLnBrk="1" latinLnBrk="0" hangingPunct="1"/>
          <a:r>
            <a:rPr lang="ko-KR" altLang="ko-KR" sz="1600" b="1">
              <a:effectLst/>
              <a:latin typeface="+mn-lt"/>
              <a:ea typeface="+mn-ea"/>
              <a:cs typeface="+mn-cs"/>
            </a:rPr>
            <a:t>통영에코파워</a:t>
          </a:r>
          <a:r>
            <a:rPr lang="en-US" altLang="ko-KR" sz="1600" b="1">
              <a:effectLst/>
              <a:latin typeface="+mn-lt"/>
              <a:ea typeface="+mn-ea"/>
              <a:cs typeface="+mn-cs"/>
            </a:rPr>
            <a:t> SCR </a:t>
          </a:r>
          <a:r>
            <a:rPr lang="ko-KR" altLang="ko-KR" sz="1600" b="1">
              <a:effectLst/>
              <a:latin typeface="+mn-lt"/>
              <a:ea typeface="+mn-ea"/>
              <a:cs typeface="+mn-cs"/>
            </a:rPr>
            <a:t>환경설비 개선 제안</a:t>
          </a:r>
          <a:r>
            <a:rPr lang="en-US" altLang="ko-KR" sz="1600" b="1" baseline="0">
              <a:effectLst/>
              <a:latin typeface="+mn-lt"/>
              <a:ea typeface="+mn-ea"/>
              <a:cs typeface="+mn-cs"/>
            </a:rPr>
            <a:t> (Direct Injection System)</a:t>
          </a:r>
          <a:endParaRPr lang="ko-KR" altLang="ko-KR" sz="2400">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ID-97\BID\QT003-SSY-&#52384;&#44264;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My%20Documents\Project%20&#44288;&#47532;(&#50689;&#50629;&#51088;&#47308;)\&#54644;&#50808;project\&#51473;&#44397;ASTRA\&#44204;&#51201;&#49436;\an%20estimate\gu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istrator\AppData\Local\Microsoft\Windows\INetCache\Content.Outlook\KUV5EFH4\YNC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XLS\ALL-XLS\ULSAN\PRIC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OFFICE%20&#50577;&#49885;\N&#36035;&#63963;-&#3288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608;&#49457;&#54984;\&#49688;&#47049;&#49328;&#52636;\&#51109;&#54788;&#44368;\PKIDS\SURYANG\DONGC\TOP-BS\D-CHPI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7768141\c\my-ducu\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ccs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EXCLWORK\PAITON\PROPOSAL\WOLVES\96'WORK\9610\TEC-IN\SCH-ALL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gc96072svr\public\AHTLIM\LIM\&#51076;&#54788;&#53468;\99&#50696;&#49328;-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44204;&#51201;\&#49340;&#49457;&#47932;&#49328;\adnoc\Part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44204;&#51201;\&#49340;&#49457;&#47932;&#49328;\adnoc\Part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11.119.49.2\work\&#44277;&#50976;Dir\CODE509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333;&#50689;-pc\&#49828;&#52884;\&#51088;&#47308;&#49892;\deitap&#44228;&#49328;\gas-pipe-dp-adiabati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48149;&#49688;&#44221;\&#44204;&#51201;\&#44552;&#54840;\&#44552;&#54840;\&#44277;&#49324;&#44288;&#47532;\&#51652;&#54665;&#54788;&#51109;\KCI&#49849;&#50517;&#44277;&#49324;\My%20Documents\JOB\DR-4\&#49892;&#54665;&#50696;&#49328;\&#53664;&#44148;&#44277;&#49324;.SIL"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44204;&#51201;\&#49340;&#49457;&#47932;&#49328;\adnoc\Ste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AN\EXCEL\ESTI\5m99(kuwait%20oil)\bs131\MECH\cost%20breakdown%20templat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CVD\CAPA\NEW-D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11.119.49.2\work\&#44277;&#50976;Dir\Lnx$LPS-A301(Excel)_.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BIOENERGY\ULSAN\Basic\word&amp;xls\account\&#44592;&#44228;&#49444;&#44228;%20other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44428;&#53469;&#51456;\8.1st%20SILICON\4.%20&#51060;&#51452;&#54788;%20&#44204;&#51201;%20file\&#44204;&#51201;&#4943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44277;&#50976;\&#53664;&#44148;inquiry\My%20Documents\MLNG-TIGA\&#44036;&#51217;&#48708;\&#44036;&#51217;%20TOTAL%20REV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51060;&#51452;&#54788;\&#54644;&#50808;&#44204;&#51201;\nexso\kandoo\&#49340;&#49457;&#44148;&#49444;&#50976;&#46041;&#50865;&#51228;&#52636;\&#51060;&#49692;&#44508;%20file\Project%20close%20out\&#44256;&#47140;&#50500;&#50672;(close-out)\&#44256;&#47140;&#50500;&#50672;%20&#44228;&#50557;&#45236;&#50669;&#4943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AN\EXCEL\ESTI\5m99(kuwait%20oil)\bs131\MECH\NGL4%20COST%20BREAKDOWN%20TMP%20REV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gc96072svr\public\96&#53804;&#51088;\&#49892;&#48324;&#53804;&#51088;\&#53804;&#51088;&#49892;&#483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1.&#44428;&#53469;&#51456;\1.PROJECT\1.&#51652;&#54665;%20PROJECT\94.&#49436;&#50872;&#48152;&#46020;&#52404;\2.&#50696;&#49328;&#44204;&#51201;\&#50696;&#49328;&#44204;&#512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My%20Documents\quot\samsung%20eng'\MOP\SHIL\JCC\My%20Documents\&#44592;&#49457;\&#50689;&#45224;&#54868;&#47141;%20&#44592;&#49457;&#45236;&#506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1.&#44428;&#53469;&#51456;\1.PROJECT\&#50864;&#51068;&#44148;&#52629;(LG&#49892;&#53944;&#47200;)\&#52280;&#44256;&#51088;&#47308;\&#50696;&#49328;&#44204;&#51201;&#49436;gw(&#45236;&#48512;&#5085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8j7j0\hc2\HOFFICE\TMP\~TMP2494.$$$\pum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44277;&#49324;&#48708;%20&#45236;&#50669;%20(&#44032;)"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My%20Documents\quot\samsung%20eng'\MOP\SHIL\JCC\&#49892;&#54665;&#50696;&#49328;(JCC).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48149;&#49688;&#44221;\&#44204;&#51201;\&#44552;&#54840;\&#44552;&#54840;\&#44277;&#49324;&#44288;&#47532;\&#51652;&#54665;&#54788;&#51109;\KCI&#49849;&#50517;&#44277;&#49324;\My%20Documents\JOB\FORM\&#46020;&#44553;&#49892;&#5466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My%20Documents\PROJECT\&#44397;&#45236;\&#44396;&#48120;LG&#49892;&#53944;&#47200;\&#50696;&#49328;&#44204;&#51201;&#49436;epi.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44608;&#51652;&#49437;\&#48148;&#53461;%20&#54868;&#47732;\OFFICE%20&#50577;&#49885;\N&#36035;&#63963;-&#3288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umc&#44204;&#51201;(&#54624;&#51613;)-&#49688;&#51221;(ne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y%20Documents\Estimation%20Information\&#47932;&#47049;&#49328;&#52636;%20&#48143;%20&#44204;&#51201;&#51088;&#47308;\BQ%20Calc%20Sheet(Pip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OR_SERVER1\03-BDev\3.1%20Proposal\3.1.2%20Microelectronics\1.1.2.2%202002%20Proposal\05xSeoul%20opto%20device\&#51088;&#46041;&#51228;&#5061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21;&#54788;&#51221;\&#51312;&#49457;&#47000;&#44284;&#51109;&#45784;\My%20Documents\&#44204;&#51201;\dipchal\96&#53804;&#51088;\&#49892;&#48324;&#53804;&#51088;\&#53804;&#51088;&#49892;&#4832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J073189\1&#44417;&#50896;&#44221;\96&#53804;&#51088;\&#49892;&#48324;&#53804;&#51088;\&#53804;&#51088;&#49892;&#4832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MIA\chin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EXCEL\1DATA\SUNGDA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1.&#44428;&#53469;&#51456;\1.PROJECT\2.&#54644;&#50808;%20Proj\1.&#51473;&#44397;&#49345;&#54616;&#51060;%20Belling%20CUB\2&#52264;(2002&#45380;)\1.%202&#52264;&#44204;&#51201;\1.&#53685;&#54633;&#44204;&#51201;(&#45236;&#48512;&#50857;)-Rev%2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44608;&#49345;&#51652;2&#51665;\&#48376;&#44288;&#51648;&#48152;&#48372;&#44053;(CC-02)\EMP\My%20Documents\HYUNWOO\&#44032;&#47932;&#49444;&#4422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9324;&#50857;&#51088;109\c\My%20Documents\&#49444;&#44228;&#49436;\MSOFFICE\HEXCEL\&#49892;&#54665;\&#49328;&#52636;&#44540;&#4414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My%20Documents\&#44204;&#51201;&#54016;\&#44397;&#45236;\&#53685;&#50689;&#44288;&#47144;\LNG&#44592;&#51648;\&#49340;&#49457;&#51473;&#44277;&#50629;\(10MBL)bill_of_materia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My%20Documents\&#50500;&#49340;-&#49444;&#487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My%20Documents\PROJECT\&#44397;&#45236;\ODT\2&#52264;\&#44204;&#51201;&#49436;&#49457;&#4602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49444;&#44228;&#49436;(AC-15)\&#44592;&#53440;&#48512;&#45824;(&#44608;&#51221;&#54788;&#51089;&#49457;)\&#44592;&#53440;&#48512;&#45824;&#49444;&#44228;&#49436;(&#51221;&#54788;)\&#44608;&#46041;&#50616;backup(20031208)\&#44592;&#53440;&#48512;&#45824;&#49444;&#44228;&#49436;(&#49688;&#51221;&#51473;)\&#49444;&#44228;&#49436;%20(&#51060;&#52649;&#44592;)\My%20Documents\HYUNWOO\&#44032;&#47932;&#49444;&#4422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I:\MY%20DATA(&#45236;&#48512;&#50857;)\&#44228;&#50557;&#44204;&#51201;(&#45236;&#48512;&#50857;-6&#50900;18&#51068;)&#50741;&#53664;&#46356;&#48148;&#51060;&#4982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yoosd\&#50689;&#44397;\&#49892;&#54665;&#45236;&#50669;&#49436;-&#50689;&#4439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My%20Documents\Project%20&#44288;&#47532;(&#50689;&#50629;&#51088;&#47308;)\&#54644;&#50808;project\&#51473;&#44397;ASTRA\&#44204;&#51201;&#49436;\an%20estimate\Book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My%20Documents\PROJECT\&#54644;&#50808;\&#45824;&#47564;WALSIN\&#44204;&#51201;&#49436;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er6\&#47196;&#52972;%20&#46356;&#49828;&#53356;%20(c)\Documents%20and%20Settings\&#48149;&#54984;&#48124;\My%20Documents\back-up(2001.11.20)\&#44204;&#51201;&#49436;\&#49457;&#46020;&#51060;&#50644;&#51648;\My%20Documents\&#46020;&#49884;5-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mail1.chol.com/&#44204;&#51201;/&#50724;&#51064;&#44540;/&#44204;&#51201;/&#44592;&#44228;&#44277;&#49324;/&#44552;&#54840;&#48120;&#50416;&#51060;/&#44204;&#51201;/Special%20item.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47928;&#49457;&#49696;\&#44204;&#51201;1\&#54620;&#44397;&#51473;&#44277;&#50629;\&#46020;&#48120;&#45768;&#52852;%20SAN%20PEDRO%20PROJECT\SANPEDRO.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yoosd\&#50689;&#44397;\YOO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49436;(&#49457;&#46020;&#50857;).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I:\&#12609;&#12596;&#12615;&#12601;&#12596;&#12615;&#12601;&#12596;&#12615;&#126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mail.onsan.s-oil.com/mail/cyh1445.nsf/(web$Inbox)/524B9DBF24BB2D9449256D6E002D8BB6/$FILE/INQ-MAINT-03-124.xls/BID-97/BID/QT003-SSY-&#52384;&#44264;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54532;&#47196;&#51229;&#53944;2002\&#51652;&#54644;&#49884;%20&#54644;&#51204;&#49324;&#52404;&#54744;&#44288;%20&#51204;&#49884;&#49444;&#44228;&#50857;&#50669;\&#49892;&#49884;&#49444;&#44228;\01%20&#49444;&#44228;&#50696;&#49328;&#45236;&#50669;&#49436;\OFFICE%20&#50577;&#49885;\N&#36035;&#63963;-&#3288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DATA\ESTM\&#44397;&#45236;&#44277;&#49324;\&#51648;&#50669;&#45212;&#48169;\&#44256;&#50577;&#49884;%20&#52628;&#44032;&#48176;&#44288;\&#45236;&#50669;&#4943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44277;&#50976;\abc.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My%20Documents\Project%20&#44288;&#47532;(&#50689;&#50629;&#51088;&#47308;)\&#54644;&#50808;project\&#51473;&#44397;ASTRA\&#44204;&#51201;&#49436;\an%20estimate\Astra%20Wuxi\An%20Estimate\&#45236;&#5066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46020;&#48120;&#45768;&#5335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8149;&#52285;&#49457;\SharedDocs\Documents%20and%20Settings\ParkCS\&#48148;&#53461;%20&#54868;&#47732;\PROJECT\2008&#45380;%20Pjt%20&#51652;&#54665;\&#45453;&#52629;+&#50672;&#49548;&#49444;&#48708;\&#54620;&#44397;&#53440;&#51060;&#50612;\&#45824;&#51204;&#44277;&#51109;\&#51221;&#47144;&#44277;&#51109;\&#44204;&#51201;&#44592;&#49696;&#49324;&#50577;&#49436;(2008%2007%2030)\PROPOSAL\&#44204;&#51201;&#44592;&#49696;&#49324;&#50577;&#49436;0730\&#51221;&#47144;&#44277;&#51221;%20&#44204;&#51201;&#49436;0802\&#50732;&#48764;&#48120;\WORK\2005\BIOFILTER%20SYSTEM\&#45236;&#50669;&#49436;\KIHCA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ENE-CAL"/>
      <sheetName val="QT003-SSY-철골3"/>
      <sheetName val="DRUM"/>
      <sheetName val="2.냉난방설비공사"/>
      <sheetName val="7.자동제어공사"/>
      <sheetName val="18 BL 배관 내역"/>
      <sheetName val="LEGEND"/>
      <sheetName val="페인트"/>
      <sheetName val="AN-01"/>
      <sheetName val="노무비"/>
      <sheetName val="PIPE"/>
      <sheetName val="FLANGE"/>
      <sheetName val="VALVE"/>
      <sheetName val="2_냉난방설비공사"/>
      <sheetName val="7_자동제어공사"/>
      <sheetName val="18_BL_배관_내역"/>
      <sheetName val="예가표"/>
      <sheetName val="일위대가(계측기설치)"/>
      <sheetName val="NO.3.PTA PLANT SD COST"/>
      <sheetName val="의왕"/>
      <sheetName val="A (2)"/>
      <sheetName val="FC-101"/>
      <sheetName val="1100"/>
      <sheetName val="SILO"/>
      <sheetName val="datasheet"/>
      <sheetName val="기준원단위"/>
      <sheetName val="CASH"/>
      <sheetName val="PC%계산"/>
      <sheetName val="Sheet1"/>
      <sheetName val="목표세부명세"/>
      <sheetName val="일위대가(가설)"/>
      <sheetName val="Sheet6"/>
      <sheetName val="하자보수"/>
      <sheetName val="현장별공사원가(2012.12"/>
      <sheetName val="공사수입"/>
      <sheetName val="외화환산"/>
      <sheetName val="공동도급"/>
      <sheetName val="재무상태표"/>
      <sheetName val="손익계산서"/>
      <sheetName val="외화매출"/>
      <sheetName val="환율정보"/>
      <sheetName val="TTL"/>
      <sheetName val="도면자료제출일정"/>
      <sheetName val="INSTR"/>
      <sheetName val="Cost Breakdown"/>
      <sheetName val="연돌일위집계"/>
      <sheetName val="LOADING"/>
      <sheetName val="Hauptdaten"/>
      <sheetName val="EXPAN-1"/>
      <sheetName val="Civil"/>
      <sheetName val="DB_Acess"/>
      <sheetName val="노임"/>
      <sheetName val="95신규호표"/>
      <sheetName val="입찰내역 발주처 양식"/>
      <sheetName val="시약구매"/>
      <sheetName val="Takeoff"/>
      <sheetName val="MIBK원단위"/>
      <sheetName val="운반"/>
      <sheetName val="품셈표"/>
      <sheetName val="BQMPALOC"/>
      <sheetName val="ELECTRIC"/>
      <sheetName val="CTEMCOST"/>
      <sheetName val="SCHEDULE"/>
      <sheetName val="L V Separator"/>
      <sheetName val="CAL1"/>
      <sheetName val="Sheet2"/>
      <sheetName val="OtherKPI"/>
      <sheetName val="inter"/>
      <sheetName val="#REF"/>
      <sheetName val="실행내역서 "/>
      <sheetName val="M-MG1"/>
      <sheetName val="분석"/>
      <sheetName val="CODE"/>
      <sheetName val="단가"/>
      <sheetName val="Input"/>
      <sheetName val="calc"/>
      <sheetName val="Price Breakdown (IBCI)"/>
      <sheetName val="HO Cost"/>
      <sheetName val="3rd party inspection(1)"/>
      <sheetName val="Training"/>
      <sheetName val="Vendor Sup."/>
      <sheetName val="MH"/>
      <sheetName val="Owner's Office"/>
      <sheetName val=""/>
      <sheetName val="표지"/>
      <sheetName val="은행"/>
      <sheetName val="찍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기준FACTOR"/>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4-2gua공정(원)"/>
      <sheetName val="4-2gua내역(원)"/>
      <sheetName val="4-2gua공정($)"/>
      <sheetName val="4-2gua내역($)"/>
      <sheetName val="Sheet1"/>
      <sheetName val="gua"/>
      <sheetName val="금액내역서"/>
      <sheetName val="4-2g⃈_x0015_내역($)"/>
      <sheetName val="PUMP"/>
      <sheetName val="장비당단가 (1)"/>
      <sheetName val="노임이"/>
      <sheetName val="F4-F7"/>
      <sheetName val="FAB별"/>
      <sheetName val="일위대가표"/>
      <sheetName val="2-2.매출분석"/>
      <sheetName val="설계조건"/>
      <sheetName val="FACTOR"/>
      <sheetName val="내역서"/>
      <sheetName val="지수"/>
      <sheetName val="일위대가"/>
      <sheetName val="인사자료총집계"/>
      <sheetName val="도급"/>
    </sheetNames>
    <sheetDataSet>
      <sheetData sheetId="0" refreshError="1">
        <row r="5">
          <cell r="D5">
            <v>1</v>
          </cell>
        </row>
        <row r="6">
          <cell r="D6">
            <v>1</v>
          </cell>
        </row>
        <row r="7">
          <cell r="D7">
            <v>1</v>
          </cell>
        </row>
        <row r="8">
          <cell r="D8">
            <v>1.5580000000000001</v>
          </cell>
        </row>
        <row r="9">
          <cell r="D9">
            <v>1.5580000000000001</v>
          </cell>
        </row>
        <row r="11">
          <cell r="D11">
            <v>1300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관"/>
      <sheetName val="YNCC"/>
    </sheetNames>
    <definedNames>
      <definedName name="__NEW1" refersTo="#REF!"/>
      <definedName name="__ss1" refersTo="#REF!"/>
      <definedName name="_NEW1" refersTo="#REF!"/>
      <definedName name="_ss1" refersTo="#REF!"/>
      <definedName name="choi" refersTo="#REF!"/>
      <definedName name="CRANE" refersTo="#REF!"/>
      <definedName name="NEW" refersTo="#REF!"/>
      <definedName name="pi" refersTo="#REF!"/>
      <definedName name="sb" refersTo="#REF!"/>
      <definedName name="ss" refersTo="#REF!"/>
      <definedName name="길" refersTo="#REF!"/>
      <definedName name="ㄴ" refersTo="#REF!"/>
      <definedName name="ㄷ" refersTo="#REF!"/>
      <definedName name="ㄹ" refersTo="#REF!"/>
      <definedName name="ㅇ" refersTo="#REF!"/>
      <definedName name="야" refersTo="#REF!"/>
      <definedName name="여" refersTo="#REF!"/>
      <definedName name="은" refersTo="#REF!"/>
      <definedName name="이" refersTo="#REF!"/>
      <definedName name="ㅈ" refersTo="#REF!"/>
      <definedName name="ㅊ" refersTo="#REF!"/>
      <definedName name="철탑부지" refersTo="#REF!"/>
      <definedName name="쵸" refersTo="#REF!"/>
      <definedName name="ㅌ" refersTo="#REF!"/>
      <definedName name="ㅏ" refersTo="#REF!"/>
      <definedName name="ㅐ" refersTo="#REF!"/>
      <definedName name="ㅜ" refersTo="#REF!"/>
      <definedName name="ㅣ" refersTo="#REF!"/>
    </defined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공문"/>
      <sheetName val="갑지(추정)"/>
      <sheetName val="01"/>
      <sheetName val="설계예산서"/>
      <sheetName val="노원열병합  건축공사기성내역서"/>
      <sheetName val="㽓다리수량"/>
      <sheetName val="실행(1)"/>
      <sheetName val="단가표"/>
      <sheetName val="목표세부명세"/>
      <sheetName val="PIPE내역(FCN)"/>
      <sheetName val="금액내역서"/>
      <sheetName val="SG"/>
      <sheetName val="건축집계"/>
      <sheetName val="배관(TDI ISBL)"/>
      <sheetName val="DRUM"/>
      <sheetName val="일위대가-목록"/>
      <sheetName val="결과조달"/>
      <sheetName val="가시설흙막이"/>
      <sheetName val="직재"/>
      <sheetName val="TOWER 12TON"/>
      <sheetName val="TOWER 10TON"/>
      <sheetName val="품셈"/>
      <sheetName val="당초"/>
      <sheetName val="노임단가"/>
      <sheetName val="PBS"/>
      <sheetName val="0226"/>
      <sheetName val="연돌내역일위"/>
      <sheetName val="3.공통공사대비"/>
      <sheetName val="실행"/>
      <sheetName val="설치공사"/>
      <sheetName val="동축분 종합설계서"/>
      <sheetName val="전기일위대가"/>
      <sheetName val="소비자가"/>
      <sheetName val="TDI ISBL"/>
      <sheetName val="청산공사"/>
      <sheetName val="예가표"/>
      <sheetName val="B"/>
      <sheetName val="h-013211-2"/>
      <sheetName val="1ST"/>
      <sheetName val="IW-LIST"/>
      <sheetName val="APT"/>
      <sheetName val="S003031"/>
      <sheetName val="기계설비"/>
      <sheetName val="Sheet5"/>
      <sheetName val=" 견적서"/>
      <sheetName val="공사비증감"/>
      <sheetName val="월별cashflow"/>
      <sheetName val="사업검토"/>
      <sheetName val="월별경비집행"/>
      <sheetName val="6PILE  (돌출)"/>
      <sheetName val="안국연체"/>
      <sheetName val="현장경상비"/>
      <sheetName val="6호기"/>
      <sheetName val="유림골조"/>
      <sheetName val="Sheet4"/>
      <sheetName val="전기"/>
      <sheetName val="CAT_5"/>
      <sheetName val="단중"/>
      <sheetName val="품셈표"/>
      <sheetName val="1단계"/>
      <sheetName val="PIPE"/>
      <sheetName val="FLANGE"/>
      <sheetName val="VALVE"/>
      <sheetName val="일위대가(여기까지)"/>
      <sheetName val="misc"/>
      <sheetName val="집계"/>
      <sheetName val="#REF"/>
      <sheetName val="기본일위"/>
      <sheetName val="직노"/>
      <sheetName val="I一般比"/>
      <sheetName val="내역서2안"/>
      <sheetName val="설직재-1"/>
      <sheetName val="설계예시"/>
      <sheetName val="기준"/>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C3"/>
      <sheetName val="공사내역"/>
      <sheetName val="D-3109"/>
      <sheetName val="내"/>
      <sheetName val="TB-내역서"/>
      <sheetName val="Summary"/>
      <sheetName val="24V"/>
      <sheetName val="노임"/>
      <sheetName val="도면자료제출일정"/>
      <sheetName val="C-301E~305E"/>
      <sheetName val="도"/>
      <sheetName val="견적"/>
      <sheetName val="견적조건"/>
      <sheetName val="공통비총괄표"/>
      <sheetName val="의뢰서"/>
      <sheetName val="할증 "/>
      <sheetName val="금융비용"/>
      <sheetName val="nde_request"/>
      <sheetName val="지급자재"/>
      <sheetName val="수금 "/>
      <sheetName val="12월정산수금현황"/>
      <sheetName val="수정시산표"/>
      <sheetName val="BACKDATA"/>
      <sheetName val="A"/>
      <sheetName val="외화"/>
      <sheetName val="2 카드채권(대출포함)"/>
      <sheetName val="자금동향"/>
      <sheetName val="DATA2000"/>
      <sheetName val="수주전망영업부"/>
      <sheetName val="자금신청서"/>
      <sheetName val="내역서(총)"/>
      <sheetName val="세대내부"/>
      <sheetName val="조건표"/>
      <sheetName val="설계조건"/>
      <sheetName val="NYS"/>
      <sheetName val="일반부표"/>
      <sheetName val="품셈TABLE"/>
      <sheetName val="모니터"/>
      <sheetName val="건축(광주)"/>
      <sheetName val="ELECTRIC"/>
      <sheetName val="CTEMCOST"/>
      <sheetName val="SCHEDULE"/>
      <sheetName val="입상내역"/>
      <sheetName val="수문일위1"/>
      <sheetName val="제직재"/>
      <sheetName val="제-노임"/>
      <sheetName val="표지"/>
      <sheetName val="일위"/>
      <sheetName val="금융"/>
      <sheetName val="TRE TABLE"/>
      <sheetName val="DATA"/>
      <sheetName val="내역서(증축)"/>
      <sheetName val="부표총괄"/>
      <sheetName val="CALCULATION"/>
      <sheetName val="CONC SLAB"/>
      <sheetName val="수로단위수량"/>
      <sheetName val="건축-물가변동"/>
      <sheetName val="기준표"/>
      <sheetName val="카메라(TO양식변경)"/>
      <sheetName val="가격조사서"/>
      <sheetName val="표지 (2)"/>
      <sheetName val="BQ"/>
      <sheetName val="trf(36%)"/>
      <sheetName val="SOS_PLC &amp; Panel"/>
      <sheetName val="예정(3)"/>
      <sheetName val="동원(3)"/>
      <sheetName val="수입"/>
      <sheetName val="AC포장수량"/>
      <sheetName val="경산"/>
      <sheetName val="공사현황"/>
      <sheetName val="code"/>
      <sheetName val="공종별 공사비변동"/>
      <sheetName val="J直材4"/>
      <sheetName val="Y-WORK"/>
      <sheetName val="기계경비 (2)"/>
      <sheetName val="부속동"/>
      <sheetName val="개요"/>
      <sheetName val="갑지"/>
      <sheetName val="MINA BM"/>
      <sheetName val="집계표"/>
      <sheetName val="원가계산서(남측)"/>
      <sheetName val="Back data Table"/>
      <sheetName val="REFTABLE"/>
      <sheetName val="INSTR"/>
      <sheetName val="동축분_종합설계서"/>
      <sheetName val="3_공통공사대비"/>
      <sheetName val="TDI_ISBL"/>
      <sheetName val="MINA_BM"/>
      <sheetName val="ERECIN"/>
      <sheetName val="일위대가(계측기설치)"/>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Sheet9"/>
      <sheetName val="발전기"/>
      <sheetName val="간선"/>
      <sheetName val="전기자료"/>
      <sheetName val="1.설계기준"/>
      <sheetName val="0708"/>
      <sheetName val="국내"/>
      <sheetName val="P.M 별"/>
      <sheetName val="NAMES"/>
      <sheetName val="D-623D"/>
      <sheetName val="TCF"/>
      <sheetName val="人力"/>
      <sheetName val="分析2-安装包"/>
      <sheetName val="97 사업추정(WEKI)"/>
      <sheetName val="7.1유효폭"/>
      <sheetName val="단가조사"/>
      <sheetName val="COVER-P"/>
      <sheetName val="BQMPALOC"/>
      <sheetName val="PIPE(UG)내역"/>
      <sheetName val="내역서"/>
      <sheetName val="일위대가목차"/>
      <sheetName val="교각계산"/>
      <sheetName val="날개벽수량표"/>
      <sheetName val="VV보온LINK"/>
      <sheetName val="FIT보온LINK"/>
      <sheetName val="대림경상68억"/>
      <sheetName val="배수내역"/>
      <sheetName val="현장관리비"/>
      <sheetName val="노임이"/>
      <sheetName val="골프장예산"/>
      <sheetName val="실행내역서 "/>
      <sheetName val="설계명세서"/>
      <sheetName val="IMPEADENCE MAP 취수장"/>
      <sheetName val="매출"/>
      <sheetName val="Civil"/>
      <sheetName val="DB@Acess"/>
      <sheetName val="본선 토공 분배표"/>
      <sheetName val="0000"/>
      <sheetName val="다이꾸"/>
      <sheetName val="왕십리방향"/>
      <sheetName val="PAY"/>
      <sheetName val="역T형"/>
      <sheetName val="사통"/>
      <sheetName val="판가반영"/>
      <sheetName val="토공정보"/>
      <sheetName val="두앙"/>
      <sheetName val="sum1 (2)"/>
      <sheetName val="사업부배부A"/>
      <sheetName val="KMX(현대토목)"/>
      <sheetName val="Supplement2"/>
      <sheetName val="LinerWt"/>
      <sheetName val="만기"/>
      <sheetName val="단면 (2)"/>
      <sheetName val="계정"/>
      <sheetName val="부하계산서"/>
      <sheetName val="TG9504"/>
      <sheetName val="calc"/>
      <sheetName val="수량산출서 갑지"/>
      <sheetName val="프랜트면허"/>
      <sheetName val="5.소재"/>
      <sheetName val="공통비(전체)"/>
      <sheetName val="절단표"/>
      <sheetName val="20-25"/>
      <sheetName val="1,2,3,4,5단위수량"/>
      <sheetName val="기초자료입력"/>
      <sheetName val="설비원가"/>
      <sheetName val="손익분석"/>
      <sheetName val="설계명세서(선로)"/>
      <sheetName val="일위대가 "/>
      <sheetName val="WELDING POINT 단가"/>
      <sheetName val="GRDBS"/>
      <sheetName val="앉음벽 (2)"/>
      <sheetName val="cable-data"/>
      <sheetName val="Insts"/>
      <sheetName val="costing_CV"/>
      <sheetName val="costing_ESDV"/>
      <sheetName val="costing_FE"/>
      <sheetName val="costing_Misc"/>
      <sheetName val="costing_MOV"/>
      <sheetName val="costing_Press"/>
      <sheetName val="현장지지물물량"/>
      <sheetName val="터파기및재료"/>
      <sheetName val="BOX(1.5X1.5)"/>
      <sheetName val="세부내역"/>
      <sheetName val="DB"/>
      <sheetName val="마감사양"/>
      <sheetName val="토공실행"/>
      <sheetName val="외주계약현황"/>
      <sheetName val="자재계약내용"/>
      <sheetName val="단가표 "/>
      <sheetName val="견"/>
      <sheetName val="FORM-0"/>
      <sheetName val="연수동"/>
      <sheetName val="CODE (2)"/>
      <sheetName val="유림총괄"/>
      <sheetName val="조명시설"/>
      <sheetName val="MTO REV.2(ARMOR)"/>
      <sheetName val="교각1"/>
      <sheetName val="BSD (2)"/>
      <sheetName val="코드"/>
      <sheetName val="내역"/>
      <sheetName val="COST"/>
      <sheetName val="을"/>
      <sheetName val="기본사항"/>
      <sheetName val="을-ATYPE"/>
      <sheetName val="정보"/>
      <sheetName val="입력"/>
      <sheetName val="Project_Brief1"/>
      <sheetName val="Breakdown"/>
      <sheetName val="금액집계"/>
      <sheetName val="ITEM"/>
      <sheetName val="1공구(을)"/>
      <sheetName val="UnitRate"/>
      <sheetName val="입찰내역 발주처 양식"/>
      <sheetName val="산거각호표"/>
      <sheetName val="대로근거"/>
      <sheetName val="중로근거"/>
      <sheetName val="충돌 내용"/>
      <sheetName val="오산갈곳"/>
      <sheetName val="연습"/>
      <sheetName val="방배2E"/>
      <sheetName val="연부97-1"/>
      <sheetName val="21301동"/>
      <sheetName val="부하(성남)"/>
      <sheetName val="BACKDA_x0014_A"/>
      <sheetName val="조립지적"/>
      <sheetName val="총물량"/>
      <sheetName val="공사비예산서(토목분)"/>
      <sheetName val="관로토공집계표"/>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공사비SUM"/>
      <sheetName val="Inert Balls"/>
      <sheetName val="Cash2"/>
      <sheetName val="Z"/>
      <sheetName val="HRB"/>
      <sheetName val="12CGOU"/>
      <sheetName val="PRO_DCI"/>
      <sheetName val="INST_DCI"/>
      <sheetName val="HVAC_DCI"/>
      <sheetName val="PIPE_DCI"/>
      <sheetName val="TTL"/>
      <sheetName val="PIPE-HOT"/>
      <sheetName val="집계표(OPTION)"/>
      <sheetName val="sum"/>
      <sheetName val="Code_INTools"/>
      <sheetName val="Default_Magics"/>
      <sheetName val="Code_Magics"/>
      <sheetName val="0124"/>
      <sheetName val="Subcon A"/>
      <sheetName val="jobhist"/>
      <sheetName val="BOQ for HRSG &amp; BOP-mech."/>
      <sheetName val="Desal-E&amp;I"/>
      <sheetName val="BOQ for GTG &amp; STG-mech."/>
      <sheetName val="DHEQSUPT"/>
      <sheetName val="N賃率-職"/>
      <sheetName val="COPING"/>
      <sheetName val="ilch"/>
      <sheetName val="토공(완충)"/>
      <sheetName val="3BL공동구 수량"/>
      <sheetName val="방배동내역(리라)"/>
      <sheetName val="밸브설치"/>
      <sheetName val="경상비"/>
      <sheetName val="실행대비"/>
      <sheetName val="공사개요"/>
      <sheetName val="청천내"/>
      <sheetName val="도급내역"/>
      <sheetName val="연결임시"/>
      <sheetName val="구조물공"/>
      <sheetName val="2000년1차"/>
      <sheetName val="투찰추정"/>
      <sheetName val="도급내역5+800"/>
      <sheetName val="수목표준대가"/>
      <sheetName val="JUCKEYK"/>
      <sheetName val="부대공"/>
      <sheetName val="도급금액"/>
      <sheetName val="재노경"/>
      <sheetName val="일위대가(가설)"/>
      <sheetName val="단가"/>
      <sheetName val="배수공"/>
      <sheetName val="설계"/>
      <sheetName val="BID"/>
      <sheetName val="포장공"/>
      <sheetName val="일위대가(1)"/>
      <sheetName val="총공사내역서"/>
      <sheetName val="200"/>
      <sheetName val="토공"/>
      <sheetName val="도급"/>
      <sheetName val="설 계"/>
      <sheetName val="입찰안"/>
      <sheetName val="WORK"/>
      <sheetName val="일반공사"/>
      <sheetName val="MOTOR"/>
      <sheetName val="충주"/>
      <sheetName val="입출재고현황 (2)"/>
      <sheetName val="구조물철거타공정이월"/>
      <sheetName val="대비표"/>
      <sheetName val="그래프(안전환경)"/>
      <sheetName val="수금_"/>
      <sheetName val="2_카드채권(대출포함)"/>
      <sheetName val="Cable경로수정_SRS_제출_견적내역(20120215)"/>
      <sheetName val="INNER_FULE2"/>
      <sheetName val="00년_1월2"/>
      <sheetName val="00년_2월2"/>
      <sheetName val="00년_3월2"/>
      <sheetName val="00년_4월2"/>
      <sheetName val="00년_5월2"/>
      <sheetName val="00년_7월2"/>
      <sheetName val="00년_8월2"/>
      <sheetName val="00년_9월2"/>
      <sheetName val="노원열병합__건축공사기성내역서2"/>
      <sheetName val="배관(TDI_ISBL)2"/>
      <sheetName val="TOWER_12TON2"/>
      <sheetName val="TOWER_10TON2"/>
      <sheetName val="3_공통공사대비1"/>
      <sheetName val="_견적서1"/>
      <sheetName val="TDI_ISBL1"/>
      <sheetName val="집계표(덕화)"/>
      <sheetName val="3.PIPING"/>
      <sheetName val="단중표_ST"/>
      <sheetName val="기계내역"/>
      <sheetName val="9-1차이내역"/>
      <sheetName val="MIBK원단위"/>
      <sheetName val="KUNGDEVI"/>
      <sheetName val="PRICES"/>
      <sheetName val="변경집계표"/>
      <sheetName val="Base_Data"/>
      <sheetName val="PROCURE"/>
      <sheetName val="wagerate"/>
      <sheetName val="Total"/>
      <sheetName val="cable"/>
      <sheetName val="Appendix 2"/>
      <sheetName val="Appendix 3"/>
      <sheetName val="Appendix 4(a)_Civil"/>
      <sheetName val="Appendix 4(c)_Piping"/>
      <sheetName val="Appendix 4(b)_Elec."/>
      <sheetName val="临时设施费"/>
      <sheetName val="SW"/>
      <sheetName val="Summary12"/>
      <sheetName val="Summary11"/>
      <sheetName val="OVERALL-PKG#1"/>
      <sheetName val="SHL"/>
      <sheetName val="22-Plant"/>
      <sheetName val="Supervision List"/>
      <sheetName val="CostDB"/>
      <sheetName val="BQ_Process "/>
      <sheetName val="BQ_Building "/>
      <sheetName val="fire alarm"/>
      <sheetName val="Tank Elec. BM "/>
      <sheetName val="132kv.BM "/>
      <sheetName val="정산내역"/>
      <sheetName val="PROCESS"/>
      <sheetName val="hvac(제어동)"/>
      <sheetName val="MAT_N048"/>
      <sheetName val="허용전류-IEC"/>
      <sheetName val="허용전류-IEC DATA"/>
      <sheetName val="일위대가_여기까지_"/>
      <sheetName val="9GNG운반"/>
      <sheetName val="공통부대비"/>
      <sheetName val="사진"/>
      <sheetName val="slipsumpR"/>
      <sheetName val="산출내역서집계표"/>
      <sheetName val="내역1"/>
      <sheetName val="별표 "/>
      <sheetName val="설계내역서"/>
      <sheetName val="Engrg Est"/>
      <sheetName val="EQUIPMENT"/>
      <sheetName val="Gia vat tu"/>
      <sheetName val="동축분_종합설계서1"/>
      <sheetName val="MINA_BM1"/>
      <sheetName val="Back_data_Table"/>
      <sheetName val="CONC_SLAB"/>
      <sheetName val="SOS_PLC_&amp;_Panel"/>
      <sheetName val="할증_"/>
      <sheetName val="1_설계기준"/>
      <sheetName val="6PILE__(돌출)"/>
      <sheetName val="97_사업추정(WEKI)"/>
      <sheetName val="7_1유효폭"/>
      <sheetName val="실행내역서_"/>
      <sheetName val="IMPEADENCE_MAP_취수장"/>
      <sheetName val="특기사항"/>
      <sheetName val="배관 PANIT 물량"/>
      <sheetName val="품"/>
      <sheetName val="공정기계"/>
      <sheetName val="계장"/>
      <sheetName val="토목"/>
      <sheetName val="건축"/>
      <sheetName val="CONCRETE"/>
      <sheetName val="계수시트"/>
      <sheetName val="원가계산서"/>
      <sheetName val="물량표(신)"/>
      <sheetName val="AILC004"/>
      <sheetName val="견적단가"/>
      <sheetName val="자재비산출(perlite)"/>
      <sheetName val="BAND(200)"/>
      <sheetName val="OUTER AREA(겹침없음)"/>
      <sheetName val="EG-09"/>
      <sheetName val="A-100전제"/>
      <sheetName val="Summary Sheets"/>
      <sheetName val="CIVIL4"/>
      <sheetName val="90EL JACKET"/>
      <sheetName val="JACKET(50,50)"/>
      <sheetName val="첨부_예산"/>
      <sheetName val="일위(PN)"/>
      <sheetName val="갑지1"/>
      <sheetName val="CAL1"/>
      <sheetName val="BEND LOSS"/>
      <sheetName val="F801"/>
      <sheetName val=" 공사개요.xlsx"/>
      <sheetName val="cal"/>
      <sheetName val="COVER"/>
      <sheetName val="Cost Report-B&amp;V Det"/>
      <sheetName val="00년 湓畃"/>
      <sheetName val="She_x000c_+_x0000_"/>
      <sheetName val=""/>
      <sheetName val="자재집계"/>
      <sheetName val="삼광기업0120"/>
      <sheetName val="설산1.나"/>
      <sheetName val="본사S"/>
      <sheetName val="산근"/>
      <sheetName val="전계가"/>
      <sheetName val="업무담당"/>
      <sheetName val="MTP"/>
      <sheetName val="단가산출"/>
      <sheetName val="음료실행"/>
      <sheetName val="실행(표지,갑,을)"/>
      <sheetName val="실행(ALT1)"/>
      <sheetName val="동원인원"/>
      <sheetName val="원본"/>
      <sheetName val="EQUIPMENT -2"/>
      <sheetName val="CD,TH,TP"/>
      <sheetName val="Tong Hop"/>
      <sheetName val="He 06"/>
      <sheetName val="Nam 2004"/>
      <sheetName val="Nam 2003"/>
      <sheetName val="Nam 2005"/>
      <sheetName val="Nam 2002"/>
      <sheetName val="XL4Poppy"/>
      <sheetName val="ASCEandUBC"/>
      <sheetName val="인원현황"/>
      <sheetName val="name"/>
      <sheetName val="공내역"/>
      <sheetName val="손익합산"/>
      <sheetName val="Overview discount gross &amp; trans"/>
      <sheetName val="양식_자재단가조사표"/>
      <sheetName val="산출근거"/>
      <sheetName val="YES-T"/>
      <sheetName val="Sheet17"/>
      <sheetName val="consumption"/>
      <sheetName val="내역표지"/>
      <sheetName val="BACKDA_x005f_x0014_A"/>
      <sheetName val="datasheet"/>
      <sheetName val="EQUIP"/>
      <sheetName val="SUPT_Column"/>
      <sheetName val="SUPT_Rafter"/>
      <sheetName val="SUPT_STR2"/>
      <sheetName val="SUPT_Girder"/>
      <sheetName val="Int Wind Girder"/>
      <sheetName val="AnchorB"/>
      <sheetName val="AnchorC"/>
      <sheetName val="Shell (App A)"/>
      <sheetName val="Annular"/>
      <sheetName val="Wind"/>
      <sheetName val="Rafter_Only"/>
      <sheetName val="App F"/>
      <sheetName val="Seismic"/>
      <sheetName val="2.대외공문"/>
      <sheetName val="지구단위계획"/>
      <sheetName val="공통부대"/>
      <sheetName val="공통부대谰"/>
      <sheetName val="간접비내역-1"/>
      <sheetName val="물량 산출 통신 맨홀"/>
      <sheetName val="분석"/>
      <sheetName val="bm(CIcable)"/>
      <sheetName val="INPUT"/>
      <sheetName val="2공구산출내역"/>
      <sheetName val="대치판정"/>
      <sheetName val="EQUIP-H"/>
      <sheetName val="DESIGN CRETERIA"/>
      <sheetName val="major"/>
      <sheetName val="LD"/>
      <sheetName val="EP0618"/>
      <sheetName val="TYPE-A"/>
      <sheetName val="최종보고1"/>
      <sheetName val="아울렛박스"/>
      <sheetName val="공종별수량집계"/>
      <sheetName val="PC방호벽설치수량"/>
      <sheetName val="F4-F7"/>
      <sheetName val="을 2"/>
      <sheetName val="BACKDA_x005f_x005f_x005f_x0014_A"/>
      <sheetName val="Memb Schd"/>
      <sheetName val="수주추정"/>
      <sheetName val="Shell (VP Dgn)"/>
      <sheetName val="적정심사"/>
      <sheetName val="건기토"/>
      <sheetName val="상세일위"/>
      <sheetName val="2010년 투입계획 (2)"/>
      <sheetName val="Nalut (천단위)"/>
      <sheetName val="준검 내역서"/>
      <sheetName val="수량산출서(코너앵글)"/>
      <sheetName val="간접"/>
      <sheetName val="BOX"/>
      <sheetName val="1.설계조건"/>
      <sheetName val="개시대사 (2)"/>
      <sheetName val="단가(보완)"/>
      <sheetName val="대가 (보완)"/>
      <sheetName val="매출관리"/>
      <sheetName val="실행철강하도"/>
      <sheetName val="대부예산서"/>
      <sheetName val="Tap"/>
      <sheetName val="토목주소"/>
      <sheetName val="간접비"/>
      <sheetName val="자재단가"/>
      <sheetName val="Personnel"/>
      <sheetName val="ANALISA"/>
      <sheetName val="대비"/>
      <sheetName val="UNIT"/>
      <sheetName val="TRE_TABLE"/>
      <sheetName val="P_M_별"/>
      <sheetName val="CODE_(2)"/>
      <sheetName val="sum1_(2)"/>
      <sheetName val="기계경비_(2)"/>
      <sheetName val="단가표_"/>
      <sheetName val="표지_(2)"/>
      <sheetName val="공종별_공사비변동"/>
      <sheetName val="본선_토공_분배표"/>
      <sheetName val="수량산출서_갑지"/>
      <sheetName val="_HIT-&gt;HMC_견적(3900)"/>
      <sheetName val="자재"/>
      <sheetName val="INNER_FULE3"/>
      <sheetName val="00년_1월3"/>
      <sheetName val="00년_2월3"/>
      <sheetName val="00년_3월3"/>
      <sheetName val="00년_4월3"/>
      <sheetName val="00년_5월3"/>
      <sheetName val="00년_7월3"/>
      <sheetName val="00년_8월3"/>
      <sheetName val="00년_9월3"/>
      <sheetName val="노원열병합__건축공사기성내역서3"/>
      <sheetName val="TOWER_12TON3"/>
      <sheetName val="TOWER_10TON3"/>
      <sheetName val="동축분_종합설계서2"/>
      <sheetName val="배관(TDI_ISBL)3"/>
      <sheetName val="_견적서2"/>
      <sheetName val="3_공통공사대비2"/>
      <sheetName val="TDI_ISBL2"/>
      <sheetName val="수금_1"/>
      <sheetName val="2_카드채권(대출포함)1"/>
      <sheetName val="SOS_PLC_&amp;_Panel1"/>
      <sheetName val="MINA_BM2"/>
      <sheetName val="CONC_SLAB1"/>
      <sheetName val="Back_data_Table1"/>
      <sheetName val="6PILE__(돌출)1"/>
      <sheetName val="TRE_TABLE1"/>
      <sheetName val="P_M_별1"/>
      <sheetName val="CODE_(2)1"/>
      <sheetName val="sum1_(2)1"/>
      <sheetName val="기계경비_(2)1"/>
      <sheetName val="단가표_1"/>
      <sheetName val="표지_(2)1"/>
      <sheetName val="공종별_공사비변동1"/>
      <sheetName val="1_설계기준1"/>
      <sheetName val="본선_토공_분배표1"/>
      <sheetName val="수량산출서_갑지1"/>
      <sheetName val="5_소재"/>
      <sheetName val="ERECT"/>
      <sheetName val="Master_Data"/>
      <sheetName val="UB2"/>
      <sheetName val="Sheeta"/>
      <sheetName val="Units+rev"/>
      <sheetName val="교통대책내역"/>
      <sheetName val="SMD 3L PM Data"/>
      <sheetName val="현금경비중역"/>
      <sheetName val="기안"/>
      <sheetName val="94B"/>
      <sheetName val="전체현황"/>
      <sheetName val="소유주(원)"/>
      <sheetName val="PTR台손익"/>
      <sheetName val="96수출"/>
      <sheetName val="인원01"/>
      <sheetName val="RD제품개발투자비(매가)"/>
      <sheetName val="1.POSITIONING"/>
      <sheetName val="존4"/>
      <sheetName val="협조전"/>
      <sheetName val="DAT(목표)"/>
      <sheetName val="소상 &quot;1&quot;"/>
      <sheetName val="1~3월 지시사항"/>
      <sheetName val="데이타"/>
      <sheetName val="식재인부"/>
      <sheetName val="조명율표"/>
      <sheetName val="성곽내역서"/>
      <sheetName val="W-현원가"/>
      <sheetName val="개요입력"/>
      <sheetName val="수량기준"/>
      <sheetName val="단가기준"/>
      <sheetName val="오억미만"/>
      <sheetName val="단면_(2)"/>
      <sheetName val="입찰내역_발주처_양식"/>
      <sheetName val="3BL공동구_수량"/>
      <sheetName val="설_계"/>
      <sheetName val="입출재고현황_(2)"/>
      <sheetName val="앉음벽_(2)"/>
      <sheetName val="일위대가_"/>
      <sheetName val="WELDING_POINT_단가"/>
      <sheetName val="별표_"/>
      <sheetName val="BACKDAA"/>
      <sheetName val="BOQ_for_HRSG_&amp;_BOP-mech_"/>
      <sheetName val="BOQ_for_GTG_&amp;_STG-mech_"/>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Inert_Balls"/>
      <sheetName val="3_PIPING"/>
      <sheetName val="Appendix_2"/>
      <sheetName val="Appendix_3"/>
      <sheetName val="영동(D)"/>
      <sheetName val="DATE"/>
      <sheetName val="PAD TR보호대기초"/>
      <sheetName val="가로등기초"/>
      <sheetName val="HANDHOLE(2)"/>
      <sheetName val="코드표"/>
      <sheetName val="일위2"/>
      <sheetName val="일위6"/>
      <sheetName val="총괄내역서"/>
      <sheetName val="총수량집계표"/>
      <sheetName val="진접"/>
      <sheetName val="실행에산"/>
      <sheetName val="하도급업체"/>
      <sheetName val="보험"/>
      <sheetName val="Appendix_4(a)_Civil"/>
      <sheetName val="Subcon_A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Inert_Balls1"/>
      <sheetName val="단면_(2)1"/>
      <sheetName val="할증_1"/>
      <sheetName val="7_1유효폭1"/>
      <sheetName val="실행내역서_1"/>
      <sheetName val="IMPEADENCE_MAP_취수장1"/>
      <sheetName val="앉음벽_(2)1"/>
      <sheetName val="97_사업추정(WEKI)1"/>
      <sheetName val="입찰내역_발주처_양식1"/>
      <sheetName val="3BL공동구_수량1"/>
      <sheetName val="설_계1"/>
      <sheetName val="입출재고현황_(2)1"/>
      <sheetName val="Subcon_A"/>
      <sheetName val="공종별 공사비변_x0002_"/>
      <sheetName val="건물현황"/>
      <sheetName val="P뺑"/>
      <sheetName val="합계"/>
      <sheetName val=" "/>
      <sheetName val="현장경비"/>
      <sheetName val="CPM챠트"/>
      <sheetName val="냉연"/>
      <sheetName val="실행기성 갑지"/>
      <sheetName val="기성내역"/>
      <sheetName val="Sheet1 (2)"/>
      <sheetName val="단위중기"/>
      <sheetName val="Equiv.Length"/>
      <sheetName val="PUMPS"/>
      <sheetName val="C"/>
      <sheetName val="MANP"/>
      <sheetName val="공종별집계표"/>
      <sheetName val="토량산출서"/>
      <sheetName val="당초토량산출서"/>
      <sheetName val="견적대비표"/>
      <sheetName val="차액보증"/>
      <sheetName val="증감내역서"/>
      <sheetName val="토적표"/>
      <sheetName val="노무비"/>
      <sheetName val="기초코드"/>
      <sheetName val="변경토량산출서"/>
      <sheetName val="10.master schedule rev 1(LSIS)"/>
      <sheetName val="수량"/>
      <sheetName val="견적 (2)"/>
      <sheetName val="P_x0010__x0000_"/>
      <sheetName val="P_x0000__x0000_"/>
      <sheetName val="결재방"/>
      <sheetName val="수량산출"/>
      <sheetName val="기계경비(시간당)"/>
      <sheetName val="AS복구"/>
      <sheetName val="중기터파기"/>
      <sheetName val="변수값"/>
      <sheetName val="중기상차"/>
      <sheetName val="남양내역"/>
      <sheetName val="노무공수2"/>
      <sheetName val="산출집계(LP-A)"/>
      <sheetName val="1-1"/>
      <sheetName val="공통가설"/>
      <sheetName val="시멘트"/>
      <sheetName val="3S"/>
      <sheetName val="18.1B"/>
      <sheetName val="전차선로 물량표"/>
      <sheetName val="품셈기준"/>
      <sheetName val="최초위험성평가(협력사용)"/>
      <sheetName val="최초위험성평가(SECL용)"/>
      <sheetName val="Pier 3"/>
      <sheetName val="P3"/>
      <sheetName val="가동비율"/>
      <sheetName val="L-TIGA"/>
      <sheetName val="공구원가계산"/>
      <sheetName val="합천내역"/>
      <sheetName val="3. GROUNDING SYSTEM"/>
      <sheetName val="2.물량"/>
      <sheetName val="공사비총괄표"/>
      <sheetName val="npv"/>
      <sheetName val="용선 C.L"/>
      <sheetName val="T-ALLOW"/>
      <sheetName val="定额 (06)"/>
      <sheetName val="热力"/>
      <sheetName val="cashflow"/>
      <sheetName val="상반기손익차2총괄"/>
      <sheetName val="콘크리트타설집계표"/>
      <sheetName val="FAB별"/>
      <sheetName val="일위대가표"/>
      <sheetName val="PIPING"/>
      <sheetName val="Activity(new)"/>
      <sheetName val="Total(new)"/>
      <sheetName val="자체실적1Q"/>
      <sheetName val="Proposal"/>
      <sheetName val="eq_data"/>
      <sheetName val="외화금융(97-03)"/>
      <sheetName val="S0"/>
      <sheetName val="장비명"/>
      <sheetName val="Recap"/>
      <sheetName val="업무처리전"/>
      <sheetName val="MEXICO-C"/>
      <sheetName val="무시"/>
      <sheetName val="G.R300경비"/>
      <sheetName val="개산공사비"/>
      <sheetName val="TinhGiaNC"/>
      <sheetName val="Thiet Bi"/>
      <sheetName val="골조시행"/>
      <sheetName val="A-4"/>
      <sheetName val="PHD Reductions"/>
      <sheetName val="금호"/>
      <sheetName val="소일위대가코드표"/>
      <sheetName val="인사자료총집계"/>
      <sheetName val="FD1-1 1단도로측 (1)"/>
      <sheetName val="7.휨변위계측"/>
      <sheetName val="database"/>
      <sheetName val="건축원가"/>
      <sheetName val="건축공사실행"/>
      <sheetName val="건축공사집계표"/>
      <sheetName val="부대공사총괄"/>
      <sheetName val="총괄표"/>
      <sheetName val="Contr TDC -º_x0000_　됍_xdd2b_Ⰱ첐"/>
      <sheetName val="INNER_FULE7"/>
      <sheetName val="00년_1월7"/>
      <sheetName val="00년_2월6"/>
      <sheetName val="00년_3월6"/>
      <sheetName val="00년_4월6"/>
      <sheetName val="00년_5월6"/>
      <sheetName val="00년_7월6"/>
      <sheetName val="00년_8월6"/>
      <sheetName val="00년_9월6"/>
      <sheetName val="노원열병합__건축공사기성내역서6"/>
      <sheetName val="배관(TDI_ISBL)6"/>
      <sheetName val="TOWER_12TON6"/>
      <sheetName val="TOWER_10TON6"/>
      <sheetName val="3_공통공사대비5"/>
      <sheetName val="_견적서5"/>
      <sheetName val="TDI_ISBL5"/>
      <sheetName val="동축분_종합설계서5"/>
      <sheetName val="SOS_PLC_&amp;_Panel4"/>
      <sheetName val="CONC_SLAB4"/>
      <sheetName val="수금_4"/>
      <sheetName val="할증_4"/>
      <sheetName val="6PILE__(돌출)4"/>
      <sheetName val="TRE_TABLE4"/>
      <sheetName val="MINA_BM5"/>
      <sheetName val="2_카드채권(대출포함)4"/>
      <sheetName val="기계경비_(2)4"/>
      <sheetName val="Back_data_Table4"/>
      <sheetName val="1_설계기준4"/>
      <sheetName val="7_1유효폭4"/>
      <sheetName val="97_사업추정(WEKI)4"/>
      <sheetName val="실행내역서_4"/>
      <sheetName val="IMPEADENCE_MAP_취수장4"/>
      <sheetName val="앉음벽_(2)3"/>
      <sheetName val="sum1_(2)4"/>
      <sheetName val="5_소재3"/>
      <sheetName val="단면_(2)3"/>
      <sheetName val="수량산출서_갑지4"/>
      <sheetName val="본선_토공_분배표4"/>
      <sheetName val="표지_(2)4"/>
      <sheetName val="P_M_별4"/>
      <sheetName val="Engrg_Est3"/>
      <sheetName val="공종별_공사비변동4"/>
      <sheetName val="단가표_4"/>
      <sheetName val="CODE_(2)4"/>
      <sheetName val="BSD_(2)3"/>
      <sheetName val="3BL공동구_수량3"/>
      <sheetName val="입찰내역_발주처_양식3"/>
      <sheetName val="Appendix_23"/>
      <sheetName val="Appendix_33"/>
      <sheetName val="Appendix_4(a)_Civil3"/>
      <sheetName val="Appendix_4(c)_Piping3"/>
      <sheetName val="Appendix_4(b)_Elec_3"/>
      <sheetName val="Supervision_List3"/>
      <sheetName val="BQ_Process_3"/>
      <sheetName val="BQ_Building_3"/>
      <sheetName val="fire_alarm3"/>
      <sheetName val="Tank_Elec__BM_3"/>
      <sheetName val="132kv_BM_3"/>
      <sheetName val="설_계3"/>
      <sheetName val="입출재고현황_(2)3"/>
      <sheetName val="Gia_vat_tu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Inert_Balls3"/>
      <sheetName val="Subcon_A3"/>
      <sheetName val="BOQ_for_HRSG_&amp;_BOP-mech_3"/>
      <sheetName val="BOQ_for_GTG_&amp;_STG-mech_3"/>
      <sheetName val="일위대가_3"/>
      <sheetName val="WELDING_POINT_단가3"/>
      <sheetName val="_공사개요_xlsx3"/>
      <sheetName val="허용전류-IEC_DATA3"/>
      <sheetName val="MTO_REV_2(ARMOR)3"/>
      <sheetName val="3_PIPING3"/>
      <sheetName val="개시대사_(2)3"/>
      <sheetName val="BOX(1_5X1_5)3"/>
      <sheetName val="충돌_내용3"/>
      <sheetName val="준검_내역서3"/>
      <sheetName val="2010년_투입계획_(2)3"/>
      <sheetName val="Nalut_(천단위)3"/>
      <sheetName val="Int_Wind_Girder3"/>
      <sheetName val="Shell_(App_A)3"/>
      <sheetName val="App_F3"/>
      <sheetName val="Shell_(VP_Dgn)3"/>
      <sheetName val="배관_PANIT_물량3"/>
      <sheetName val="OUTER_AREA(겹침없음)3"/>
      <sheetName val="Summary_Sheets3"/>
      <sheetName val="별표_3"/>
      <sheetName val="설산1_나3"/>
      <sheetName val="BEND_LOSS3"/>
      <sheetName val="90EL_JACKET3"/>
      <sheetName val="Cost_Report-B&amp;V_Det3"/>
      <sheetName val="00년_湓畃3"/>
      <sheetName val="She+"/>
      <sheetName val="EQUIPMENT_-23"/>
      <sheetName val="Tong_Hop3"/>
      <sheetName val="He_063"/>
      <sheetName val="Nam_20043"/>
      <sheetName val="INNER_FULE4"/>
      <sheetName val="00년_1월4"/>
      <sheetName val="BSD_(2)"/>
      <sheetName val="배관_PANIT_물량"/>
      <sheetName val="설산1_나"/>
      <sheetName val="허용전류-IEC_DATA"/>
      <sheetName val="MTO_REV_2(ARMOR)"/>
      <sheetName val="OUTER_AREA(겹침없음)"/>
      <sheetName val="Summary_Sheets"/>
      <sheetName val="BEND_LOSS"/>
      <sheetName val="충돌_내용"/>
      <sheetName val="BQ_Process_"/>
      <sheetName val="BQ_Building_"/>
      <sheetName val="fire_alarm"/>
      <sheetName val="Tank_Elec__BM_"/>
      <sheetName val="132kv_BM_"/>
      <sheetName val="Appendix_4(c)_Piping"/>
      <sheetName val="Appendix_4(b)_Elec_"/>
      <sheetName val="Supervision_List"/>
      <sheetName val="Engrg_Est"/>
      <sheetName val="Gia_vat_tu"/>
      <sheetName val="90EL_JACKET"/>
      <sheetName val="BOX(1_5X1_5)"/>
      <sheetName val="_공사개요_xlsx"/>
      <sheetName val="Cost_Report-B&amp;V_Det"/>
      <sheetName val="00년_湓畃"/>
      <sheetName val="EQUIPMENT_-2"/>
      <sheetName val="Tong_Hop"/>
      <sheetName val="He_06"/>
      <sheetName val="Nam_2004"/>
      <sheetName val="Nam_2003"/>
      <sheetName val="Nam_2005"/>
      <sheetName val="Nam_2002"/>
      <sheetName val="Overview_discount_gross_&amp;_trans"/>
      <sheetName val="개시대사_(2)"/>
      <sheetName val="준검_내역서"/>
      <sheetName val="2010년_투입계획_(2)"/>
      <sheetName val="Nalut_(천단위)"/>
      <sheetName val="Int_Wind_Girder"/>
      <sheetName val="Shell_(App_A)"/>
      <sheetName val="App_F"/>
      <sheetName val="Shell_(VP_Dgn)"/>
      <sheetName val="Nam_20033"/>
      <sheetName val="Nam_20053"/>
      <sheetName val="Nam_20023"/>
      <sheetName val="Overview_discount_gross_&amp;_tran3"/>
      <sheetName val="INNER_FULE5"/>
      <sheetName val="00년_1월5"/>
      <sheetName val="00년_2월4"/>
      <sheetName val="00년_3월4"/>
      <sheetName val="00년_4월4"/>
      <sheetName val="00년_5월4"/>
      <sheetName val="00년_7월4"/>
      <sheetName val="00년_8월4"/>
      <sheetName val="00년_9월4"/>
      <sheetName val="노원열병합__건축공사기성내역서4"/>
      <sheetName val="배관(TDI_ISBL)4"/>
      <sheetName val="TOWER_12TON4"/>
      <sheetName val="TOWER_10TON4"/>
      <sheetName val="3_공통공사대비3"/>
      <sheetName val="_견적서3"/>
      <sheetName val="TDI_ISBL3"/>
      <sheetName val="동축분_종합설계서3"/>
      <sheetName val="SOS_PLC_&amp;_Panel2"/>
      <sheetName val="CONC_SLAB2"/>
      <sheetName val="수금_2"/>
      <sheetName val="할증_2"/>
      <sheetName val="6PILE__(돌출)2"/>
      <sheetName val="TRE_TABLE2"/>
      <sheetName val="MINA_BM3"/>
      <sheetName val="2_카드채권(대출포함)2"/>
      <sheetName val="기계경비_(2)2"/>
      <sheetName val="Back_data_Table2"/>
      <sheetName val="1_설계기준2"/>
      <sheetName val="7_1유효폭2"/>
      <sheetName val="97_사업추정(WEKI)2"/>
      <sheetName val="실행내역서_2"/>
      <sheetName val="IMPEADENCE_MAP_취수장2"/>
      <sheetName val="sum1_(2)2"/>
      <sheetName val="5_소재1"/>
      <sheetName val="수량산출서_갑지2"/>
      <sheetName val="본선_토공_분배표2"/>
      <sheetName val="표지_(2)2"/>
      <sheetName val="P_M_별2"/>
      <sheetName val="Engrg_Est1"/>
      <sheetName val="공종별_공사비변동2"/>
      <sheetName val="단가표_2"/>
      <sheetName val="CODE_(2)2"/>
      <sheetName val="BSD_(2)1"/>
      <sheetName val="Appendix_21"/>
      <sheetName val="Appendix_31"/>
      <sheetName val="Appendix_4(a)_Civil1"/>
      <sheetName val="Appendix_4(c)_Piping1"/>
      <sheetName val="Appendix_4(b)_Elec_1"/>
      <sheetName val="Supervision_List1"/>
      <sheetName val="BQ_Process_1"/>
      <sheetName val="BQ_Building_1"/>
      <sheetName val="fire_alarm1"/>
      <sheetName val="Tank_Elec__BM_1"/>
      <sheetName val="132kv_BM_1"/>
      <sheetName val="Gia_vat_tu1"/>
      <sheetName val="BOQ_for_HRSG_&amp;_BOP-mech_1"/>
      <sheetName val="BOQ_for_GTG_&amp;_STG-mech_1"/>
      <sheetName val="일위대가_1"/>
      <sheetName val="WELDING_POINT_단가1"/>
      <sheetName val="_공사개요_xlsx1"/>
      <sheetName val="허용전류-IEC_DATA1"/>
      <sheetName val="MTO_REV_2(ARMOR)1"/>
      <sheetName val="3_PIPING1"/>
      <sheetName val="개시대사_(2)1"/>
      <sheetName val="BOX(1_5X1_5)1"/>
      <sheetName val="충돌_내용1"/>
      <sheetName val="준검_내역서1"/>
      <sheetName val="2010년_투입계획_(2)1"/>
      <sheetName val="Nalut_(천단위)1"/>
      <sheetName val="Int_Wind_Girder1"/>
      <sheetName val="Shell_(App_A)1"/>
      <sheetName val="App_F1"/>
      <sheetName val="Shell_(VP_Dgn)1"/>
      <sheetName val="배관_PANIT_물량1"/>
      <sheetName val="OUTER_AREA(겹침없음)1"/>
      <sheetName val="Summary_Sheets1"/>
      <sheetName val="별표_1"/>
      <sheetName val="설산1_나1"/>
      <sheetName val="BEND_LOSS1"/>
      <sheetName val="90EL_JACKET1"/>
      <sheetName val="Cost_Report-B&amp;V_Det1"/>
      <sheetName val="00년_湓畃1"/>
      <sheetName val="EQUIPMENT_-21"/>
      <sheetName val="Tong_Hop1"/>
      <sheetName val="He_061"/>
      <sheetName val="Nam_20041"/>
      <sheetName val="Nam_20031"/>
      <sheetName val="Nam_20051"/>
      <sheetName val="Nam_20021"/>
      <sheetName val="Overview_discount_gross_&amp;_tran1"/>
      <sheetName val="INNER_FULE6"/>
      <sheetName val="00년_1월6"/>
      <sheetName val="00년_2월5"/>
      <sheetName val="00년_3월5"/>
      <sheetName val="00년_4월5"/>
      <sheetName val="00년_5월5"/>
      <sheetName val="00년_7월5"/>
      <sheetName val="00년_8월5"/>
      <sheetName val="00년_9월5"/>
      <sheetName val="노원열병합__건축공사기성내역서5"/>
      <sheetName val="배관(TDI_ISBL)5"/>
      <sheetName val="TOWER_12TON5"/>
      <sheetName val="TOWER_10TON5"/>
      <sheetName val="3_공통공사대비4"/>
      <sheetName val="_견적서4"/>
      <sheetName val="TDI_ISBL4"/>
      <sheetName val="동축분_종합설계서4"/>
      <sheetName val="SOS_PLC_&amp;_Panel3"/>
      <sheetName val="CONC_SLAB3"/>
      <sheetName val="수금_3"/>
      <sheetName val="할증_3"/>
      <sheetName val="6PILE__(돌출)3"/>
      <sheetName val="TRE_TABLE3"/>
      <sheetName val="MINA_BM4"/>
      <sheetName val="2_카드채권(대출포함)3"/>
      <sheetName val="기계경비_(2)3"/>
      <sheetName val="Back_data_Table3"/>
      <sheetName val="1_설계기준3"/>
      <sheetName val="7_1유효폭3"/>
      <sheetName val="97_사업추정(WEKI)3"/>
      <sheetName val="실행내역서_3"/>
      <sheetName val="IMPEADENCE_MAP_취수장3"/>
      <sheetName val="앉음벽_(2)2"/>
      <sheetName val="sum1_(2)3"/>
      <sheetName val="5_소재2"/>
      <sheetName val="단면_(2)2"/>
      <sheetName val="수량산출서_갑지3"/>
      <sheetName val="본선_토공_분배표3"/>
      <sheetName val="표지_(2)3"/>
      <sheetName val="P_M_별3"/>
      <sheetName val="Engrg_Est2"/>
      <sheetName val="공종별_공사비변동3"/>
      <sheetName val="단가표_3"/>
      <sheetName val="CODE_(2)3"/>
      <sheetName val="BSD_(2)2"/>
      <sheetName val="3BL공동구_수량2"/>
      <sheetName val="입찰내역_발주처_양식2"/>
      <sheetName val="Appendix_22"/>
      <sheetName val="Appendix_32"/>
      <sheetName val="Appendix_4(a)_Civil2"/>
      <sheetName val="Appendix_4(c)_Piping2"/>
      <sheetName val="Appendix_4(b)_Elec_2"/>
      <sheetName val="Supervision_List2"/>
      <sheetName val="BQ_Process_2"/>
      <sheetName val="BQ_Building_2"/>
      <sheetName val="fire_alarm2"/>
      <sheetName val="Tank_Elec__BM_2"/>
      <sheetName val="132kv_BM_2"/>
      <sheetName val="설_계2"/>
      <sheetName val="입출재고현황_(2)2"/>
      <sheetName val="Gia_vat_tu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Inert_Balls2"/>
      <sheetName val="Subcon_A2"/>
      <sheetName val="BOQ_for_HRSG_&amp;_BOP-mech_2"/>
      <sheetName val="BOQ_for_GTG_&amp;_STG-mech_2"/>
      <sheetName val="일위대가_2"/>
      <sheetName val="WELDING_POINT_단가2"/>
      <sheetName val="_공사개요_xlsx2"/>
      <sheetName val="허용전류-IEC_DATA2"/>
      <sheetName val="MTO_REV_2(ARMOR)2"/>
      <sheetName val="3_PIPING2"/>
      <sheetName val="개시대사_(2)2"/>
      <sheetName val="BOX(1_5X1_5)2"/>
      <sheetName val="충돌_내용2"/>
      <sheetName val="준검_내역서2"/>
      <sheetName val="2010년_투입계획_(2)2"/>
      <sheetName val="Nalut_(천단위)2"/>
      <sheetName val="Int_Wind_Girder2"/>
      <sheetName val="Shell_(App_A)2"/>
      <sheetName val="App_F2"/>
      <sheetName val="Shell_(VP_Dgn)2"/>
      <sheetName val="배관_PANIT_물량2"/>
      <sheetName val="OUTER_AREA(겹침없음)2"/>
      <sheetName val="Summary_Sheets2"/>
      <sheetName val="별표_2"/>
      <sheetName val="설산1_나2"/>
      <sheetName val="BEND_LOSS2"/>
      <sheetName val="90EL_JACKET2"/>
      <sheetName val="Cost_Report-B&amp;V_Det2"/>
      <sheetName val="00년_湓畃2"/>
      <sheetName val="EQUIPMENT_-22"/>
      <sheetName val="Tong_Hop2"/>
      <sheetName val="He_062"/>
      <sheetName val="Nam_20042"/>
      <sheetName val="Nam_20032"/>
      <sheetName val="Nam_20052"/>
      <sheetName val="Nam_20022"/>
      <sheetName val="Overview_discount_gross_&amp;_tran2"/>
      <sheetName val="기타"/>
      <sheetName val="현금흐름"/>
      <sheetName val="分析2-ʉ_x0000__x0000_"/>
      <sheetName val="_x0008_"/>
      <sheetName val="SOS_PLC_&amp;_x0005__x0000__x0000__x0000__x0000_"/>
      <sheetName val="COA Sumry "/>
      <sheetName val="COA Sumry 닑⼟_x0005__x0000__x0000__x0000__x0000_㫸"/>
      <sheetName val="COA Sumry _x0000__x0000__x0005__x0000_ᜀʀ_x0000__x0000__x0000_"/>
      <sheetName val="COA Sumry 헾⽿_x0005__x0000__x0000__x0000__x0000_㞈"/>
      <sheetName val="5월"/>
      <sheetName val="Yield"/>
      <sheetName val="Yield Sx"/>
      <sheetName val="견적서"/>
      <sheetName val="별표집계"/>
      <sheetName val="예산실적전체당월"/>
      <sheetName val="Testing"/>
      <sheetName val="COA Sumry - Std ԯ_x0000_缀"/>
      <sheetName val="ENE-CAL 1"/>
      <sheetName val="SILICATE"/>
      <sheetName val="mto-rev0B"/>
      <sheetName val="설비"/>
      <sheetName val="Cable_____SRS_________2012021_2"/>
      <sheetName val="토목검측서"/>
      <sheetName val="1"/>
      <sheetName val="비교견적서"/>
      <sheetName val="견적총괄표"/>
      <sheetName val="작업지시서-1호"/>
      <sheetName val="도근좌표"/>
      <sheetName val="Appendix 4(c)_Piም_x0002_쀀溘"/>
      <sheetName val="Appendix 4(c)_Piሠ_x0002_쀀溘"/>
      <sheetName val="Appendix 4(c)_Piሢ_x0002_쀀溘"/>
      <sheetName val="Appendix 4(a)_Ci_x0010__x0000_რ"/>
      <sheetName val="Appendix 4(a)_Ci_x0010__x0000_ﴠ"/>
      <sheetName val="Appendix 4(a)_Ci׃⽬_x0000_"/>
      <sheetName val="Appendix 4(a)_Ci_x0010__x0000_컠"/>
      <sheetName val=" 미래에셋 그랑서울 오피스：노무비 (목공-삼일기업).xl"/>
      <sheetName val="집수정(600-700)"/>
      <sheetName val="단면적"/>
      <sheetName val="MCC"/>
      <sheetName val="장기차입금"/>
      <sheetName val="시중노임"/>
      <sheetName val="SOS_PLC_&amp;_x0005_"/>
      <sheetName val="COA Sumry 닑⼟_x0005_"/>
      <sheetName val="Contr TDC -º"/>
      <sheetName val="COA Sumry 헾⽿_x0005_"/>
      <sheetName val="She_x000c_+?"/>
      <sheetName val="VST재료산출"/>
      <sheetName val="ROOM LOAD"/>
      <sheetName val="1차 내역서"/>
      <sheetName val="지수"/>
      <sheetName val="EQUIP LIST"/>
      <sheetName val="이자율"/>
      <sheetName val="빌딩 안내"/>
      <sheetName val="공사비집계"/>
      <sheetName val="[연돌내역일위_x0000__x0000__x0000__x0000__x0000__x0000__xffff_"/>
      <sheetName val="배수관공"/>
      <sheetName val="총괄"/>
      <sheetName val="COA Sumry - Std ԯ"/>
      <sheetName val="2"/>
      <sheetName val="쌀엿"/>
      <sheetName val="카라멜"/>
      <sheetName val="년도별매출손익"/>
      <sheetName val="97품목별"/>
      <sheetName val="식초"/>
      <sheetName val="당면"/>
      <sheetName val="물엿"/>
      <sheetName val="BOQ for HRSG &amp; B^_x0000_Ԁ_x0000_蠀_xde25_ﰄ᧏"/>
      <sheetName val="BOQ for HRSG &amp; B傝"/>
      <sheetName val="BOQ for HRSG &amp; B^_x0000_Ԁ_x0000_䕟ﰈ᧏"/>
      <sheetName val="BOQ for HRSG &amp; B _x0000_Ԁ_x0000_蠀䬥ﰂ᧏"/>
      <sheetName val="배관공사"/>
      <sheetName val="보온공사"/>
      <sheetName val="Support공사"/>
      <sheetName val="도장공사"/>
      <sheetName val="열배관이중보온관공사"/>
      <sheetName val="분전함신설"/>
      <sheetName val="접지1종"/>
      <sheetName val="적_x0000__x0000_Ā"/>
      <sheetName val="BM"/>
      <sheetName val="LABCOST"/>
      <sheetName val="CLUB"/>
      <sheetName val="4.1_haul-aggregates"/>
      <sheetName val="FEET"/>
      <sheetName val="asdfghj"/>
      <sheetName val="BD"/>
      <sheetName val="Resource Summary"/>
      <sheetName val="CERTIFICATE"/>
      <sheetName val="sc"/>
      <sheetName val="DCL(발전)"/>
      <sheetName val="10월장비가동월보"/>
      <sheetName val="계화총괄"/>
      <sheetName val="지급제한자"/>
      <sheetName val="양식3"/>
      <sheetName val="정산표實"/>
      <sheetName val="JIB CRANE,HO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sheetData sheetId="669"/>
      <sheetData sheetId="670"/>
      <sheetData sheetId="671"/>
      <sheetData sheetId="672"/>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sheetData sheetId="1338"/>
      <sheetData sheetId="1339"/>
      <sheetData sheetId="1340"/>
      <sheetData sheetId="1341"/>
      <sheetData sheetId="1342"/>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sheetData sheetId="1369" refreshError="1"/>
      <sheetData sheetId="1370" refreshError="1"/>
      <sheetData sheetId="137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원가계산서"/>
      <sheetName val="금액총괄표"/>
      <sheetName val="laroux"/>
      <sheetName val="단가조사서"/>
      <sheetName val="장비단가비교표"/>
      <sheetName val="일위대가목차"/>
      <sheetName val="일위대가"/>
      <sheetName val="산출서"/>
      <sheetName val="집계표"/>
      <sheetName val="SUPPORT산출서"/>
      <sheetName val="support집계"/>
      <sheetName val="WALKWAY 집계"/>
      <sheetName val="HOISTRAIL집계"/>
      <sheetName val="2공구관급"/>
      <sheetName val="2공구도급"/>
      <sheetName val="VXXXXXX"/>
      <sheetName val="내역서"/>
      <sheetName val="기자재단가"/>
      <sheetName val="배관단가"/>
      <sheetName val="일위대가표"/>
      <sheetName val="단가표"/>
      <sheetName val="단가구분"/>
      <sheetName val="PCODE"/>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인건비"/>
      <sheetName val="배관자재 단가조사서"/>
      <sheetName val="산출내역"/>
      <sheetName val="토목"/>
      <sheetName val="품질관리비"/>
      <sheetName val="건축"/>
      <sheetName val="기계 "/>
      <sheetName val="000000"/>
      <sheetName val="VXXXX"/>
      <sheetName val="사급자재대"/>
      <sheetName val="단가비교"/>
      <sheetName val="4. 배관공사"/>
      <sheetName val="3.시운전비"/>
      <sheetName val="설치공사"/>
      <sheetName val="원가계산"/>
      <sheetName val="총괄내역"/>
      <sheetName val="수량산출서"/>
      <sheetName val="시운전비(계약직)"/>
      <sheetName val="ELECTRIC"/>
      <sheetName val="CTEMCOST"/>
      <sheetName val="SCHEDULE"/>
      <sheetName val="침출배관"/>
      <sheetName val="?????"/>
      <sheetName val="견적서"/>
      <sheetName val="WORK"/>
      <sheetName val="결과조달"/>
      <sheetName val="실행철강하도"/>
      <sheetName val="내역"/>
      <sheetName val="EQT-ESTN"/>
      <sheetName val="목표세부명세"/>
      <sheetName val="정부노임단가"/>
      <sheetName val="연돌일위집계"/>
      <sheetName val="물가자료"/>
      <sheetName val="설계"/>
      <sheetName val="#REF"/>
      <sheetName val="전기공사"/>
      <sheetName val="IMP(MAIN)"/>
      <sheetName val="IMP (REACTOR)"/>
      <sheetName val="3.공통공사대비"/>
      <sheetName val="약품공급2"/>
      <sheetName val="H腏ISTRAIL집계"/>
      <sheetName val="2공구도급_x0007_嘀塘塘塘_x0003_됁᳅ׁĀ기자재단가_x0004_、¼²֬Ā일위대"/>
      <sheetName val="SEC 1-D850"/>
      <sheetName val="2000년1차"/>
      <sheetName val="각종손료"/>
      <sheetName val="일위목록"/>
      <sheetName val="¿ø°¡°è»ê¼­"/>
      <sheetName val="±Ý¾×ÃÑ°ýÇ¥"/>
      <sheetName val="±Ý¾×³»¿ª¼­"/>
      <sheetName val="´Ü°¡Á¶»ç¼­"/>
      <sheetName val="Àåºñ´Ü°¡ºñ±³Ç¥"/>
      <sheetName val="ÀÏÀ§´ë°¡¸ñÂ÷"/>
      <sheetName val="ÀÏÀ§´ë°¡"/>
      <sheetName val="»êÃâ¼­"/>
      <sheetName val="Áý°èÇ¥"/>
      <sheetName val="SUPPORT»êÃâ¼­"/>
      <sheetName val="supportÁý°è"/>
      <sheetName val="WALKWAY Áý°è"/>
      <sheetName val="HOISTRAILÁý°è"/>
      <sheetName val="2°ø±¸°ü±Þ"/>
      <sheetName val="2°ø±¸µµ±Þ"/>
      <sheetName val="³»¿ª¼­"/>
      <sheetName val="±âÀÚÀç´Ü°¡"/>
      <sheetName val="¹è°ü´Ü°¡"/>
      <sheetName val="ÀÏÀ§´ë°¡Ç¥"/>
      <sheetName val="´Ü°¡Ç¥"/>
      <sheetName val="´Ü°¡±¸ºÐ"/>
      <sheetName val="³âÂ÷»ç¿ë³»¿ª"/>
      <sheetName val="Àü±â1°úÀÚ·á"/>
      <sheetName val="°¢¼­(±³Åë»ç°í)"/>
      <sheetName val="°³º°°èÈ¹¼­"/>
      <sheetName val="°ø»ç³»¿ë"/>
      <sheetName val="Áõ¼³CMº¸¼ö"/>
      <sheetName val="¿ëÁ¢±âÇöÈ²"/>
      <sheetName val="¹«Àü±â"/>
      <sheetName val="°æÀ§¼­"/>
      <sheetName val="ÀÛ¾÷ÀÏÁö"/>
      <sheetName val="ÀÏÁö"/>
      <sheetName val="¿ù°£°øÁ¤"/>
      <sheetName val="°èÃø°ü¸®(°¡·Î)"/>
      <sheetName val="´çÁ÷Ç¥"/>
      <sheetName val="¾ÈÀü°ü¸®°úÀÏÁö"/>
      <sheetName val="°ø»çÇöÈ²º¸°í"/>
      <sheetName val="ÀÎ°Çºñ"/>
      <sheetName val="¹è°üÀÚÀç ´Ü°¡Á¶»ç¼­"/>
      <sheetName val="¼ö·®»êÃâ¼­"/>
      <sheetName val="»êÃâ³»¿ª"/>
      <sheetName val="Åä¸ñ"/>
      <sheetName val="Ç°Áú°ü¸®ºñ"/>
      <sheetName val="°ÇÃà"/>
      <sheetName val="±â°è "/>
      <sheetName val="¼³Ä¡°ø»ç"/>
      <sheetName val="»ç±ÞÀÚÀç´ë"/>
      <sheetName val="´Ü°¡ºñ±³"/>
      <sheetName val="4. ¹è°ü°ø»ç"/>
      <sheetName val="3.½Ã¿îÀüºñ"/>
      <sheetName val="¿ø°¡°è»ê"/>
      <sheetName val="ÃÑ°ý³»¿ª"/>
      <sheetName val="½Ã¿îÀüºñ(°è¾àÁ÷)"/>
      <sheetName val="Ä§Ãâ¹è°ü"/>
      <sheetName val="°á°úÁ¶´Þ"/>
      <sheetName val="½ÇÇàÃ¶°­ÇÏµµ"/>
      <sheetName val="¼³°è"/>
      <sheetName val="°ßÀû¼­"/>
      <sheetName val="¿¬µ¹ÀÏÀ§Áý°è"/>
      <sheetName val="예정(3)"/>
      <sheetName val="동원(3)"/>
      <sheetName val="건축내역"/>
      <sheetName val="밸브설치"/>
      <sheetName val="지수결과표-3"/>
      <sheetName val="예가표"/>
      <sheetName val="PRICE"/>
      <sheetName val="CIVIL4"/>
      <sheetName val="9-1차이내역."/>
      <sheetName val="소방"/>
      <sheetName val="직재"/>
      <sheetName val="공문"/>
      <sheetName val="1995년 섹터별 매출"/>
      <sheetName val="대림경상68억"/>
      <sheetName val="손익분석"/>
      <sheetName val="금융"/>
      <sheetName val="단가"/>
      <sheetName val="연습"/>
      <sheetName val="G2설비도급"/>
      <sheetName val="1단계"/>
      <sheetName val="해전배수"/>
      <sheetName val="공량산출서"/>
      <sheetName val="기준FACTOR"/>
      <sheetName val="_____"/>
      <sheetName val="2월분"/>
      <sheetName val="설계예산서"/>
      <sheetName val="삼원"/>
      <sheetName val="그린"/>
      <sheetName val="한창-을"/>
      <sheetName val="품셈"/>
      <sheetName val="수량산출"/>
      <sheetName val="예산대비"/>
      <sheetName val="h-013211-2"/>
      <sheetName val="오억미만"/>
      <sheetName val="기자재비"/>
      <sheetName val="코드표"/>
      <sheetName val="철집"/>
      <sheetName val="산출조서1"/>
      <sheetName val="집계"/>
      <sheetName val="데이타"/>
      <sheetName val="식재인부"/>
      <sheetName val="조경"/>
      <sheetName val="Sheet1"/>
      <sheetName val="노임"/>
      <sheetName val="도급원가"/>
      <sheetName val="106C0300"/>
      <sheetName val="Baby일위대가"/>
      <sheetName val="PAD TR보호대기초"/>
      <sheetName val="가로등기초"/>
      <sheetName val="HANDHOLE(2)"/>
      <sheetName val="총괄표"/>
      <sheetName val="DATA"/>
      <sheetName val="WALKWAY_집계"/>
      <sheetName val="배관자재_단가조사서"/>
      <sheetName val="기계_"/>
      <sheetName val="4__배관공사"/>
      <sheetName val="3_시운전비"/>
      <sheetName val="WALKWAY_Áý°è"/>
      <sheetName val="¹è°üÀÚÀç_´Ü°¡Á¶»ç¼­"/>
      <sheetName val="±â°è_"/>
      <sheetName val="4__¹è°ü°ø»ç"/>
      <sheetName val="3_½Ã¿îÀüºñ"/>
      <sheetName val="3_공통공사대비"/>
      <sheetName val="IMP_(REACTOR)"/>
      <sheetName val="2공구도급嘀塘塘塘됁᳅ׁĀ기자재단가、¼²֬Ā일위대"/>
      <sheetName val="9-1차이내역_"/>
      <sheetName val="SEC_1-D850"/>
      <sheetName val="sheets"/>
      <sheetName val="금융비용"/>
      <sheetName val="배관배선 단가조사"/>
      <sheetName val="일위대가집계"/>
      <sheetName val="공사개요(사업승인)"/>
      <sheetName val="부하계산서"/>
      <sheetName val="국내"/>
      <sheetName val="노임단가"/>
      <sheetName val="전기내역서(총계)"/>
      <sheetName val="총괄내역서"/>
      <sheetName val="DATE"/>
      <sheetName val="하수급견적대비"/>
      <sheetName val="기성2"/>
      <sheetName val="설계개요"/>
      <sheetName val="공사비예산서(토목분)"/>
      <sheetName val="단가산출"/>
      <sheetName val="표지 (2)"/>
      <sheetName val="Sheet2"/>
      <sheetName val="화재 탐지 설비"/>
      <sheetName val="COVER"/>
      <sheetName val="I一般比"/>
      <sheetName val="J直材4"/>
      <sheetName val="설직재_1"/>
      <sheetName val="_REF"/>
      <sheetName val="N賃率_職"/>
      <sheetName val="일위"/>
      <sheetName val="제직재"/>
      <sheetName val="직노"/>
      <sheetName val="내역서2안"/>
      <sheetName val="경산"/>
      <sheetName val="실행내역"/>
      <sheetName val="TR"/>
      <sheetName val="약품설비"/>
      <sheetName val="견적"/>
      <sheetName val="급여조견표"/>
      <sheetName val="1.우편집중내역서"/>
      <sheetName val="품의"/>
      <sheetName val="조건표"/>
      <sheetName val="기기리스트"/>
      <sheetName val="프로젝트"/>
      <sheetName val="SG"/>
      <sheetName val="일위대가(여기까지)"/>
      <sheetName val="설직재-1"/>
      <sheetName val="N賃率-職"/>
      <sheetName val="기본일위"/>
      <sheetName val="EP0618"/>
      <sheetName val="일위(PN)"/>
      <sheetName val="수로단위수량"/>
      <sheetName val="공통비(전체)"/>
      <sheetName val="단면 (2)"/>
      <sheetName val="교각1"/>
      <sheetName val="조명투자및환수계획"/>
      <sheetName val="제조중간결과"/>
      <sheetName val="GI_LIST"/>
      <sheetName val="misc"/>
      <sheetName val="적격"/>
      <sheetName val="사진기기능"/>
      <sheetName val="ENE-CAL 1"/>
      <sheetName val="2000시행총괄"/>
      <sheetName val="청하배수"/>
      <sheetName val="01"/>
      <sheetName val="아울렛박스"/>
      <sheetName val="COPING"/>
      <sheetName val="6호기"/>
      <sheetName val="INPUT"/>
      <sheetName val="수지계산"/>
      <sheetName val="가스비열"/>
      <sheetName val="주소"/>
      <sheetName val="항목별자금청구3"/>
      <sheetName val="장비비청구9"/>
      <sheetName val="업무분장"/>
      <sheetName val="카렌스센터계량기설치공사"/>
      <sheetName val="정공공사"/>
      <sheetName val="2.대외공문"/>
      <sheetName val="Code"/>
      <sheetName val="대공종"/>
      <sheetName val="계정"/>
      <sheetName val="남양시작동자105노65기1.3화1.2"/>
      <sheetName val="남양시작동010313100%"/>
      <sheetName val="조명율"/>
      <sheetName val="경상직원"/>
      <sheetName val="조건"/>
      <sheetName val="입력"/>
      <sheetName val="항목등록"/>
      <sheetName val="TOT"/>
      <sheetName val="견적990322"/>
      <sheetName val="협조전"/>
      <sheetName val="부대대비"/>
      <sheetName val="TEL"/>
      <sheetName val="냉연집계"/>
      <sheetName val="관람석제출"/>
      <sheetName val="96수출"/>
      <sheetName val="소상 &quot;1&quot;"/>
      <sheetName val="98지급계획"/>
      <sheetName val="시험장S자로가로등공사"/>
      <sheetName val="내역(정지)"/>
      <sheetName val="남양구조시험동"/>
      <sheetName val="일위대가(1)"/>
      <sheetName val="참조 (2)"/>
      <sheetName val="참조"/>
      <sheetName val="유림골조"/>
      <sheetName val="울산시산표"/>
      <sheetName val="9811"/>
      <sheetName val="DT"/>
      <sheetName val="롤러"/>
      <sheetName val="BH"/>
      <sheetName val="펌프차타설"/>
      <sheetName val="JUCKEYK"/>
      <sheetName val="토공"/>
      <sheetName val="중기사용료"/>
      <sheetName val="6차2회변경내역서"/>
      <sheetName val="차액보증"/>
      <sheetName val="제경비산출서"/>
      <sheetName val="초기화면"/>
      <sheetName val="2공구산출내역"/>
      <sheetName val="견적대비표"/>
      <sheetName val="Macro2"/>
      <sheetName val="물집"/>
      <sheetName val="배관단가조사서"/>
      <sheetName val="식재"/>
      <sheetName val="시설물"/>
      <sheetName val="식재출력용"/>
      <sheetName val="유지관리"/>
      <sheetName val="설계명세서(선로)"/>
      <sheetName val="부속동"/>
      <sheetName val="FAB별"/>
      <sheetName val="갑지"/>
      <sheetName val="¿¹°¡Ç¥"/>
      <sheetName val="내역서 (2)"/>
      <sheetName val="기술조건"/>
      <sheetName val="조도계산서 (도서)"/>
      <sheetName val="1ST"/>
      <sheetName val="PRICES"/>
      <sheetName val="MEMBER"/>
      <sheetName val="FACTOR"/>
      <sheetName val="할증 "/>
      <sheetName val=" ｹ-ﾌﾞﾙ"/>
      <sheetName val="금호"/>
      <sheetName val="CAT_5"/>
      <sheetName val="1.변경범위"/>
      <sheetName val="Sheet3"/>
      <sheetName val="Supplement2"/>
      <sheetName val="준검 내역서"/>
      <sheetName val="중기일위대가"/>
      <sheetName val="2공구도급_x005f_x0007_嘀塘塘塘_x005f_x0003_됁᳅ׁĀ기자재"/>
      <sheetName val="2공구도급_x005f_x005f_x005f_x0007_嘀塘塘塘_x005f_x005f_x0"/>
      <sheetName val="입찰내역 발주처 양식"/>
      <sheetName val="교각계산"/>
      <sheetName val="분석내역(총괄)"/>
      <sheetName val="프랜트면허"/>
      <sheetName val="토목주소"/>
      <sheetName val="IT-BAT"/>
    </sheetNames>
    <sheetDataSet>
      <sheetData sheetId="0" refreshError="1">
        <row r="4">
          <cell r="D4" t="str">
            <v>대</v>
          </cell>
        </row>
        <row r="5">
          <cell r="D5" t="str">
            <v>대</v>
          </cell>
        </row>
        <row r="6">
          <cell r="D6" t="str">
            <v>ton</v>
          </cell>
        </row>
        <row r="7">
          <cell r="D7" t="str">
            <v>대</v>
          </cell>
        </row>
        <row r="8">
          <cell r="D8" t="str">
            <v>대</v>
          </cell>
        </row>
        <row r="9">
          <cell r="D9" t="str">
            <v>ton</v>
          </cell>
        </row>
        <row r="10">
          <cell r="D10" t="str">
            <v>개소</v>
          </cell>
        </row>
      </sheetData>
      <sheetData sheetId="1">
        <row r="4">
          <cell r="D4" t="str">
            <v>대</v>
          </cell>
        </row>
      </sheetData>
      <sheetData sheetId="2">
        <row r="4">
          <cell r="D4" t="str">
            <v>대</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금액내역서"/>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갑지(추정)"/>
      <sheetName val="Sheet17"/>
      <sheetName val="D-CHPIER"/>
    </sheetNames>
    <sheetDataSet>
      <sheetData sheetId="0"/>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REF"/>
      <sheetName val="Macro1"/>
      <sheetName val="11"/>
      <sheetName val="BASE"/>
      <sheetName val="주행"/>
      <sheetName val="표지★"/>
      <sheetName val="MX628EX"/>
      <sheetName val="p2-1"/>
      <sheetName val="2.대외공문"/>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Sheet1"/>
      <sheetName val="Sheet2"/>
      <sheetName val="Sheet3"/>
      <sheetName val="외주현황.wq1"/>
      <sheetName val="Production Plan1"/>
      <sheetName val="CAUDIT"/>
      <sheetName val="협조전"/>
      <sheetName val="Book1"/>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차수"/>
      <sheetName val="견적LIST"/>
      <sheetName val="투자계획서"/>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전산품의"/>
      <sheetName val="Sheet1_x0000_ˆŒ_x0004__x0000_ ǅ_x0001__x0000_ˆ&lt;BOOK1.XLS]Shee"/>
      <sheetName val="_x001e_.&gt;N^n~Žž®¾ÎÞî"/>
      <sheetName val="bleĤģ서식을 ĨĥħĦ_x0000_률_x0000_며_x0000_을 변경īĪ용_x0000_ĭĬ 끌어"/>
      <sheetName val="품의양식"/>
      <sheetName val="ㅊ.ㅔㅁㅇ"/>
      <sheetName val="Sheet1_x0000_ˆŒ_x0000__x0004__x0000_ ǅ"/>
      <sheetName val="¿ÜÁÖÇöÈ².wq1"/>
      <sheetName val="CD-실적"/>
      <sheetName val="bleĤģ"/>
      <sheetName val="̃_x0000_"/>
      <sheetName val="___"/>
      <sheetName val="__仛"/>
      <sheetName val="__★"/>
      <sheetName val="2.____"/>
      <sheetName val=".mdb,_.htm,_.html,_.pub);웹 페이지("/>
      <sheetName val="bleĤģ서식을 ĨĥħĦ"/>
      <sheetName val="_x0001_"/>
      <sheetName val="UPH"/>
      <sheetName val="FR HR(A-LEA)"/>
      <sheetName val="FR HR(VINYL)"/>
      <sheetName val="PROTECTOR단가"/>
      <sheetName val="LEASE4"/>
      <sheetName val="DATA"/>
      <sheetName val="NBQA"/>
      <sheetName val="MOTO"/>
      <sheetName val="Sheet1_x0000__x0000__x0004__x0000_ ǅ_x0000__x0001__x0000_&lt;BOOK1.XLS]Sh"/>
      <sheetName val="bleĤģ_x0000_서식을 Ĩĥ_x0000_ħĦ_x0000_률_x0000_며_x0000_을 변경īĪ_x0000_용_x0000_ĭĬ"/>
      <sheetName val="??"/>
      <sheetName val="RR 세부"/>
      <sheetName val="[Book1.xls]dd mmmm yyyy_x0000__x0000__x0000_赶_x0000__x0003__x0016_["/>
      <sheetName val="[Book1.xls][Book1.xls][Book1.xl"/>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__"/>
      <sheetName val="수출"/>
      <sheetName val="2_대외공문1"/>
      <sheetName val="2_????"/>
      <sheetName val="B_K작업분석1"/>
      <sheetName val="조치사항"/>
      <sheetName val="XGPROD"/>
      <sheetName val="OPT손익_내수"/>
      <sheetName val="B"/>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차체"/>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인원"/>
      <sheetName val="진급관련DATA"/>
      <sheetName val="1.변경범위"/>
      <sheetName val="PC%계산"/>
      <sheetName val="Sheet1_x0000_ˆŒ_x0004__x0000_ ǅ_x0001__x0000_ˆ&lt;BOOK1.XLS]Sh"/>
      <sheetName val="䅀㿠_x0001_?_x0001_t_x0016_?䅀㿰"/>
      <sheetName val="_x0001_?_x0001_?_x0003_?_x0001_?Ô_x0001_?,?¦¦_x0002_?p?4"/>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환율기준"/>
      <sheetName val="3.일반사상"/>
      <sheetName val="OP20"/>
      <sheetName val="02년결과_VLOOK"/>
      <sheetName val="Sheet1??ˆŒ?_x0004_?????? ǅ???????????"/>
      <sheetName val="[Book1.xls]dd mmmm yyyy_x0000_赶_x0003__x0016_[$-0"/>
      <sheetName val="2_____"/>
      <sheetName val="기초자료"/>
      <sheetName val="̃?"/>
      <sheetName val="Sheet1??_x0004_? ǅ?_x0001_?&lt;BOOK1.XLS]Sh"/>
      <sheetName val="bleĤģ?서식을 Ĩĥ?ħĦ?률?며?을 변경īĪ?용?ĭĬ"/>
      <sheetName val="[Book1.xls]dd mmmm yyyy???赶?_x0003__x0016_["/>
      <sheetName val="Sheet1?ˆŒ_x0004_? ǅ_x0001_?ˆ&lt;BOOK1.XLS]Sh"/>
      <sheetName val="̃_"/>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FB-봉제"/>
      <sheetName val="FC-봉제"/>
      <sheetName val="프로텍터(압출)"/>
      <sheetName val="인서트와이어"/>
      <sheetName val="2차-PROTO-(1)"/>
      <sheetName val="팀별 내역"/>
      <sheetName val="샤설"/>
      <sheetName val="시작"/>
      <sheetName val="성시"/>
      <sheetName val="차시"/>
      <sheetName val="기시"/>
      <sheetName val="전시"/>
      <sheetName val="인증"/>
      <sheetName val="용접계산참조"/>
      <sheetName val="원가계산"/>
      <sheetName val="재료비"/>
      <sheetName val="가공비"/>
      <sheetName val="하나로통신"/>
      <sheetName val="원본"/>
      <sheetName val="M1master"/>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1의 공정능력"/>
      <sheetName val="서식등록대장"/>
      <sheetName val="Sheet1_x0000_ˆŒ_x0004__x0000_ ǅ_x0001__x0000_ˆ&lt;BOOK1.XLS"/>
      <sheetName val="수리결과"/>
      <sheetName val="LX3.0 RR"/>
      <sheetName val="dd mmmm yyyy_x0000__x0000__x0000_赶_x0000__x0003__x0016_[$-0409]hh:m"/>
      <sheetName val="dd mmmm yyyy_x0000_赶_x0003__x0016_[$-0409]hh:mm:s"/>
      <sheetName val="dd mmmm yyyy???赶?_x0003__x0016_[$-0409]hh:m"/>
      <sheetName val="1st Gear"/>
      <sheetName val="1st Gear (2)"/>
      <sheetName val="차체부품 INS REPORT(갑)"/>
      <sheetName val="검사기준서"/>
      <sheetName val="R_D"/>
      <sheetName val="2차_PROTO__1_"/>
      <sheetName val="와이어링종합"/>
      <sheetName val="+T_x0000__x0002__x0005_Ā_x0008__x0000__x0000_믪_x000c__x0002_Ā_x0008_໦ȥ_x0001__x0000__x0000__x0000_蘕诠밖_x0001__x0000__x0000__x0000__x0018__x0000_"/>
      <sheetName val="◁서열운반비 상세내역 (실제기준)"/>
      <sheetName val="2"/>
      <sheetName val="FUEL FILLER"/>
      <sheetName val="●목차"/>
      <sheetName val="Sheet1__ˆŒ__x0004_______ ǅ___________"/>
      <sheetName val="Sheet1ˆŒ_x0004_ ǅ_x0001_ˆ&lt;BOOK1.XLS]Sheet2ˆ"/>
      <sheetName val="bleĤģ서식을 ĨĥħĦ률며을 변경īĪ용ĭĬ 끌어 에서는"/>
      <sheetName val="시작품의"/>
      <sheetName val="[Book1.xls]dd mmmm yyyy"/>
      <sheetName val="+T"/>
      <sheetName val="[Book1.xls]d_m_yy_____1010000_2"/>
      <sheetName val="인도"/>
      <sheetName val="협력사전화번호"/>
      <sheetName val="검기갑지"/>
      <sheetName val="●현황"/>
      <sheetName val="ALPHA AIM"/>
      <sheetName val="dd mmmm yyyy_x0000_赶_x0000__x0003__x0016_[$-0409]hh:mm:"/>
      <sheetName val="Cluster"/>
      <sheetName val="Ȁ怑_x0000__x0000_ͷ_x0000__x0000_"/>
      <sheetName val="2_´ë¿Ü°ø¹®"/>
      <sheetName val="업무연락"/>
      <sheetName val="월별매출"/>
      <sheetName val="d/m/yy"/>
      <sheetName val="DR설변이력070115"/>
      <sheetName val="2_대외공문2"/>
      <sheetName val="2_????1"/>
      <sheetName val="외주현황_wq1"/>
      <sheetName val="Production_Plan1"/>
      <sheetName val="Value_Analysis_-_Sheet_1"/>
      <sheetName val="MAST_S"/>
      <sheetName val="금형개발_"/>
      <sheetName val="CH'K_P(A)"/>
      <sheetName val="CH'K_P(B)"/>
      <sheetName val="FMEA_W_S(HU)"/>
      <sheetName val="FMEA_W_S(S_W)"/>
      <sheetName val="_mdb,*_htm,*_html,*_pub);웹_페이지("/>
      <sheetName val="부품특성2_"/>
      <sheetName val="b"/>
      <sheetName val="SPARE_PART(기계부)"/>
      <sheetName val="SPARE_PART(전기부)"/>
      <sheetName val="소모_공구"/>
      <sheetName val="우일_FA(납땜),아이제_코리아(마킹),반도상사(도장)"/>
      <sheetName val="10_21이후_(최종본)"/>
      <sheetName val="List(Item별)_(10_21회의록_근거)"/>
      <sheetName val="10_21이후"/>
      <sheetName val="10_20까지"/>
      <sheetName val="25_32_34"/>
      <sheetName val="List(Item별)_(하나모듈)"/>
      <sheetName val="䅀㿠t䅀㿰"/>
      <sheetName val="Sheet1_ǅ"/>
      <sheetName val="Ô,¦¦"/>
      <sheetName val="_&gt;N^n~®¾ÎÞî"/>
      <sheetName val="bleĤģ서식을_ĨĥħĦ률"/>
      <sheetName val="ㅊ_ㅔㅁㅇ"/>
      <sheetName val="Sheet1ˆŒ_ǅˆ&lt;BOOK1_XLS]Shee"/>
      <sheetName val="_&gt;N^n~Žž®¾ÎÞî"/>
      <sheetName val="bleĤģ서식을_ĨĥħĦ률며을_변경īĪ용ĭĬ_끌어"/>
      <sheetName val="Sheet1ˆŒ_ǅ"/>
      <sheetName val="¿ÜÁÖÇöÈ²_wq1"/>
      <sheetName val="FR_HR(A-LEA)"/>
      <sheetName val="FR_HR(VINYL)"/>
      <sheetName val="Sheet1_ǅ&lt;BOOK1_XLS]Sh"/>
      <sheetName val="bleĤģ서식을_ĨĥħĦ률며을_변경īĪ용ĭĬ"/>
      <sheetName val="bleĤģ서식을_ĨĥħĦ"/>
      <sheetName val="RR_세부"/>
      <sheetName val="?䅀㿠?????????t?䅀㿰??"/>
      <sheetName val="Sheet1?????????_ǅ???????????"/>
      <sheetName val="?????Ô????,?¦?¦???????????"/>
      <sheetName val="bleĤģ??????서식을_Ĩĥ????ħĦ??????률?"/>
      <sheetName val="Sheet1?ˆŒ?_ǅ?ˆ&lt;BOOK1_XLS]Shee"/>
      <sheetName val="bleĤģ서식을_ĨĥħĦ?률?며?을_변경īĪ용?ĭĬ_끌어"/>
      <sheetName val="Sheet1?ˆŒ??_ǅ"/>
      <sheetName val="????Ô?,?¦¦"/>
      <sheetName val="bleĤģ서식을_ĨĥħĦ?률?"/>
      <sheetName val="dd_mmmm_yyyy赶[$-0409]hh:m"/>
      <sheetName val="2_____1"/>
      <sheetName val="_mdb,__htm,__html,__pub);웹_페이지("/>
      <sheetName val="䅀㿠?t?䅀㿰"/>
      <sheetName val="????Ô?,?¦¦?p?4"/>
      <sheetName val="3_일반사상"/>
      <sheetName val="1_변경범위"/>
      <sheetName val="Sheet1ˆŒ_ǅˆ&lt;BOOK1_XLS]Sh"/>
      <sheetName val="dd_mmmm_yyyy"/>
      <sheetName val="_䅀㿠_________t_䅀㿰__"/>
      <sheetName val="Sheet1__________ǅ___________"/>
      <sheetName val="_____Ô____,_¦_¦___________"/>
      <sheetName val="bleĤģ______서식을_Ĩĥ____ħĦ______률_"/>
      <sheetName val="Sheet1_ˆŒ__ǅ_ˆ&lt;BOOK1_XLS_Shee"/>
      <sheetName val="bleĤģ서식을_ĨĥħĦ_률_며_을_변경īĪ용_ĭĬ_끌어"/>
      <sheetName val="䅀㿠_t_䅀㿰"/>
      <sheetName val="____Ô_,_¦¦_p_4"/>
      <sheetName val="Sheet1_ˆŒ___ǅ"/>
      <sheetName val="____Ô_,_¦¦"/>
      <sheetName val="bleĤģ서식을_ĨĥħĦ_률_"/>
      <sheetName val="팀별_내역"/>
      <sheetName val="_계산(&amp;E)________________중지(&amp;A)__"/>
      <sheetName val="사용하십시오_인터넷_주소_'|'이(가)_잘못되었습니다__"/>
      <sheetName val="되게_합니다_선택한_WordArt_개체의_왼쪽에_텍스트를"/>
      <sheetName val="회색조_이미지로_변환합니다_선택한_그림을_흑백_이미지로_"/>
      <sheetName val="Sheet1_(2)"/>
      <sheetName val="Sheet1_(3)"/>
      <sheetName val="1의_공정능력"/>
      <sheetName val="Sheet1ˆŒ_ǅˆ&lt;BOOK1_XLS"/>
      <sheetName val="1st_Gear"/>
      <sheetName val="1st_Gear_(2)"/>
      <sheetName val="차체부품_INS_REPORT(갑)1"/>
      <sheetName val="+TĀ믪Ā໦ȥ蘕诠밖"/>
      <sheetName val="Sheet1??ˆŒ???????_ǅ???????????"/>
      <sheetName val="dd_mmmm_yyyy赶[$-0409]hh:mm:s"/>
      <sheetName val="LX3_0_RR"/>
      <sheetName val="Sheet1__ˆŒ________ǅ___________"/>
      <sheetName val="Sheet1???_ǅ??&lt;BOOK1_XLS]Sh"/>
      <sheetName val="bleĤģ?서식을_Ĩĥ?ħĦ?률?며?을_변경īĪ?용?ĭĬ"/>
      <sheetName val="2_대외공문3"/>
      <sheetName val="2_????2"/>
      <sheetName val="2_´ë¿Ü°ø¹®1"/>
      <sheetName val="외주현황_wq11"/>
      <sheetName val="Production_Plan11"/>
      <sheetName val="Value_Analysis_-_Sheet_11"/>
      <sheetName val="MAST_S1"/>
      <sheetName val="금형개발_1"/>
      <sheetName val="CH'K_P(A)1"/>
      <sheetName val="CH'K_P(B)1"/>
      <sheetName val="FMEA_W_S(HU)1"/>
      <sheetName val="FMEA_W_S(S_W)1"/>
      <sheetName val="_mdb,*_htm,*_html,*_pub);웹_페이지1"/>
      <sheetName val="부품특성2_1"/>
      <sheetName val="SPARE_PART(기계부)1"/>
      <sheetName val="SPARE_PART(전기부)1"/>
      <sheetName val="소모_공구1"/>
      <sheetName val="우일_FA(납땜),아이제_코리아(마킹),반도상사(도장)1"/>
      <sheetName val="10_21이후_(최종본)1"/>
      <sheetName val="List(Item별)_(10_21회의록_근거)1"/>
      <sheetName val="10_21이후1"/>
      <sheetName val="10_20까지1"/>
      <sheetName val="25_32_341"/>
      <sheetName val="List(Item별)_(하나모듈)1"/>
      <sheetName val="ㅊ_ㅔㅁㅇ1"/>
      <sheetName val="¿ÜÁÖÇöÈ²_wq11"/>
      <sheetName val="FR_HR(A-LEA)1"/>
      <sheetName val="FR_HR(VINYL)1"/>
      <sheetName val="bleĤģ서식을_ĨĥħĦ1"/>
      <sheetName val="RR_세부1"/>
      <sheetName val="bleĤģ??????서식을_Ĩĥ????ħĦ??????률1"/>
      <sheetName val="bleĤģ서식을_ĨĥħĦ?률?며?을_변경īĪ용?ĭĬ_끌1"/>
      <sheetName val="bleĤģ서식을_ĨĥħĦ?률?1"/>
      <sheetName val="2_____2"/>
      <sheetName val="_mdb,__htm,__html,__pub);웹_페이지1"/>
      <sheetName val="3_일반사상1"/>
      <sheetName val="1_변경범위1"/>
      <sheetName val="dd_mmmm_yyyy1"/>
      <sheetName val="bleĤģ______서식을_Ĩĥ____ħĦ______률1"/>
      <sheetName val="bleĤģ서식을_ĨĥħĦ_률_며_을_변경īĪ용_ĭĬ_끌1"/>
      <sheetName val="bleĤģ서식을_ĨĥħĦ_률_1"/>
      <sheetName val="팀별_내역1"/>
      <sheetName val="_계산(&amp;E)________________중지(&amp;A)_1"/>
      <sheetName val="사용하십시오_인터넷_주소_'|'이(가)_잘못되었습니다_1"/>
      <sheetName val="되게_합니다_선택한_WordArt_개체의_왼쪽에_텍스트1"/>
      <sheetName val="회색조_이미지로_변환합니다_선택한_그림을_흑백_이미지로1"/>
      <sheetName val="Sheet1_(2)1"/>
      <sheetName val="Sheet1_(3)1"/>
      <sheetName val="1의_공정능력1"/>
      <sheetName val="1st_Gear1"/>
      <sheetName val="1st_Gear_(2)1"/>
      <sheetName val="차체부품_INS_REPORT(갑)2"/>
      <sheetName val="LX3_0_RR1"/>
      <sheetName val="bleĤģ?서식을_Ĩĥ?ħĦ?률?며?을_변경īĪ?용?ĭ1"/>
      <sheetName val="Ô,¦¦p4"/>
      <sheetName val="[Book1.xls]d_m_yy_____1010000_4"/>
      <sheetName val="[Book1.xls][Book1.xls]d_m_yy__4"/>
      <sheetName val="[Book1.xls]dd_mmmm_yyyy_______2"/>
      <sheetName val="[Book1.xls]dd_mmmm_yyyy_______3"/>
      <sheetName val="[Book1.xls]d/m/yy"/>
      <sheetName val="[Book1.xls]dd_mmmm_yyyy____04_2"/>
      <sheetName val="[Book1.xls][Book1.xls]d_m_yy__2"/>
      <sheetName val="[Book1.xls]dd_mmmm_yyyy____04_3"/>
      <sheetName val="[Book1.xls]d_m_yy_____1010000_3"/>
      <sheetName val="[Book1.xls][Book1.xls]d_m_yy__3"/>
      <sheetName val="[Book1.xls]d_m_yy_____1010000_9"/>
      <sheetName val="[Book1.xls][Book1.xls]d_m_yy_15"/>
      <sheetName val="[Book1.xls][Book1.xls]d_m_yy_13"/>
      <sheetName val="[Book1.xls]d_m_yy_____1010000_8"/>
      <sheetName val="[Book1.xls][Book1.xls]d_m_yy_14"/>
      <sheetName val="[Book1.xls]d_m_yy_____1010000_6"/>
      <sheetName val="[Book1.xls][Book1.xls]d_m_yy_10"/>
      <sheetName val="[Book1.xls][Book1.xls]d_m_yy__7"/>
      <sheetName val="[Book1.xls]dd_mmmm_yyyy赶[$-0409"/>
      <sheetName val="[Book1.xls][Book1.xls]d_m_yy__8"/>
      <sheetName val="[Book1.xls][Book1.xls]d/m/yy_x0000__x0013_["/>
      <sheetName val="[Book1.xls][Book1.xls]d/m/yy[$-"/>
      <sheetName val="감가상각비"/>
      <sheetName val="95MAKER"/>
      <sheetName val="작성양식"/>
      <sheetName val="[Book1.xls]d_m_yy_____1010000_5"/>
      <sheetName val="[Book1.xls][Book1.xls]d_m_yy__9"/>
      <sheetName val="[Book1.xls][Book1.xls]d_m_yy__5"/>
      <sheetName val="[Book1.xls][Book1.xls]d_m_yy__6"/>
      <sheetName val="[Book1.xls][Book1.xls]d_m_yy_11"/>
      <sheetName val="[Book1.xls]d_m_yy_____1010000_7"/>
      <sheetName val="[Book1.xls][Book1.xls]d_m_yy_12"/>
      <sheetName val="[Book1.xls]d_m_yy_____101000_10"/>
      <sheetName val="[Book1.xls]d_m_yy_____101000_11"/>
      <sheetName val="[Book1.xls]d_m_yy_____101000_12"/>
      <sheetName val="[Book1.xls]d_m_yy_____101000_13"/>
      <sheetName val="[Book1.xls][Book1.xls]d_m_yy_16"/>
      <sheetName val="[Book1.xls]d_m_yy_____101000_14"/>
      <sheetName val="[Book1.xls]d_m_yy_____101000_15"/>
      <sheetName val="[Book1.xls]d_m_yy_____101000_16"/>
      <sheetName val="[Book1.xls]d_m_yy_____101000_17"/>
      <sheetName val="[Book1.xls]d_m_yy_____101000_19"/>
      <sheetName val="[Book1.xls]d_m_yy_____101000_18"/>
      <sheetName val="[Book1.xls][Book1.xls]d_m_yy_17"/>
      <sheetName val="[Book1.xls]d_m_yy_____101000_20"/>
      <sheetName val="[Book1.xls]d_m_yy_____101000_21"/>
      <sheetName val="[Book1.xls]d_m_yy_____101000_27"/>
      <sheetName val="[Book1.xls][Book1.xls]d_m_yy_28"/>
      <sheetName val="[Book1.xls][Book1.xls]d_m_yy_20"/>
      <sheetName val="[Book1.xls][Book1.xls]d_m_yy_18"/>
      <sheetName val="[Book1.xls][Book1.xls]d_m_yy_19"/>
      <sheetName val="[Book1.xls]d_m_yy_____101000_22"/>
      <sheetName val="[Book1.xls][Book1.xls]d_m_yy_21"/>
      <sheetName val="[Book1.xls][Book1.xls]d_m_yy_22"/>
      <sheetName val="[Book1.xls][Book1.xls]d_m_yy_23"/>
      <sheetName val="[Book1.xls][Book1.xls]d_m_yy_24"/>
      <sheetName val="[Book1.xls]d_m_yy_____101000_26"/>
      <sheetName val="[Book1.xls][Book1.xls]d_m_yy_26"/>
      <sheetName val="[Book1.xls][Book1.xls]d_m_yy_25"/>
      <sheetName val="[Book1.xls]d_m_yy_____101000_23"/>
      <sheetName val="[Book1.xls]d_m_yy_____101000_24"/>
      <sheetName val="[Book1.xls]d_m_yy_____101000_25"/>
      <sheetName val="[Book1.xls][Book1.xls]d_m_yy_27"/>
      <sheetName val="[Book1.xls][Book1.xls]d_m_yy_31"/>
      <sheetName val="[Book1.xls][Book1.xls]d_m_yy_29"/>
      <sheetName val="[Book1.xls][Book1.xls]d_m_yy_30"/>
      <sheetName val="[Book1.xls][Book1.xls]d_m_yy_33"/>
      <sheetName val="[Book1.xls][Book1.xls]d_m_yy_32"/>
      <sheetName val="[Book1.xls][Book1.xls]d_m_yy_37"/>
      <sheetName val="[Book1.xls][Book1.xls]d_m_yy_34"/>
      <sheetName val="[Book1.xls][Book1.xls]d_m_yy_35"/>
      <sheetName val="[Book1.xls][Book1.xls]d_m_yy_36"/>
      <sheetName val="[Book1.xls][Book1.xls]d_m_yy_38"/>
      <sheetName val="[Book1.xls]d_m_yy_____101000_29"/>
      <sheetName val="[Book1.xls][Book1.xls]d_m_yy_40"/>
      <sheetName val="[Book1.xls]d_m_yy_____101000_28"/>
      <sheetName val="[Book1.xls][Book1.xls]d_m_yy_39"/>
      <sheetName val="[Book1.xls][Book1.xls]d_m_yy_41"/>
      <sheetName val="[Book1.xls][Book1.xls]d_m_yy_42"/>
      <sheetName val="[Book1.xls][Book1.xls]d_m_yy_43"/>
      <sheetName val="[Book1.xls][Book1.xls]d_m_yy_44"/>
      <sheetName val="[Book1.xls][Book1.xls]d_m_yy_45"/>
      <sheetName val="[Book1.xls][Book1.xls]d_m_yy_46"/>
      <sheetName val="[Book1.xls][Book1.xls]d_m_yy_47"/>
      <sheetName val="[Book1.xls][Book1.xls]d_m_yy_49"/>
      <sheetName val="[Book1.xls][Book1.xls]d_m_yy_48"/>
      <sheetName val="[Book1.xls][Book1.xls]d_m_yy_51"/>
      <sheetName val="[Book1.xls][Book1.xls]d_m_yy_50"/>
      <sheetName val="[Book1.xls]d_m_yy_____101000_31"/>
      <sheetName val="[Book1.xls]d_m_yy_____101000_30"/>
      <sheetName val="[Book1.xls]d_m_yy_____101000_32"/>
      <sheetName val="[Book1.xls]d_m_yy_____101000_33"/>
      <sheetName val="[Book1.xls]d_m_yy_____101000_34"/>
      <sheetName val="[Book1.xls]d_m_yy_____101000_35"/>
      <sheetName val="[Book1.xls][Book1.xls]d_m_yy_52"/>
      <sheetName val="[Book1.xls]d_m_yy_____101000_36"/>
      <sheetName val="[Book1.xls][Book1.xls]d_m_yy_53"/>
      <sheetName val="[Book1.xls][Book1.xls]d_m_yy_54"/>
      <sheetName val="[Book1.xls][Book1.xls]d_m_yy_55"/>
      <sheetName val="[Book1.xls][Book1.xls]d_m_yy_56"/>
      <sheetName val="[Book1.xls][Book1.xls]d_m_yy_58"/>
      <sheetName val="[Book1.xls][Book1.xls]d_m_yy_57"/>
      <sheetName val="[Book1.xls][Book1.xls]d_m_yy_59"/>
      <sheetName val="[Book1.xls][Book1.xls]d_m_yy_61"/>
      <sheetName val="[Book1.xls][Book1.xls]d_m_yy_60"/>
      <sheetName val="[Book1.xls][Book1.xls]d_m_yy_62"/>
      <sheetName val="[Book1.xls][Book1.xls]d_m_yy_63"/>
      <sheetName val="[Book1.xls][Book1.xls]d_m_yy_64"/>
      <sheetName val="MH_생산"/>
      <sheetName val="CC Down load 0716"/>
      <sheetName val="내역서"/>
      <sheetName val="_x005f_x0005__x005f_x0003__x005f_x0004_b"/>
      <sheetName val="_x005f_x0000_䅀㿠_x005f_x0000__x005f_x0000__x005f_x0000__"/>
      <sheetName val="Sheet1_x005f_x0000__x005f_x0000__x005f_x0000__x"/>
      <sheetName val="_x005f_x0000__x005f_x0001__x005f_x0000__x005f_x0001__x0"/>
      <sheetName val="_x005f_x001e_.&gt;N^n~®¾ÎÞî"/>
      <sheetName val="bleĤģ_x005f_x0000__x005f_x0000__x005f_x0000__x000"/>
      <sheetName val="Sheet1_x005f_x0000_ˆŒ_x005f_x0004__x005f_x0000_ ǅ"/>
      <sheetName val="_x005f_x001e_.&gt;N^n~Žž®¾ÎÞî"/>
      <sheetName val="bleĤģ서식을 ĨĥħĦ_x005f_x0000_률_x005f_x0000_며_x"/>
      <sheetName val="Sheet1_x005f_x0000_ˆŒ_x005f_x0000__x005f_x0004__x"/>
      <sheetName val="̃_x005f_x0000_"/>
      <sheetName val="Sheet1_x005f_x0000__x005f_x0000__x005f_x0004__x"/>
      <sheetName val="bleĤģ_x005f_x0000_서식을 Ĩĥ_x005f_x0000_ħĦ_x00"/>
      <sheetName val="?䅀㿠????_x005f_x0001_?????_x005f_x0001_t_x00"/>
      <sheetName val="Sheet1???_x005f_x0004_?????? ǅ?????"/>
      <sheetName val="?_x005f_x0001_?_x005f_x0001_?_x005f_x0003_?_x0001"/>
      <sheetName val="Sheet1?ˆŒ_x005f_x0004_? ǅ_x005f_x0001_?ˆ&lt;BO"/>
      <sheetName val="Sheet1?ˆŒ?_x005f_x0004_? ǅ"/>
      <sheetName val="_x005f_x0001_?_x005f_x0001_?_x005f_x0003_?_x005f_x0001_"/>
      <sheetName val="dd mmmm yyyy_x005f_x0000__x005f_x0000__x000"/>
      <sheetName val="_x005f_x0001_"/>
      <sheetName val="CC_Down_load_0716"/>
      <sheetName val="문서처리전"/>
      <sheetName val="수입"/>
      <sheetName val="[Book1.xls]d/m/yy_x005f_x0000__x005f_x0013_"/>
      <sheetName val="[Book1.xls][Book1.xls]d/m/yy_x0"/>
      <sheetName val="JP_GP_UP통합"/>
      <sheetName val="内销1~8"/>
      <sheetName val="04"/>
      <sheetName val="W-현원가"/>
      <sheetName val="J100"/>
      <sheetName val="MAIN"/>
      <sheetName val="BND"/>
      <sheetName val="ORIGIN"/>
      <sheetName val="Tbom-tot"/>
      <sheetName val="LIST"/>
      <sheetName val="EXP-COST"/>
      <sheetName val="A-100전제"/>
      <sheetName val="시설투자"/>
      <sheetName val="팀별 합계"/>
      <sheetName val="PILOT APP."/>
      <sheetName val="BRAKE"/>
      <sheetName val="T진도"/>
      <sheetName val="J150 승인진도관리 LIST"/>
      <sheetName val="TOTAL LIST"/>
      <sheetName val="FTR MACRo"/>
      <sheetName val="지정공장"/>
      <sheetName val="서울정비"/>
      <sheetName val="전체실적"/>
      <sheetName val="효율계획(당월)"/>
      <sheetName val="Price Range"/>
      <sheetName val="판매대수"/>
      <sheetName val="PAKAGE4362"/>
      <sheetName val="목표재료비"/>
      <sheetName val="헤드불량내용"/>
      <sheetName val="크랑크불량내용"/>
      <sheetName val="intro"/>
      <sheetName val="표시형식"/>
      <sheetName val="셀간 이동"/>
      <sheetName val="영역선택"/>
      <sheetName val="_x0000_p"/>
      <sheetName val="C"/>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 계산(&amp;E)                중지(&amp;Aⴀॆࡷ"/>
      <sheetName val=" 계산(&amp;E)                중지(&amp;A_x0001__x0000_　"/>
      <sheetName val=" 계산(&amp;E)                중지(&amp;A_x0001__x0000_瀀"/>
      <sheetName val=":"/>
      <sheetName val="확정실적"/>
      <sheetName val="980731"/>
      <sheetName val="작성 (3)"/>
      <sheetName val="작성 (2)"/>
      <sheetName val="禀议"/>
      <sheetName val="JP PSI"/>
      <sheetName val="HP PSI"/>
      <sheetName val="HP汇总"/>
      <sheetName val="人事U核对信息"/>
      <sheetName val="全体劳务工名单"/>
      <sheetName val="物流人员信息"/>
      <sheetName val="JP汇总"/>
      <sheetName val="补偿明细(非劳务)"/>
      <sheetName val="补偿明细（劳务）"/>
      <sheetName val="코드생성기"/>
      <sheetName val="CODE生成机"/>
      <sheetName val="목록"/>
      <sheetName val="[Book1.xls]:"/>
      <sheetName val="[Book1.xls][Book1.xls]d/m/yy"/>
      <sheetName val="MDR data"/>
      <sheetName val="DMTS(60)"/>
      <sheetName val="ARES(G2,-60~80)"/>
      <sheetName val="Cost Factors"/>
      <sheetName val="유첨3.20년반제품실적정리"/>
      <sheetName val="제조원가"/>
      <sheetName val="CARPET (ACTUAL)-bond"/>
      <sheetName val="RM DETAILS"/>
      <sheetName val="CFLOW"/>
      <sheetName val="EMBLEM"/>
      <sheetName val="_x0000_䎈㨀尀倀爀漀最爀愀洀䐀愀琀愀尀䴀椀挀爀漀猀漀昀琀尀圀椀渀搀漀"/>
      <sheetName val="_x0001__x0000__x0001__x0000__x0003__x0000__x0001__x0000_Ô_x0001__x0000_,_x0000_¦¦_x0002__x0000_p_x0000_4"/>
      <sheetName val="Q1동"/>
      <sheetName val="Sheet1ˆŒ_x0004_ ǅ_x0001_ˆ&lt;BOOK1.XLS_Sheet2ˆ"/>
      <sheetName val="계획수량"/>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Book1.xls"/>
      <sheetName val="납킈용기개발"/>
      <sheetName val="시작젨문제"/>
      <sheetName val="B)...文字方向(&amp;X)...项目符号和编号(&amp;N)...标"/>
      <sheetName val="직원신상"/>
      <sheetName val="을지7"/>
      <sheetName val="업종(수정)"/>
      <sheetName val="_Recovered_SheetName_338_"/>
      <sheetName val="인원계획"/>
      <sheetName val="가공라인실적"/>
      <sheetName val="NF+CM"/>
      <sheetName val="사용하십시오.인터넷 주소 '|'이(가)䀀蔰_xdf01_䢋䐀鞉栈顽"/>
      <sheetName val="omctl32.dll"/>
      <sheetName val="ĞĀ_x0008_r_x0005__x0003_"/>
      <sheetName val="_x001e__x0002_"/>
      <sheetName val="IO Mod List (2)"/>
      <sheetName val="IO Mod List (1)"/>
      <sheetName val="080-HIS-159"/>
      <sheetName val="080-HIS-160"/>
      <sheetName val="080-HIS-161"/>
      <sheetName val="080-HIS-162"/>
      <sheetName val="080-HIS-257"/>
      <sheetName val="080-HIS-258"/>
      <sheetName val="080-HIS-259"/>
      <sheetName val="080-HIS-260"/>
      <sheetName val="080-HIS-261"/>
      <sheetName val="080-HIS-262"/>
      <sheetName val="080-HIS-263"/>
      <sheetName val="080-HIS-264"/>
      <sheetName val="080-DCS-101"/>
      <sheetName val="080-DCS-102"/>
      <sheetName val="080-DCS-103"/>
      <sheetName val="080-DCS-104"/>
      <sheetName val="080-DCS-201"/>
      <sheetName val="080-DCS-202"/>
      <sheetName val="080-DCS-203"/>
      <sheetName val="080-DCS-204"/>
      <sheetName val="080-DCS-205"/>
      <sheetName val="080-DCS-206"/>
      <sheetName val="080-DCS-207"/>
      <sheetName val="14962"/>
      <sheetName val="14963"/>
      <sheetName val="14923"/>
      <sheetName val="55010"/>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PumpSpec"/>
      <sheetName val="[Book1.xls]d_m_yy_x005f_x0000__x001_2"/>
      <sheetName val="[Book1.xls]d_m_yy_____10100_128"/>
      <sheetName val="WIRE MASTER LIST"/>
      <sheetName val="비교원가(97040-3L0孰&gt;⻼"/>
      <sheetName val="Synthesis by Region and Quarter"/>
      <sheetName val="DR1동"/>
      <sheetName val="[Book1.xls]d_m_yy_____10100_129"/>
      <sheetName val="dd mmmm yyyy_x0000__x0000__x0000__x0001__x0000_က⭵␏⠢Ⰰ▉㐀▎_x0000__x0000_ऀ_x0008_저▎"/>
      <sheetName val="dd mmmm yyyy_x0000__x0000__x0000__x0001__x0000_᠀晉␋✢尀ኍ搀ኒ_x0000__x0000_ऀ_x0008_ኒ"/>
      <sheetName val="ptpcost1"/>
      <sheetName val="dd mmmm yyyy_x0000__x0000__x0000__x0000__x0000_砀盤䠁䲍_x0000__x0000_퀀띹఍_x0001__x0000_ṇ"/>
      <sheetName val="dd mmmm yyyy_x0000__x0000__x0000__x0000__x0000_砀盤䠁䲍_x0000__x0000_ 功గ_x0001__x0000_ṇ"/>
      <sheetName val="dd mmmm yyyy_x0000__x0000__x0000__x0000__x0000_砀盤䠁䲍_x0000__x0000_쀀鮈఍_x0001__x0000_ṇ"/>
      <sheetName val="dd mmmm yyyy_x0000__x0000__x0000__x0000__x0000_砀俤䠂▍_x0001__x0000_怀⭯ఔ㠞_x0000__x0000_뀀⥈"/>
      <sheetName val="dd mmmm yyyy_x0000__x0000__x0000__x0000__x0000_砀俤䠂▍_x0001__x0000_栀萡఑㠞_x0000__x0000_뀀⥈"/>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R萧䐢찀➉퐀➎_x0000__x0000_ऀ_x0008_栀➏"/>
      <sheetName val="fgPRRKRKRKTBTB1RT"/>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dd mmmm yyyy_x0000__x0000__x0000__x0000__x0000_蠀㄁쑶_x0000__x0000_쀀봜ఘ㼞_x0000__x0000_䀀⑉"/>
      <sheetName val="dd mmmm yyyy_x0000__x0000__x0000__x0000__x0000_蠀婤㄂㙶_x0001__x0000_저㈼ట䈞_x0000__x0000_ꀀ⽉"/>
      <sheetName val="계산DATA입력"/>
      <sheetName val="상세 계산 내역"/>
      <sheetName val="계산정보"/>
      <sheetName val="[Book1.xls][Book1.xls]d/m/yy?_x0013_["/>
      <sheetName val="[Book1.xls]d_m_yy_____101000_56"/>
      <sheetName val="[Book1.xls]d_m_yy_____101000_57"/>
      <sheetName val="[Book1.xls]d_m_yy_____101000_38"/>
      <sheetName val="[Book1.xls]d_m_yy_____101000_39"/>
      <sheetName val="[Book1.xls]d_m_yy_____101000_37"/>
      <sheetName val="[Book1.xls]d_m_yy_____101000_48"/>
      <sheetName val="[Book1.xls]d_m_yy_____101000_49"/>
      <sheetName val="[Book1.xls]d_m_yy_____101000_46"/>
      <sheetName val="[Book1.xls]d_m_yy_____101000_47"/>
      <sheetName val="[Book1.xls]d_m_yy_____101000_44"/>
      <sheetName val="[Book1.xls]d_m_yy_____101000_45"/>
      <sheetName val="[Book1.xls]d_m_yy_____101000_42"/>
      <sheetName val="[Book1.xls]d_m_yy_____101000_43"/>
      <sheetName val="[Book1.xls]d_m_yy_____101000_40"/>
      <sheetName val="[Book1.xls]d_m_yy_____101000_41"/>
      <sheetName val="[Book1.xls]d_m_yy_____101000_54"/>
      <sheetName val="[Book1.xls]d_m_yy_____101000_55"/>
      <sheetName val="[Book1.xls]d_m_yy_____101000_52"/>
      <sheetName val="[Book1.xls]d_m_yy_____101000_53"/>
      <sheetName val="[Book1.xls]d_m_yy_____101000_50"/>
      <sheetName val="[Book1.xls]d_m_yy_____101000_51"/>
      <sheetName val="[Book1.xls]d_m_yy_____101000_72"/>
      <sheetName val="[Book1.xls]d_m_yy_____101000_73"/>
      <sheetName val="[Book1.xls]d_m_yy_____101000_58"/>
      <sheetName val="[Book1.xls]d_m_yy_____101000_59"/>
      <sheetName val="[Book1.xls]d_m_yy_____101000_60"/>
      <sheetName val="[Book1.xls]d_m_yy_____101000_61"/>
      <sheetName val="[Book1.xls]d_m_yy_____101000_62"/>
      <sheetName val="[Book1.xls]d_m_yy_____101000_63"/>
      <sheetName val="[Book1.xls]d_m_yy_____101000_64"/>
      <sheetName val="[Book1.xls]d_m_yy_____101000_65"/>
      <sheetName val="[Book1.xls]d_m_yy_____101000_68"/>
      <sheetName val="[Book1.xls]d_m_yy_____101000_69"/>
      <sheetName val="[Book1.xls]d_m_yy_____101000_66"/>
      <sheetName val="[Book1.xls]d_m_yy_____101000_67"/>
      <sheetName val="[Book1.xls]d_m_yy_____101000_70"/>
      <sheetName val="[Book1.xls]d_m_yy_____101000_71"/>
      <sheetName val="[Book1.xls]d_m_yy_____101000_74"/>
      <sheetName val="[Book1.xls]d_m_yy_____101000_75"/>
      <sheetName val="[Book1.xls]d_m_yy_____101000_80"/>
      <sheetName val="[Book1.xls]d_m_yy_____101000_81"/>
      <sheetName val="[Book1.xls]d_m_yy_____101000_76"/>
      <sheetName val="[Book1.xls]d_m_yy_____101000_77"/>
      <sheetName val="[Book1.xls]d_m_yy_____101000_78"/>
      <sheetName val="[Book1.xls]d_m_yy_____101000_79"/>
      <sheetName val="[Book1.xls]d_m_yy_____101000_84"/>
      <sheetName val="[Book1.xls]d_m_yy_____101000_85"/>
      <sheetName val="[Book1.xls]d_m_yy_____101000_82"/>
      <sheetName val="[Book1.xls]d_m_yy_____101000_83"/>
      <sheetName val="[Book1.xls]d_m_yy_____101000_86"/>
      <sheetName val="[Book1.xls]d_m_yy_____101000_87"/>
      <sheetName val="[Book1.xls]d_m_yy_____101000_88"/>
      <sheetName val="[Book1.xls]d_m_yy_____101000_89"/>
      <sheetName val="[Book1.xls]d_m_yy_____101000_90"/>
      <sheetName val="[Book1.xls]d_m_yy_____101000_91"/>
      <sheetName val="[Book1.xls]d_m_yy_____10100_100"/>
      <sheetName val="[Book1.xls]d_m_yy_____10100_101"/>
      <sheetName val="[Book1.xls]d_m_yy_____101000_92"/>
      <sheetName val="[Book1.xls]d_m_yy_____101000_93"/>
      <sheetName val="[Book1.xls]d_m_yy_____101000_94"/>
      <sheetName val="[Book1.xls]d_m_yy_____101000_95"/>
      <sheetName val="[Book1.xls]d_m_yy_____101000_96"/>
      <sheetName val="[Book1.xls]d_m_yy_____101000_97"/>
      <sheetName val="[Book1.xls]d_m_yy_____101000_98"/>
      <sheetName val="[Book1.xls]d_m_yy_____101000_99"/>
      <sheetName val="[Book1.xls]d_m_yy_____10100_102"/>
      <sheetName val="[Book1.xls]d_m_yy_____10100_103"/>
      <sheetName val="[Book1.xls]d_m_yy_____10100_108"/>
      <sheetName val="[Book1.xls]d_m_yy_____10100_109"/>
      <sheetName val="[Book1.xls]d_m_yy_____10100_106"/>
      <sheetName val="[Book1.xls]d_m_yy_____10100_107"/>
      <sheetName val="[Book1.xls]d_m_yy_____10100_104"/>
      <sheetName val="[Book1.xls]d_m_yy_____10100_105"/>
      <sheetName val="[Book1.xls]d_m_yy_____10100_110"/>
      <sheetName val="[Book1.xls]d_m_yy_____10100_111"/>
      <sheetName val="[Book1.xls]d_m_yy_____10100_112"/>
      <sheetName val="[Book1.xls]d_m_yy_____10100_113"/>
      <sheetName val="[Book1.xls]d_m_yy_____10100_114"/>
      <sheetName val="[Book1.xls]d_m_yy_____10100_115"/>
      <sheetName val="[Book1.xls]d_m_yy_____10100_116"/>
      <sheetName val="[Book1.xls]d_m_yy_____10100_117"/>
      <sheetName val="[Book1.xls]d_m_yy_____10100_118"/>
      <sheetName val="[Book1.xls]d_m_yy_____10100_119"/>
      <sheetName val="[Book1.xls]d_m_yy_____10100_120"/>
      <sheetName val="[Book1.xls]d_m_yy_____10100_121"/>
      <sheetName val="[Book1.xls]d_m_yy_____10100_122"/>
      <sheetName val="[Book1.xls]d_m_yy_____10100_123"/>
      <sheetName val="[Book1.xls]d_m_yy_____10100_124"/>
      <sheetName val="[Book1.xls]d_m_yy_____10100_125"/>
      <sheetName val="[Book1.xls]d_m_yy_____10100_126"/>
      <sheetName val="[Book1.xls]d_m_yy_____10100_127"/>
      <sheetName val="[Book1.xls]d_m_yy_____10100_132"/>
      <sheetName val="[Book1.xls]d_m_yy_____10100_133"/>
      <sheetName val="[Book1.xls]d_m_yy_____10100_130"/>
      <sheetName val="[Book1.xls]d_m_yy_____10100_131"/>
      <sheetName val="[Book1.xls]d_m_yy_____10100_134"/>
      <sheetName val="[Book1.xls]d_m_yy_____10100_135"/>
      <sheetName val="[Book1.xls]d_m_yy_____10100_136"/>
      <sheetName val="[Book1.xls]d_m_yy_____10100_137"/>
      <sheetName val="[Book1.xls]d_m_yy_____10100_138"/>
      <sheetName val="[Book1.xls]d_m_yy_____10100_139"/>
      <sheetName val="[Book1.xls]d_m_yy_____10100_140"/>
      <sheetName val="[Book1.xls]d_m_yy_____10100_141"/>
      <sheetName val="[Book1.xls]d_m_yy_____10100_144"/>
      <sheetName val="[Book1.xls]d_m_yy_____10100_145"/>
      <sheetName val="[Book1.xls]d_m_yy_____10100_142"/>
      <sheetName val="[Book1.xls]d_m_yy_____10100_143"/>
      <sheetName val="[Book1.xls]d_m_yy_____10100_146"/>
      <sheetName val="[Book1.xls]d_m_yy_____10100_147"/>
      <sheetName val="Recons"/>
      <sheetName val="Site Stats"/>
      <sheetName val="Cash Reg Orders Recd"/>
      <sheetName val="Warehouse"/>
      <sheetName val="Orders Settled"/>
      <sheetName val="09"/>
      <sheetName val="10"/>
      <sheetName val="Total"/>
      <sheetName val="Europe"/>
      <sheetName val="US"/>
      <sheetName val="DIV Y"/>
      <sheetName val="P &amp;L"/>
      <sheetName val="Balance"/>
      <sheetName val="Situation"/>
      <sheetName val="DETBIL"/>
      <sheetName val="Aus-P"/>
      <sheetName val="Series Description"/>
      <sheetName val="Economic Series Chart"/>
      <sheetName val="Series Values"/>
      <sheetName val="Admin"/>
      <sheetName val="FS ing"/>
      <sheetName val="Extra 2"/>
      <sheetName val="TB_ HSG"/>
      <sheetName val="TB"/>
      <sheetName val="FS"/>
      <sheetName val="AJE"/>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Stock Price"/>
      <sheetName val="SEC bridge"/>
      <sheetName val="EMC format"/>
      <sheetName val="Overview"/>
      <sheetName val="M A Private Placements"/>
      <sheetName val="Period Cost"/>
      <sheetName val="Orders to Revenue"/>
      <sheetName val="LISTPRICE"/>
      <sheetName val="Transaction Clients"/>
      <sheetName val="Drop Down"/>
      <sheetName val="Delhaize"/>
      <sheetName val="Route 1"/>
      <sheetName val="NESTLE"/>
      <sheetName val="top 30"/>
      <sheetName val="sum"/>
      <sheetName val="Input"/>
      <sheetName val="Data Sheet 1"/>
      <sheetName val="Setup"/>
      <sheetName val="Finance IT &amp; Pro (2)"/>
      <sheetName val="Dashboard"/>
      <sheetName val="WCOL INDEX"/>
      <sheetName val="WCOL INPUT"/>
      <sheetName val="F'cast to go"/>
      <sheetName val="MF 2002"/>
      <sheetName val="Actual"/>
      <sheetName val="713-3"/>
      <sheetName val="713-3-1"/>
      <sheetName val="713-6"/>
      <sheetName val="713-6-1"/>
      <sheetName val="713-7"/>
      <sheetName val="713-7-1"/>
      <sheetName val="713-8"/>
      <sheetName val="713-8-1"/>
      <sheetName val="2.6 Fxs Prov IG post al cierre"/>
      <sheetName val="目录"/>
      <sheetName val="Key Stats"/>
      <sheetName val="Income Statement"/>
      <sheetName val="Balance Sheet"/>
      <sheetName val="Cash Flow"/>
      <sheetName val="Multiples"/>
      <sheetName val="Historical Capitalization"/>
      <sheetName val="Capital Structure Summary"/>
      <sheetName val="Ratios"/>
      <sheetName val="Supplemental"/>
      <sheetName val="Industry Specific"/>
      <sheetName val="Pension OPEB"/>
      <sheetName val="Segments"/>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Screening"/>
      <sheetName val="Aggregates"/>
      <sheetName val="Screen Criteria"/>
      <sheetName val="Historical Volatility Co 1"/>
      <sheetName val="GL Profit Analysis"/>
      <sheetName val="Consensus"/>
      <sheetName val="Competitors"/>
      <sheetName val="1st Q 2002"/>
      <sheetName val="2001"/>
      <sheetName val="2000"/>
      <sheetName val="1999"/>
      <sheetName val="Page A-7 "/>
      <sheetName val="S-7"/>
      <sheetName val="Actual month $"/>
      <sheetName val="fme idex"/>
      <sheetName val="fma idex"/>
      <sheetName val="fme fm"/>
      <sheetName val="FTS Universe Inputs"/>
      <sheetName val="Lists"/>
      <sheetName val="QA表（Ｂ）概要"/>
      <sheetName val="別紙3-1機能別ﾌﾞﾛｯｸ別原価目標"/>
      <sheetName val="別紙3-2Budget(機能、費目別)"/>
      <sheetName val="TM"/>
      <sheetName val="条件"/>
      <sheetName val="ACO"/>
      <sheetName val="Calculations"/>
      <sheetName val="Source --&gt;"/>
      <sheetName val="2014-2015 BBR"/>
      <sheetName val="2013 BBR"/>
      <sheetName val="all"/>
      <sheetName val="BBR-2015"/>
      <sheetName val="ACV-2015"/>
      <sheetName val="MRB"/>
      <sheetName val="Model"/>
      <sheetName val="Assumptions"/>
      <sheetName val="Transaction Summary"/>
      <sheetName val="Sensitivity"/>
      <sheetName val="WPA_Assum"/>
      <sheetName val="TradeName"/>
      <sheetName val="RoyaltyAssets"/>
      <sheetName val="Inputs-Tables"/>
      <sheetName val="Summary"/>
      <sheetName val="Transaction-Assum."/>
      <sheetName val="Prices"/>
      <sheetName val="wo Lan-hub MBOM"/>
      <sheetName val="wo Lan- Hub (2USB) function"/>
      <sheetName val="Intel Lan + AD1885 EBOM"/>
      <sheetName val="Intel Lan + AD1885 function"/>
      <sheetName val="应收帐款 AR "/>
      <sheetName val="INVENTORY"/>
      <sheetName val="225004"/>
      <sheetName val="PPAPOALoad"/>
      <sheetName val="EAT"/>
      <sheetName val="KRA"/>
      <sheetName val="Lookup"/>
      <sheetName val="Graph"/>
      <sheetName val="Macros"/>
      <sheetName val="basic working"/>
      <sheetName val="June analysis "/>
      <sheetName val="D&amp;O list IMl"/>
      <sheetName val="Act-PL"/>
      <sheetName val="Bud-HC"/>
      <sheetName val="H&amp;Q"/>
      <sheetName val="PNW"/>
      <sheetName val="TM - USA"/>
      <sheetName val="German Co.- Attrition study"/>
      <sheetName val="Capex"/>
      <sheetName val="Comp IS"/>
      <sheetName val="WACC"/>
      <sheetName val="WPL"/>
      <sheetName val="RB AD"/>
      <sheetName val="NTM PE"/>
      <sheetName val="sales vol."/>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Capital Structure Details"/>
      <sheetName val="Returns"/>
      <sheetName val="CREDIT STATS"/>
      <sheetName val="P&amp;L Monthly"/>
      <sheetName val="Cost Analysis plc"/>
      <sheetName val="SBInput"/>
      <sheetName val="Transaction Inputs"/>
      <sheetName val="Company Inputs"/>
      <sheetName val="300 Valuation"/>
      <sheetName val="Five Year DCF"/>
      <sheetName val="Co. Inputs"/>
      <sheetName val="Inputs"/>
      <sheetName val="DCF_10"/>
      <sheetName val="Collar-Options Cash"/>
      <sheetName val="Cost of Services"/>
      <sheetName val="Price of Service"/>
      <sheetName val="27"/>
      <sheetName val="Payroll"/>
      <sheetName val="6+6detail"/>
      <sheetName val="HR"/>
      <sheetName val="statistics"/>
      <sheetName val="Budget Data"/>
      <sheetName val="Rev &amp; PC"/>
      <sheetName val="Non Rev&amp;PC"/>
      <sheetName val="Salary Fcst"/>
      <sheetName val="Accts"/>
      <sheetName val="Categories"/>
      <sheetName val="Tables"/>
      <sheetName val="financials"/>
      <sheetName val="Control"/>
      <sheetName val="P&amp;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PR"/>
      <sheetName val="FY2003"/>
      <sheetName val="FY2002"/>
      <sheetName val="FX rates"/>
      <sheetName val="Input Table"/>
      <sheetName val="Supporting Data"/>
      <sheetName val="Print Controls"/>
      <sheetName val="Computations"/>
      <sheetName val="Siemens"/>
      <sheetName val="Controls"/>
      <sheetName val="B2C"/>
      <sheetName val="Segment Metrics"/>
      <sheetName val="Deal &amp; Company Information"/>
      <sheetName val="Amortization Table $610K"/>
      <sheetName val="General"/>
      <sheetName val="Index"/>
      <sheetName val="Pull Sheet"/>
      <sheetName val="Hotel Directory"/>
      <sheetName val="Rel.1Yr"/>
      <sheetName val="Detailed"/>
      <sheetName val="History"/>
      <sheetName val="Inc"/>
      <sheetName val="Quarters"/>
      <sheetName val="oldSEG"/>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BS"/>
      <sheetName val="subordinated notes"/>
      <sheetName val="senior note"/>
      <sheetName val="PS B"/>
      <sheetName val="PS A"/>
      <sheetName val="Monthly Revenue"/>
      <sheetName val="Profit and Loss"/>
      <sheetName val="FA"/>
      <sheetName val="PL-yearly"/>
      <sheetName val="Sheet1汇总表"/>
      <sheetName val="S&amp;M Dept"/>
      <sheetName val="IPO"/>
      <sheetName val="DB"/>
      <sheetName val="Planning Data"/>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DF"/>
      <sheetName val="BS (2)"/>
      <sheetName val="P&amp;L (2)"/>
      <sheetName val="FTT_TW_Q2"/>
      <sheetName val="FTT_TW_Q2(Spin)"/>
      <sheetName val="inv e91"/>
      <sheetName val="inv e92"/>
      <sheetName val="wip e91"/>
      <sheetName val="wip e92"/>
      <sheetName val="srp91"/>
      <sheetName val="srp92"/>
      <sheetName val="sube91&amp;e92"/>
      <sheetName val="srp e91"/>
      <sheetName val="srp e92"/>
      <sheetName val="U4-1"/>
      <sheetName val="U5-1"/>
      <sheetName val="os"/>
      <sheetName val="OSM"/>
      <sheetName val="E1"/>
      <sheetName val="G1"/>
      <sheetName val="TNK-Staff costs"/>
      <sheetName val="U"/>
      <sheetName val="E"/>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I"/>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K-16"/>
      <sheetName val="APPENDIX XIII"/>
      <sheetName val="A2-2 RJE"/>
      <sheetName val="A2-1 AJE"/>
      <sheetName val="Q2"/>
      <sheetName val="C1"/>
      <sheetName val="I1"/>
      <sheetName val="Equity"/>
      <sheetName val="Bal-Sheet"/>
      <sheetName val="Income"/>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
      <sheetName val="M-10"/>
      <sheetName val="O-5"/>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30"/>
      <sheetName val="U1|1"/>
      <sheetName val="U1|2"/>
      <sheetName val="Info"/>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매출채권AR"/>
      <sheetName val="매출"/>
      <sheetName val="오계장작성"/>
      <sheetName val="C-8220 "/>
      <sheetName val="C-8300"/>
      <sheetName val="C-8400"/>
      <sheetName val="C-8500"/>
      <sheetName val="수익증권매매"/>
      <sheetName val="수익증권평가"/>
      <sheetName val="5400"/>
      <sheetName val="지분법적용개요"/>
      <sheetName val="AFS (2)"/>
      <sheetName val="J138"/>
      <sheetName val="콜론(4.1-9.30)"/>
      <sheetName val="명세(건물)"/>
      <sheetName val="명세(차량)"/>
      <sheetName val="명세(기타유형)"/>
      <sheetName val="명세(기타유형) (2)"/>
      <sheetName val="상품-5200"/>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wbs"/>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급여 (2)"/>
      <sheetName val="평균급여 (2)"/>
      <sheetName val="15"/>
      <sheetName val="유형자산5800"/>
      <sheetName val="감가"/>
      <sheetName val="pldt"/>
      <sheetName val="조합원명부"/>
      <sheetName val="제품수불(확) (2)"/>
      <sheetName val="원료수불 (확)"/>
      <sheetName val="제품수불(확)"/>
      <sheetName val="년간매출계획"/>
      <sheetName val="제품별매출 (2)"/>
      <sheetName val="유통경로"/>
      <sheetName val="EPS (2)"/>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U201"/>
      <sheetName val="A521 (2)"/>
      <sheetName val="A621 (2)"/>
      <sheetName val="U2.1"/>
      <sheetName val="P100"/>
      <sheetName val="C100"/>
      <sheetName val="U121"/>
      <sheetName val="N501"/>
      <sheetName val="E201"/>
      <sheetName val="Sheet9"/>
      <sheetName val="Sheet11"/>
      <sheetName val="Sheet10"/>
      <sheetName val="S_BDW (2)"/>
      <sheetName val="Fig"/>
      <sheetName val="보고서1"/>
      <sheetName val="보고서2"/>
      <sheetName val="보고서3"/>
      <sheetName val="ALGO-LS14.5(92)V"/>
      <sheetName val="ALGO-jjj재구성"/>
      <sheetName val="수정사항집계표"/>
      <sheetName val="은행연합회자료"/>
      <sheetName val="sum (3)"/>
      <sheetName val="HLDS"/>
      <sheetName val="이사회의사록정리"/>
      <sheetName val="RM31032004"/>
      <sheetName val="månres jfrt få"/>
      <sheetName val="FCAct"/>
      <sheetName val="Matcost (2)"/>
      <sheetName val="FC1999"/>
      <sheetName val="upgsales (2)"/>
      <sheetName val="Gastos_MadridWE"/>
      <sheetName val="NEW WARRANTS"/>
      <sheetName val="Sources_Uses"/>
      <sheetName val="Prior Year"/>
      <sheetName val="Trading Stats"/>
      <sheetName val="cap_structure"/>
      <sheetName val="MergeCo Summary"/>
      <sheetName val="A"/>
      <sheetName val="BANKS_94"/>
      <sheetName val="Operations"/>
      <sheetName val="Football(1)"/>
      <sheetName val="Tuluwaka"/>
      <sheetName val="Exercise"/>
      <sheetName val="General Assumptions"/>
      <sheetName val="QuickLink"/>
      <sheetName val="Company Outputs"/>
      <sheetName val="Corp. Trust Structure"/>
      <sheetName val="Comp Data"/>
      <sheetName val="Float Matrix"/>
      <sheetName val="Data Master"/>
      <sheetName val="Int. Rate Data"/>
      <sheetName val="Rsch"/>
      <sheetName val="Industry Data"/>
      <sheetName val="RT Data"/>
      <sheetName val="RT Indices"/>
      <sheetName val="Mkt Cap."/>
      <sheetName val="RT Targets"/>
      <sheetName val="IT Targets"/>
      <sheetName val="TSE info"/>
      <sheetName val="cap markets data"/>
      <sheetName val="100%"/>
      <sheetName val="HelpScreens"/>
      <sheetName val="PUblic Float data"/>
      <sheetName val="Build-up"/>
      <sheetName val="Inputs-Sensitivities"/>
      <sheetName val="Company"/>
      <sheetName val="Worksheet"/>
      <sheetName val="Market Data"/>
      <sheetName val="Project Info"/>
      <sheetName val="Taxes"/>
      <sheetName val="Old Model"/>
      <sheetName val="Assum"/>
      <sheetName val="AcqIS"/>
      <sheetName val="AcqBSCF"/>
      <sheetName val="Acquiror"/>
      <sheetName val="Model Assumptions"/>
      <sheetName val="wCodeTable"/>
      <sheetName val="Growth"/>
      <sheetName val="Profit &amp; Loss"/>
      <sheetName val="Parameters"/>
      <sheetName val="Monthly Budget "/>
      <sheetName val="Splash Screen"/>
      <sheetName val="Paul"/>
      <sheetName val="ImportData"/>
      <sheetName val="ROIPRO01"/>
      <sheetName val="Sales"/>
      <sheetName val="Summary SC"/>
      <sheetName val="Expanded P&amp;L"/>
      <sheetName val="44526 Dalkey"/>
      <sheetName val="table"/>
      <sheetName val="Prior Fund Raising MGD"/>
      <sheetName val="Managed Accounts - Gross Tradin"/>
      <sheetName val="Managed Accounts"/>
      <sheetName val="Notice"/>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acs"/>
      <sheetName val="Reimbursements"/>
      <sheetName val="Acc"/>
      <sheetName val="D"/>
      <sheetName val="FF-2"/>
      <sheetName val="Annx"/>
      <sheetName val="Annex"/>
      <sheetName val="Significant Processes"/>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SCHEDULE"/>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MFG"/>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Adjustments"/>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detail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l"/>
      <sheetName val="Emp"/>
      <sheetName val="Departments"/>
      <sheetName val="DEC-MEMO"/>
      <sheetName val="Scope of supply"/>
      <sheetName val="Dep"/>
      <sheetName val="BS Schdl- 1 &amp; 2"/>
      <sheetName val="Cabinet details"/>
      <sheetName val="TDS"/>
      <sheetName val="laroux"/>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Tot1298"/>
      <sheetName val="Cum_ies_99"/>
      <sheetName val="Cum_intr_99"/>
      <sheetName val="regrupare_cum_99"/>
      <sheetName val="Inflation"/>
      <sheetName val="Hyp - Expense"/>
      <sheetName val="Service Delivery"/>
      <sheetName val="K-1 Tax Attributes Cf "/>
      <sheetName val="房屋及建筑物"/>
      <sheetName val="通用设备"/>
      <sheetName val="专用设备"/>
      <sheetName val="运输设备"/>
      <sheetName val="其他"/>
      <sheetName val="종합일지"/>
      <sheetName val="폐토수익화 "/>
      <sheetName val="변동원가"/>
      <sheetName val="단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STRAIGHT"/>
      <sheetName val="매입채무"/>
      <sheetName val="차입2"/>
      <sheetName val="nude TB"/>
      <sheetName val="BS계정"/>
      <sheetName val="영업외손익"/>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Wo_Cl"/>
      <sheetName val="Interlock"/>
      <sheetName val="F'cast Pr Mth"/>
      <sheetName val="Hyp Dump"/>
      <sheetName val="AutoMacro"/>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Variance"/>
      <sheetName val="CHENNAI - ANNX"/>
      <sheetName val="Allocation for Nov 04"/>
      <sheetName val="Sheet18"/>
      <sheetName val="Aviva Debit Note- Nov 04"/>
      <sheetName val="Aviva Debit Note- Dec 04"/>
      <sheetName val="Aviva Invoice- Dec 04"/>
      <sheetName val="P&amp;LGROUP"/>
      <sheetName val="Encl I"/>
      <sheetName val="Deferred Add"/>
      <sheetName val="Returns Analysis"/>
      <sheetName val="FAB별"/>
      <sheetName val="Juros Financ. Siemsa"/>
      <sheetName val="Juros Conta Garantida"/>
      <sheetName val="Essbase Budget (3)"/>
      <sheetName val="Essbase Budget (2)"/>
      <sheetName val="consolidated"/>
      <sheetName val="Bike to Work Schedules"/>
      <sheetName val="CB"/>
      <sheetName val="US - FINAL"/>
      <sheetName val="Summ"/>
      <sheetName val="CAP"/>
      <sheetName val="EVDRE_DATACACHE"/>
      <sheetName val="Details BS"/>
      <sheetName val="Details PL"/>
      <sheetName val="RM Consumption Schedule 11"/>
      <sheetName val="TB 01-05-03"/>
      <sheetName val="New Summary P&amp;L"/>
      <sheetName val="Order Pipeline Review Ver2"/>
      <sheetName val="Summary P&amp;L"/>
      <sheetName val="Order Pipeline Review"/>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Sheet12"/>
      <sheetName val="Sheet13"/>
      <sheetName val="Sheet14"/>
      <sheetName val="Sheet15"/>
      <sheetName val="Sheet16"/>
      <sheetName val="summsht"/>
      <sheetName val="Solar"/>
      <sheetName val="Summary Table 3"/>
      <sheetName val="sun"/>
      <sheetName val="Demographic"/>
      <sheetName val="MLP IPO Yields vs MLP Index"/>
      <sheetName val="Page A-1"/>
      <sheetName val="MktAss"/>
      <sheetName val="CONSOL"/>
      <sheetName val="Source_Use"/>
      <sheetName val="Min Rent"/>
      <sheetName val="CD001-ENDOW"/>
      <sheetName val="CD001- AUG.TAL INC"/>
      <sheetName val="CD001-VILLAGE"/>
      <sheetName val="CD001-CENTURY"/>
      <sheetName val="CD001-1140"/>
      <sheetName val="RP001"/>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2006"/>
      <sheetName val="2007"/>
      <sheetName val="Props"/>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StockTake"/>
      <sheetName val="E3 (2)"/>
      <sheetName val="F6 Stock Take recon"/>
      <sheetName val="F5.1 stk valuation"/>
      <sheetName val="A2.4 SAD"/>
      <sheetName val="E2 (&lt;)"/>
      <sheetName val="E3-1"/>
      <sheetName val="B7-2"/>
      <sheetName val="B9-2"/>
      <sheetName val="K5"/>
      <sheetName val="A2|3 AJE"/>
      <sheetName val="A2|2 RJE"/>
      <sheetName val="A2|1 OJE"/>
      <sheetName val="Page 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gen ledger data"/>
      <sheetName val="대차대조표"/>
      <sheetName val="재산이용명세"/>
      <sheetName val="추정99"/>
      <sheetName val="sEP2003"/>
      <sheetName val="Satco"/>
      <sheetName val="Signoff Summary"/>
      <sheetName val="Critical Matters"/>
      <sheetName val="BW - CONS"/>
      <sheetName val="BOBJ ---&gt;"/>
      <sheetName val="Stmt of Income"/>
      <sheetName val="Stmt of Equity"/>
      <sheetName val="Cash Flows"/>
      <sheetName val="BS TAX"/>
      <sheetName val="IS TAX"/>
      <sheetName val="Taxable Income ---&gt;"/>
      <sheetName val="Ordinary Income - CONS"/>
      <sheetName val="Ordinary Income - 5300"/>
      <sheetName val="Ordinary Income - 6281"/>
      <sheetName val="Ordinary Income - 6290"/>
      <sheetName val="Schedule K - CONS"/>
      <sheetName val="Schedule K - 5300"/>
      <sheetName val="Schedule K - 6281"/>
      <sheetName val="Schedule K - 6290"/>
      <sheetName val="Balance Sheet (GAAP &amp; TAX)"/>
      <sheetName val="Schedule M-2"/>
      <sheetName val="Form 4562 - CONS"/>
      <sheetName val="Form 4562 - 6281"/>
      <sheetName val="Form 4562 - 6290"/>
      <sheetName val="Tax Adjustments ---&gt;"/>
      <sheetName val="ARO Liability"/>
      <sheetName val="Accrued Bonus"/>
      <sheetName val="Accrued Payroll Taxes"/>
      <sheetName val="Deferred Rent"/>
      <sheetName val="Deferred Revenue"/>
      <sheetName val="Fines &amp; Penalties"/>
      <sheetName val="Meals &amp; Entertainment"/>
      <sheetName val="Lobbying Costs"/>
      <sheetName val="Gain or Loss"/>
      <sheetName val="Depreciation"/>
      <sheetName val="Amortization"/>
      <sheetName val="481 Adjustment"/>
      <sheetName val="GHI K-1"/>
      <sheetName val="W-2 Wages"/>
      <sheetName val="Production Tax Credit"/>
      <sheetName val="Capital Accounts ---&gt;"/>
      <sheetName val="Capital Accounts &amp; Tax Basis"/>
      <sheetName val="704(b) Income"/>
      <sheetName val="Taxable Income"/>
      <sheetName val="752 Liab Alloc"/>
      <sheetName val="Partners Minimum Gain"/>
      <sheetName val="Minimum Gain Calc"/>
      <sheetName val="Disguised Sales Calc"/>
      <sheetName val="PY Capital Accounts ---&gt;"/>
      <sheetName val="PY Balance Sheet (GAAP &amp; Tax)"/>
      <sheetName val="PY 743(b) Step-up Adj"/>
      <sheetName val="State Alloc &amp; Apport ---&gt;"/>
      <sheetName val="2017 State A&amp;A"/>
      <sheetName val="California "/>
      <sheetName val="Kansas"/>
      <sheetName val="Additional Support ---&gt;"/>
      <sheetName val="Equity Roll"/>
      <sheetName val="PTC Summary"/>
      <sheetName val="BAML Fee"/>
      <sheetName val="Fed Depr - 6281"/>
      <sheetName val="Fed AMT Depr - 6281"/>
      <sheetName val="CA Depr - 6281"/>
      <sheetName val="CA AMT Depr - 6281"/>
      <sheetName val="Fed Depr - 6290"/>
      <sheetName val="Fed AMT Depr - 6290"/>
      <sheetName val="CA Depr - 6290"/>
      <sheetName val="CA AMT Depr - 6290"/>
      <sheetName val="Footnotes ---&gt;"/>
      <sheetName val="De Minimis SH"/>
      <sheetName val="Capitalize Costs"/>
      <sheetName val="Opt out of Bonus"/>
      <sheetName val="DPAD - BAL"/>
      <sheetName val="DPAD - BNY"/>
      <sheetName val="DPAD - NEOP"/>
      <sheetName val="Line 17 AMT 743"/>
      <sheetName val="Corptax ---&gt;"/>
      <sheetName val="CTX Codes"/>
      <sheetName val="CTX Import - Entity"/>
      <sheetName val="CTX Import - 5300"/>
      <sheetName val="CTX Import - 6281"/>
      <sheetName val="CTX Import - 6290"/>
      <sheetName val="Trial Balance (Import)"/>
      <sheetName val="Allocable Items (Import)"/>
      <sheetName val="RM"/>
      <sheetName val="PL Pickup Summary"/>
      <sheetName val="FIB RCVBL"/>
      <sheetName val="Summary Pickup"/>
      <sheetName val="WF-FI Pickup"/>
      <sheetName val="North Pickup"/>
      <sheetName val="South Pickup"/>
      <sheetName val="Drop Down Names"/>
      <sheetName val="CAPIQ"/>
      <sheetName val="Other"/>
      <sheetName val="IncidentsEAP"/>
      <sheetName val="Cntmrs-Recruit"/>
      <sheetName val="Cntmrs"/>
      <sheetName val="Monthly Allowances"/>
      <sheetName val="SAL-2000"/>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Invent"/>
      <sheetName val="Monthly_Allowances"/>
      <sheetName val="Actuals_by_Mth"/>
      <sheetName val="Plan_by_Mth"/>
      <sheetName val="Actuals_YTD-Mth"/>
      <sheetName val="PLan_YTD-Mth"/>
      <sheetName val="VR_data"/>
      <sheetName val="MP_data"/>
      <sheetName val="Pln_by_mth"/>
      <sheetName val="Pln_YTD"/>
      <sheetName val="TOOLG"/>
      <sheetName val="Deal Inputs (In)"/>
      <sheetName val="CompLink"/>
      <sheetName val="Control (In)"/>
      <sheetName val="Combo"/>
      <sheetName val="DCF I (In)"/>
      <sheetName val="manager"/>
      <sheetName val="ELTA"/>
      <sheetName val="CSCCincSKR"/>
      <sheetName val="SOTP"/>
      <sheetName val="Interpool"/>
      <sheetName val="TAL"/>
      <sheetName val="Cronos"/>
      <sheetName val="Group"/>
      <sheetName val="OpCo"/>
      <sheetName val="Synergies"/>
      <sheetName val="LBO inputs"/>
      <sheetName val="DCF"/>
      <sheetName val="Infrastructure model"/>
      <sheetName val="DIV INC"/>
      <sheetName val="LTM"/>
      <sheetName val="DropZone"/>
      <sheetName val="Outputs"/>
      <sheetName val="E-1a"/>
      <sheetName val="E-1b"/>
      <sheetName val="E_1"/>
      <sheetName val="Tally(L)"/>
      <sheetName val="Run Sheet"/>
      <sheetName val="Single"/>
      <sheetName val="Financing"/>
      <sheetName val="Route_1"/>
      <sheetName val="Total_Program_Mgmt"/>
      <sheetName val="Total_Perf_Impr"/>
      <sheetName val="Renewal_Counts"/>
      <sheetName val="A1 - Income Statement"/>
      <sheetName val="Initial"/>
      <sheetName val="Precalculation"/>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CRITERIA1"/>
      <sheetName val="BS Schdl-3-Fixed Assets"/>
      <sheetName val="April'00"/>
      <sheetName val="TDS Entries Apr to Sept"/>
      <sheetName val="Add to FA"/>
      <sheetName val="Capex &amp; Opex"/>
      <sheetName val="Interconnect"/>
      <sheetName val="Annexuture"/>
      <sheetName val="SPS DETAIL"/>
      <sheetName val="factor"/>
      <sheetName val="list - do not delete"/>
      <sheetName val="____00"/>
      <sheetName val="MAIN LATEST"/>
      <sheetName val="currency (2)"/>
      <sheetName val="Factors"/>
      <sheetName val="entitlements"/>
      <sheetName val="currency"/>
      <sheetName val="Outgoing"/>
      <sheetName val="Incoming"/>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new_main_20K"/>
      <sheetName val="Final"/>
      <sheetName val="Summary-Price_New"/>
      <sheetName val="AN-2K"/>
      <sheetName val="Switch V16"/>
      <sheetName val="EBT"/>
      <sheetName val="MSU"/>
      <sheetName val="Scenarios"/>
      <sheetName val="Component Pricing, Costs"/>
      <sheetName val="AR"/>
      <sheetName val="Edit(01)"/>
      <sheetName val="B'Sheet"/>
      <sheetName val="syndicate codes"/>
      <sheetName val="BTVL-ABN Tranche I"/>
      <sheetName val="&amp;Synchro"/>
      <sheetName val="204"/>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RR Gaming"/>
      <sheetName val="P&amp;L breakup"/>
      <sheetName val="NOIDA"/>
      <sheetName val="Preside"/>
      <sheetName val="Calcns FDB"/>
      <sheetName val="Assns FDB"/>
      <sheetName val="UK"/>
      <sheetName val="DE"/>
      <sheetName val="MX"/>
      <sheetName val="CN"/>
      <sheetName val="BR"/>
      <sheetName val="BR (2)"/>
      <sheetName val="PLJAN"/>
      <sheetName val="Summary_Local"/>
      <sheetName val="BCL-Barclays"/>
      <sheetName val="Dels"/>
      <sheetName val="comp."/>
      <sheetName val="Apparel"/>
      <sheetName val="Bodega"/>
      <sheetName val="CCA"/>
      <sheetName val="CashNCarry"/>
      <sheetName val="Membership"/>
      <sheetName val="SoftDiscoun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list_-_do_not_delete"/>
      <sheetName val="Operating Companies"/>
      <sheetName val="Management Companies"/>
      <sheetName val="Contacts"/>
      <sheetName val="PCAP Data"/>
      <sheetName val="RCN-Building"/>
      <sheetName val="Rent Roll"/>
      <sheetName val="Run_Sheet"/>
      <sheetName val="Deal_&amp;_Company_Information"/>
      <sheetName val="Amortization_Table_$610K"/>
      <sheetName val="Route_11"/>
      <sheetName val="A1_-_Income_Statement"/>
      <sheetName val="R1040"/>
      <sheetName val="base de dados"/>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Makro1"/>
      <sheetName val="Form No. 3CD"/>
      <sheetName val="Base Info"/>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Cash -Lockbox"/>
      <sheetName val="INV - Counts Roto"/>
      <sheetName val="Cash - Operating Fleet"/>
      <sheetName val="Cash - Operating Trustco"/>
      <sheetName val="Cash Diagram"/>
      <sheetName val="Reconciliations"/>
      <sheetName val="AP - stats"/>
      <sheetName val="AP Factored By CIT (2)"/>
      <sheetName val="INV-IEC"/>
      <sheetName val="INV-CMI"/>
      <sheetName val="INV-CC"/>
      <sheetName val="INV - Costs Intl Environmental"/>
      <sheetName val="INV - Costs Climate Master"/>
      <sheetName val="INV - Costs Climate Craft"/>
      <sheetName val="Flash Pg-1"/>
      <sheetName val="Conc"/>
      <sheetName val="Expanded Shipping Test"/>
      <sheetName val="Conc-Merc.Air Cargo"/>
      <sheetName val="AP - conc"/>
      <sheetName val=" AP Delinq "/>
      <sheetName val="CM Test"/>
      <sheetName val="Missing Doc Rpt"/>
      <sheetName val="AR Roll Consol"/>
      <sheetName val="BU Color &amp; Specialties"/>
      <sheetName val="BRISTOL"/>
      <sheetName val="Manuf Chem Cleveland"/>
      <sheetName val="Organic Pigments"/>
      <sheetName val="AP Conc"/>
      <sheetName val="AP Disb"/>
      <sheetName val="Concs"/>
      <sheetName val="Delinq"/>
      <sheetName val="INV - Counts Nashville"/>
      <sheetName val="FS- IS"/>
      <sheetName val="DETAILS 1 (3)"/>
      <sheetName val="Accounts Payable _11_"/>
      <sheetName val="Sources &amp; Uses"/>
      <sheetName val=" Cons. Financials - EIG"/>
      <sheetName val="Model Summary"/>
      <sheetName val="IV Remit Testing"/>
      <sheetName val="Operating Statement Data"/>
      <sheetName val="Vlookup"/>
      <sheetName val="Validation"/>
      <sheetName val="Matrix-Level 3-Gastonia"/>
      <sheetName val="RECEIPTS"/>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Avg IC"/>
      <sheetName val="AMCY Impact"/>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FEB summary"/>
      <sheetName val="Matrix"/>
      <sheetName val="Int Analysis"/>
      <sheetName val="Plant KPI "/>
      <sheetName val="DEFECT CODES"/>
      <sheetName val="LOCATION CODES"/>
      <sheetName val="Consolidated Budget Worksheet"/>
      <sheetName val="ZZ_DowntimeIssuesMTD"/>
      <sheetName val="Assy Exc Tak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ARTARG"/>
      <sheetName val="BS Frango"/>
      <sheetName val="Tabelle1"/>
      <sheetName val="Bowler"/>
      <sheetName val="Sales Dev &amp; Training"/>
      <sheetName val="Frango"/>
      <sheetName val="Ignor this tab"/>
      <sheetName val="资产负债表"/>
      <sheetName val="利润表"/>
      <sheetName val="现金流量表"/>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9901"/>
      <sheetName val="FY07 US FA TP10.2"/>
      <sheetName val="LSM Design Limits vs Amevive"/>
      <sheetName val="Ratio"/>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Equity Rollforward 9-30-13"/>
      <sheetName val="Equity Rollforward 12-31-2013"/>
      <sheetName val="Interest Expense"/>
      <sheetName val="Conversion rate"/>
      <sheetName val="Data Source"/>
      <sheetName val="ADVANCE-STAFF"/>
      <sheetName val="ProForma"/>
      <sheetName val="EBITDA"/>
      <sheetName val="Earnings Model"/>
      <sheetName val="Renovation Schedule (3)"/>
      <sheetName val="EV-EBITDAValuation "/>
      <sheetName val="FCF"/>
      <sheetName val="ADR Chart"/>
      <sheetName val="Pricing Power"/>
      <sheetName val="Chart Relative ADR"/>
      <sheetName val="Pricing Vs. Comp Set"/>
      <sheetName val="Expansion Yields"/>
      <sheetName val="Same Store RevPAR Growth"/>
      <sheetName val="Mgmt. Team"/>
      <sheetName val="Renovation Schecule (2)"/>
      <sheetName val="DCF Model"/>
      <sheetName val="RevPAR estimates"/>
      <sheetName val="Debt"/>
      <sheetName val="FCF Table"/>
      <sheetName val="Biz Units"/>
      <sheetName val="Chart EBITDA Mix"/>
      <sheetName val="EBITDA MIX"/>
      <sheetName val="RevPAR Comps cut n paste"/>
      <sheetName val="RevPAR Comps"/>
      <sheetName val="Valuation  1-10-01"/>
      <sheetName val="Earnings Model   "/>
      <sheetName val="Debt @ 3Q00"/>
      <sheetName val="Valuation - old"/>
      <sheetName val="RevPAR By Qtr"/>
      <sheetName val="CIGA Analysis"/>
      <sheetName val="RevPAR 3Q00"/>
      <sheetName val="EBITDA Mix "/>
      <sheetName val="EBITDA Mix 9-00"/>
      <sheetName val="2Q00 Comparison"/>
      <sheetName val="bas buying hot 6-00 cash deal"/>
      <sheetName val="bas hlt cash stock merger"/>
      <sheetName val="Valuation"/>
      <sheetName val="Valuation (2)"/>
      <sheetName val="EBITDA Multiples"/>
      <sheetName val="EPS Multiples"/>
      <sheetName val="P-13 Tax Recon."/>
      <sheetName val="P-14 Legal"/>
      <sheetName val="P-15 Meals and Entertainment"/>
      <sheetName val="P-16 Prepaid Expenses"/>
      <sheetName val="P-17 Accrued Compensation"/>
      <sheetName val="P-18 Other Accrued Liabilities"/>
      <sheetName val="P-19 Taxes Paid Or Accrued"/>
      <sheetName val="Assump"/>
      <sheetName val="Ann XV"/>
      <sheetName val="Fixed Assets-Last year"/>
      <sheetName val="FAR_new"/>
      <sheetName val="8"/>
      <sheetName val="Exp provn (3)"/>
      <sheetName val="consol (2)"/>
      <sheetName val="consol (3)"/>
      <sheetName val="SL Schedule (2)"/>
      <sheetName val="consol (4)"/>
      <sheetName val="713-4 NO UT"/>
      <sheetName val="Ignor_this_tab"/>
      <sheetName val="OTR.CRED."/>
      <sheetName val="B-V"/>
      <sheetName val="INC-BAL"/>
      <sheetName val="ACT DATA BASE"/>
      <sheetName val="AREAINDEX"/>
      <sheetName val="ATPREST"/>
      <sheetName val="YECALENDAR"/>
      <sheetName val="FOODOR"/>
      <sheetName val="1994FRF"/>
      <sheetName val="8.99OB"/>
      <sheetName val="MDTOT"/>
      <sheetName val="10.MD-TOB"/>
      <sheetName val="DATVAR"/>
      <sheetName val="PMIREQ"/>
      <sheetName val="98LE"/>
      <sheetName val="IVA"/>
      <sheetName val="S&amp;U OF FUNDS"/>
      <sheetName val="OTR_CRED_"/>
      <sheetName val="RPerú BV"/>
      <sheetName val="清冊"/>
      <sheetName val="Assmpns"/>
      <sheetName val="COMPLEXALL"/>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Copper Range"/>
      <sheetName val="B - Niobec"/>
      <sheetName val="1 - CBJ SUM"/>
      <sheetName val="A - Doyon"/>
      <sheetName val="ABX"/>
      <sheetName val="BB Info"/>
      <sheetName val="nethouse input (CURRENT PERIOD)"/>
      <sheetName val="Dealer names"/>
      <sheetName val="Расчет-выпуск"/>
      <sheetName val="Рез-т"/>
      <sheetName val="BB DATA"/>
      <sheetName val="bloomberg"/>
      <sheetName val="Hasbro"/>
      <sheetName val="IOPlan"/>
      <sheetName val="Front Page"/>
      <sheetName val="DYN PP"/>
      <sheetName val="200-Balance_CORR"/>
      <sheetName val="definitionen"/>
      <sheetName val="Severity"/>
      <sheetName val="Site 04 - Level 4"/>
      <sheetName val="1Q02_TIE-OUT"/>
      <sheetName val="Comments"/>
      <sheetName val="src_miss_branches_nv"/>
      <sheetName val="qr_src_nv"/>
      <sheetName val="qr_src_spd"/>
      <sheetName val="qr_do7_me"/>
      <sheetName val="qr_do7_nv"/>
      <sheetName val="qr_do7_30"/>
      <sheetName val="qr_do7_90"/>
      <sheetName val="qr_do7_fpd"/>
      <sheetName val="qr_do14_me"/>
      <sheetName val="qr_do14_nv"/>
      <sheetName val="qr_do14_30"/>
      <sheetName val="qr_do14_90"/>
      <sheetName val="qr_do14_fpd"/>
      <sheetName val="qr_src_me_GE"/>
      <sheetName val="qr_src_nv_GE"/>
      <sheetName val="qr_src30_GE"/>
      <sheetName val="qr_src90_GE"/>
      <sheetName val="qr_src_spd_GE"/>
      <sheetName val="qr_do3_me"/>
      <sheetName val="qr_do3_nv"/>
      <sheetName val="qr_do3_fpd"/>
      <sheetName val="qr_do3_30"/>
      <sheetName val="qr_do3_90"/>
      <sheetName val="qr_src_ekspres_30"/>
      <sheetName val="qr_dlc_me"/>
      <sheetName val="qr_dlc_nv"/>
      <sheetName val="qr_dlc_fpd"/>
      <sheetName val="qr_dlc_30"/>
      <sheetName val="qr_src_gratis_90"/>
      <sheetName val="qr_src_gratis_nv"/>
      <sheetName val="Source"/>
      <sheetName val="CA WIP"/>
      <sheetName val="WIP Details"/>
      <sheetName val="Download"/>
      <sheetName val="3 Digit Account Grouping"/>
      <sheetName val="Balanza 323"/>
      <sheetName val="3 Dig CDR "/>
      <sheetName val="table grille"/>
      <sheetName val="CoverSheet"/>
      <sheetName val="Economic Inputs"/>
      <sheetName val="Cur Yr Data"/>
      <sheetName val="Prv Year Data"/>
      <sheetName val="YTD Big Y's"/>
      <sheetName val="Net Income"/>
      <sheetName val="Volume"/>
      <sheetName val="EP Vol New"/>
      <sheetName val="SP Vol New"/>
      <sheetName val="Assets"/>
      <sheetName val="Productivity"/>
      <sheetName val="Prepays"/>
      <sheetName val="Q2 Est"/>
      <sheetName val="EPSP Splitout"/>
      <sheetName val="Cover Page"/>
      <sheetName val="Appendix"/>
      <sheetName val="Asset Quality"/>
      <sheetName val="Gap"/>
      <sheetName val="MTDVOLUME"/>
      <sheetName val="opplanbackup"/>
      <sheetName val="Lease Loan98"/>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Waterfall"/>
      <sheetName val="CEF Funding LLC"/>
      <sheetName val="Vol Detail"/>
      <sheetName val="Assessment Allocation"/>
      <sheetName val="Headcount Expense Allocation"/>
      <sheetName val="Actual 03 Volume"/>
      <sheetName val="Calendar"/>
      <sheetName val="U71"/>
      <sheetName val="U71 180001004"/>
      <sheetName val="U71 181001004"/>
      <sheetName val="Wrk"/>
      <sheetName val="ccySummary"/>
      <sheetName val="ＣＤＲ_Ｍ"/>
      <sheetName val="Recalculations-Capital-GAAP"/>
      <sheetName val="Expense"/>
      <sheetName val="PUR"/>
      <sheetName val="Working June 05"/>
      <sheetName val="80hhiia"/>
      <sheetName val="Financial Summary"/>
      <sheetName val="ARMBG"/>
      <sheetName val="P &amp; L "/>
      <sheetName val="K_1 FA register"/>
      <sheetName val="TB CPP"/>
      <sheetName val="TB Apr"/>
      <sheetName val="DISCOUNT"/>
      <sheetName val="DSLAM 960 Phase-I Part A"/>
      <sheetName val="for co (2)"/>
      <sheetName val="B Sheet"/>
      <sheetName val="Flow Chart"/>
      <sheetName val="Master"/>
      <sheetName val="margin."/>
      <sheetName val="CONTANGO"/>
      <sheetName val="REFNCOMPARE"/>
      <sheetName val="Cons-Division"/>
      <sheetName val="CVK p&amp;L"/>
      <sheetName val="lot no 86"/>
      <sheetName val="Sales &amp;Sale Cost"/>
      <sheetName val="Stock Cal"/>
      <sheetName val="Lme-REV"/>
      <sheetName val="CU-P&amp;L-Work"/>
      <sheetName val="GROUPING"/>
      <sheetName val="rawmat break up"/>
      <sheetName val="cell rel"/>
      <sheetName val="Contract Details"/>
      <sheetName val="COST SHEET"/>
      <sheetName val="OTHER RM"/>
      <sheetName val="assumption"/>
      <sheetName val="BREAKUP"/>
      <sheetName val="Top Sheet"/>
      <sheetName val="Break up of RMcost"/>
      <sheetName val="YTD (2)"/>
      <sheetName val="March "/>
      <sheetName val="Copper Stock"/>
      <sheetName val="Presentation"/>
      <sheetName val="Debtors reco with GL"/>
      <sheetName val="ং鳰憳눅锰"/>
      <sheetName val="Sheet1_x0000_狨ඣ_x0000__x0004__x0000__x0000__x0000__x0000__x0000__x0000_烸ඣ_x0000__x0000__x0000__x0000__x0000__x0000__x0000__x0000_猐ඣ_x0000_"/>
      <sheetName val="Reg HC Detail"/>
      <sheetName val="Sheet1_x0000_狨ඣ_x0000__x0004__x0000_烸ඣ_x0000_猐ඣ_x0000__x0001__x0000__x0011_[Book1.xl"/>
      <sheetName val="FY10 US HW Attach"/>
      <sheetName val="FY10 SW Attach"/>
      <sheetName val="FY10 Combined "/>
      <sheetName val="LLW Impact"/>
      <sheetName val="SW Impact"/>
      <sheetName val="Ent Managed Svc"/>
      <sheetName val="Comm Managed Svc"/>
      <sheetName val="120"/>
      <sheetName val="_x0000__x0000_眽_x0000_"/>
      <sheetName val="_x0000_$_x0000_慀뱫_x0000__x0000_悐뱫˷_x0001__x0000__x0000__x0000__x0000__x0005__x0000__x0000__x0000__x0006__x0016_Ā_x000c_CicMarsh"/>
      <sheetName val="Cost Centres"/>
      <sheetName val="表九 投入产出分析"/>
      <sheetName val="用户分类分析"/>
      <sheetName val="RPT 11-VOLUME BY BRANDS"/>
      <sheetName val="TOOLS"/>
      <sheetName val="AGC Inc. Amort"/>
      <sheetName val="FY09 Interview Inventory"/>
      <sheetName val="F810"/>
      <sheetName val="RMC"/>
      <sheetName val="Brickworks"/>
      <sheetName val="Lafarge"/>
      <sheetName val="Hanson"/>
      <sheetName val="Anhui"/>
      <sheetName val="Siam Cement"/>
      <sheetName val="Siam City Cement"/>
      <sheetName val="Lafarge Malayan"/>
      <sheetName val="Indocement"/>
      <sheetName val="Semen Gresik"/>
      <sheetName val="CSR"/>
      <sheetName val="Marshalls"/>
      <sheetName val="Lafarge NA"/>
      <sheetName val="14"/>
      <sheetName val="16"/>
      <sheetName val="EE"/>
      <sheetName val="FF"/>
      <sheetName val="GG"/>
      <sheetName val="HH"/>
      <sheetName val="JJ"/>
      <sheetName val="KK"/>
      <sheetName val="LL"/>
      <sheetName val="MM"/>
      <sheetName val="II"/>
      <sheetName val="Martin Marietta"/>
      <sheetName val="Workings (2)"/>
      <sheetName val="Base inputs"/>
      <sheetName val="5. Co F'casts (LC)"/>
      <sheetName val="Shareholder"/>
      <sheetName val="lbo"/>
      <sheetName val="Struc"/>
      <sheetName val="Comps"/>
      <sheetName val="EDISON-2"/>
      <sheetName val="RATEIMP"/>
      <sheetName val="ISS VOL MUTUAL FUND SALES"/>
      <sheetName val="MUTUAL FUND SALES BY QTR"/>
      <sheetName val="Express - DCF"/>
      <sheetName val="Vulcan"/>
      <sheetName val="TNT - Financials"/>
      <sheetName val="Mail - DCF"/>
      <sheetName val="Log - DCF"/>
      <sheetName val="Cemex"/>
      <sheetName val="Ciments Francais"/>
      <sheetName val="Agg Ind"/>
      <sheetName val="Holcim"/>
      <sheetName val="Italcementi"/>
      <sheetName val="CRH"/>
      <sheetName val="Adelaide"/>
      <sheetName val="Florida Rock"/>
      <sheetName val="Boral"/>
      <sheetName val="Rinker"/>
      <sheetName val="Heidelberg"/>
      <sheetName val="NEW ISSUES"/>
      <sheetName val="EURO-TRANS"/>
      <sheetName val="Pro Forma"/>
      <sheetName val="LoadCAP"/>
      <sheetName val="YE LOAD"/>
      <sheetName val="Weekly Data"/>
      <sheetName val="Pensions_Health"/>
      <sheetName val="Headcount"/>
      <sheetName val="Turnover"/>
      <sheetName val="Absence"/>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RFQ Instructions"/>
      <sheetName val="Quote Cover Page"/>
      <sheetName val="outbound Oct"/>
      <sheetName val="Rejects PPM"/>
      <sheetName val="기안지"/>
      <sheetName val="FO-BO-ER"/>
      <sheetName val="사구"/>
      <sheetName val="BASF"/>
      <sheetName val="Tooling Cost (2)"/>
      <sheetName val="UDI'S"/>
      <sheetName val="ia12"/>
      <sheetName val="INPC"/>
      <sheetName val="RDO CONT"/>
      <sheetName val="A. FIJO"/>
      <sheetName val="FCB_ALL"/>
      <sheetName val="ER LavSal Vs Ant"/>
      <sheetName val="Tooling Assembly"/>
      <sheetName val="Carole_Worksheet_Table"/>
      <sheetName val="TOSH06ISR "/>
      <sheetName val="ajuste IVA"/>
      <sheetName val="IMPAC"/>
      <sheetName val="DEPFIST US2000"/>
      <sheetName val="Hoja1"/>
      <sheetName val="CY Head"/>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 BC SUMMARY 2003"/>
      <sheetName val="prdtyform"/>
      <sheetName val="Final HU TB Jun 2002"/>
      <sheetName val="2001 even"/>
      <sheetName val="0398exp"/>
      <sheetName val="CUSTOMERDETAILS"/>
      <sheetName val="condensed p&amp;l"/>
      <sheetName val="p&amp;l by month"/>
      <sheetName val="ref"/>
      <sheetName val="DSO"/>
      <sheetName val="cashflow"/>
      <sheetName val="£Summary"/>
      <sheetName val="LCGRAPH"/>
      <sheetName val="GM EPS Model"/>
      <sheetName val="pitch"/>
      <sheetName val="ACLSHL96"/>
      <sheetName val="Mix in Total"/>
      <sheetName val="Page 1"/>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CSH"/>
      <sheetName val="group-match  "/>
      <sheetName val="Reference"/>
      <sheetName val="1077"/>
      <sheetName val="OP"/>
      <sheetName val="IM"/>
      <sheetName val="TPM00"/>
      <sheetName val="Asia"/>
      <sheetName val="Canada"/>
      <sheetName val="CHS"/>
      <sheetName val="Lam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inventory snapshot 20020313"/>
      <sheetName val="Total by Function QSplit"/>
      <sheetName val="On Hand"/>
      <sheetName val="Eur_sub2 "/>
      <sheetName val="3-13 Summary"/>
      <sheetName val="95 Rev"/>
      <sheetName val="FG Obsol"/>
      <sheetName val="chart 1"/>
      <sheetName val="????&lt;?&gt;"/>
      <sheetName val="CA computation"/>
      <sheetName val="固定资产汇总B5"/>
      <sheetName val="建筑物5-1-1"/>
      <sheetName val="构筑物5-1-2"/>
      <sheetName val="管道沟槽5-1-3"/>
      <sheetName val="机器设备5-2-1"/>
      <sheetName val="车辆5-2-2"/>
      <sheetName val="电子设备5-2-3"/>
      <sheetName val="Estimate Trending"/>
      <sheetName val="Sales to CM Summary"/>
      <sheetName val="Estimate Database"/>
      <sheetName val="Database"/>
      <sheetName val="Version Verification"/>
      <sheetName val="Data Sheet Source Example"/>
      <sheetName val="CEP register - ALL (2)"/>
      <sheetName val="Spend June 2008 (2)"/>
      <sheetName val="Inv Est Now"/>
      <sheetName val="MD UK"/>
      <sheetName val="Cross Walk"/>
      <sheetName val="Subledger Description"/>
      <sheetName val="Sample"/>
      <sheetName val="Recalculations-Oper-GAAP"/>
      <sheetName val="PROFIT"/>
      <sheetName val="VA89_CHG"/>
      <sheetName val="Comm Mtg"/>
      <sheetName val="Entry"/>
      <sheetName val="Review Minutes"/>
      <sheetName val="Feed sheet"/>
      <sheetName val="New business"/>
      <sheetName val="K-15"/>
      <sheetName val="K16"/>
      <sheetName val="U1-Turnover and COS"/>
      <sheetName val="U2.4"/>
      <sheetName val="U1.1 Analysis"/>
      <sheetName val="U1 Lead"/>
      <sheetName val="T2 Reserves Lead"/>
      <sheetName val="M7"/>
      <sheetName val="N101"/>
      <sheetName val="问题䀀߅"/>
      <sheetName val="问题က_x0000_"/>
      <sheetName val="问题ᾕ"/>
      <sheetName val="问题㠀茞"/>
      <sheetName val="问题ꠀ继"/>
      <sheetName val="问题耀⒚"/>
      <sheetName val="问题㩔"/>
      <sheetName val="피엘"/>
      <sheetName val="기획팀"/>
      <sheetName val="6"/>
      <sheetName val="7"/>
      <sheetName val="기부금작업"/>
      <sheetName val="원천납부작업"/>
      <sheetName val="비씨카드"/>
      <sheetName val="수익적.자본적지출"/>
      <sheetName val="손익명세창원"/>
      <sheetName val="제품(수출)매출"/>
      <sheetName val="상품보조수불"/>
      <sheetName val="제조원가계산서 (2)"/>
      <sheetName val="제품입고(생산)"/>
      <sheetName val="IN"/>
      <sheetName val="사업자등록증"/>
      <sheetName val="리스"/>
      <sheetName val="내부거래자료"/>
      <sheetName val="공정가치"/>
      <sheetName val="견질어음list"/>
      <sheetName val="회사정보"/>
      <sheetName val="계정code"/>
      <sheetName val="미지급금03.06.30"/>
      <sheetName val="매입채무9.30 (2)"/>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95하U$가격"/>
      <sheetName val="93상각비"/>
      <sheetName val="시수인원 (4)"/>
      <sheetName val="자원활용 계획(1)"/>
      <sheetName val="내용"/>
      <sheetName val="오리멀전"/>
      <sheetName val="한진Global"/>
      <sheetName val="차입금"/>
      <sheetName val="예적금"/>
      <sheetName val="건축미수"/>
      <sheetName val="대전소각로"/>
      <sheetName val="김해유류"/>
      <sheetName val="칠곡소각로"/>
      <sheetName val="핵융합철골"/>
      <sheetName val="크레인(080)"/>
      <sheetName val="수문제작(081)"/>
      <sheetName val="수문제작(082)"/>
      <sheetName val="수리(604)"/>
      <sheetName val="플로리다(804)"/>
      <sheetName val="중부내륙(800)"/>
      <sheetName val="강교제작(805)"/>
      <sheetName val="크레인(083)"/>
      <sheetName val="매출(2)"/>
      <sheetName val="program"/>
      <sheetName val="월확9601"/>
      <sheetName val="비용flux test"/>
      <sheetName val="월할경비"/>
      <sheetName val="가정"/>
      <sheetName val="유가증권미수"/>
      <sheetName val="正式文件 (2)"/>
      <sheetName val="LIST (3)"/>
      <sheetName val="业体"/>
      <sheetName val="未更换CUS"/>
      <sheetName val="与2合并"/>
      <sheetName val="区分金额别"/>
      <sheetName val="LIST (2)"/>
      <sheetName val="업체종합현황"/>
      <sheetName val="해외세목"/>
      <sheetName val="월별손익"/>
      <sheetName val="1그룹"/>
      <sheetName val="JE9911"/>
      <sheetName val="전사집계"/>
      <sheetName val="항목별"/>
      <sheetName val="MEM수율입고"/>
      <sheetName val="해외출장세부"/>
      <sheetName val="손익계산서"/>
      <sheetName val="1차상"/>
      <sheetName val="Show me meeting"/>
      <sheetName val="입력"/>
      <sheetName val="가도공"/>
      <sheetName val="터파기및재료"/>
      <sheetName val="수안보-MBR1"/>
      <sheetName val="3.하중산정4.지지력"/>
      <sheetName val="98수문일위"/>
      <sheetName val="000000"/>
      <sheetName val="VXXXXX"/>
      <sheetName val="****01"/>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BP변동"/>
      <sheetName val="full (2)"/>
      <sheetName val="Process Flow Chart"/>
      <sheetName val="3차원"/>
      <sheetName val="ML"/>
      <sheetName val="TCA"/>
      <sheetName val="관리방안"/>
      <sheetName val="부서별 진행계획(부평프레스)"/>
      <sheetName val="부서별 진행계획(Team용)"/>
      <sheetName val="DATA(1-8)"/>
      <sheetName val="열처리공정흐름도"/>
      <sheetName val="본문"/>
      <sheetName val="TRIM-Y3"/>
      <sheetName val="C - Cash and Bank"/>
      <sheetName val="Info. Request"/>
      <sheetName val="Orders"/>
      <sheetName val="To tied 2001 opening RE"/>
      <sheetName val="新洋06合同汇总"/>
      <sheetName val="Finsum-NAS"/>
      <sheetName val="FIRE Parameters"/>
      <sheetName val="ROIC"/>
      <sheetName val="Q2 Salaries"/>
      <sheetName val="Monthly_Allowances1"/>
      <sheetName val="Actuals_by_Mth1"/>
      <sheetName val="Plan_by_Mth1"/>
      <sheetName val="Actuals_YTD-Mth1"/>
      <sheetName val="PLan_YTD-Mth1"/>
      <sheetName val="VR_data1"/>
      <sheetName val="MP_data1"/>
      <sheetName val="Pln_by_mth1"/>
      <sheetName val="Pln_YTD1"/>
      <sheetName val="Operating_Statement_Data"/>
      <sheetName val="Matrix-Level_3-Gastonia"/>
      <sheetName val="Avg_IC"/>
      <sheetName val="AMCY_Impact"/>
      <sheetName val="FEB_summary"/>
      <sheetName val="Int_Analysis"/>
      <sheetName val="Plant_KPI_"/>
      <sheetName val="DEFECT_CODES"/>
      <sheetName val="LOCATION_CODES"/>
      <sheetName val="Consolidated_Budget_Worksheet"/>
      <sheetName val="Assy_Exc_Takt"/>
      <sheetName val="2001_Before_Capitalization"/>
      <sheetName val="PD_Bowler"/>
      <sheetName val="1-30_Consolidated_"/>
      <sheetName val="BS_Frango"/>
      <sheetName val="Sales_Dev_&amp;_Training"/>
      <sheetName val="Ignor_this_tab1"/>
      <sheetName val="Vendor_Data"/>
      <sheetName val="POS_Tests"/>
      <sheetName val="Pilot_Sites"/>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U110_Product_mix"/>
      <sheetName val="U120_Premium_ceded"/>
      <sheetName val="U130_Commission_paid"/>
      <sheetName val="U140_Commission_recd"/>
      <sheetName val="U150_Claims_incurred"/>
      <sheetName val="固定资产NEW__(2)"/>
      <sheetName val="K101_Summary_of_FA_Adj"/>
      <sheetName val="K302_固定资产减值准备计提表"/>
      <sheetName val="OA_A500"/>
      <sheetName val="F810_Compliation"/>
      <sheetName val="Jan_16_(2)"/>
      <sheetName val="C_os"/>
      <sheetName val="CIP2003_movement"/>
      <sheetName val="stock_5_14报告版2003update_ok"/>
      <sheetName val="农行环翠银票03_6"/>
      <sheetName val="G200_(2)"/>
      <sheetName val="K_"/>
      <sheetName val="U_3310-air"/>
      <sheetName val="U3000-HQ_COS"/>
      <sheetName val="现金流量表_(2)"/>
      <sheetName val="F1003-FG_list_"/>
      <sheetName val="F1004-consignment_list"/>
      <sheetName val="os_list"/>
      <sheetName val="FA_details"/>
      <sheetName val="27_租赁承诺"/>
      <sheetName val="28_资本承诺"/>
      <sheetName val="29_关联交易"/>
      <sheetName val="30_关联余额"/>
      <sheetName val="U130-Consulting_fee"/>
      <sheetName val="U120-Consulting_Fee__Breakd"/>
      <sheetName val="U130-Professional_Fee_GPC"/>
      <sheetName val="U140-Legal_Fee"/>
      <sheetName val="历年净利润及盈余公积复核_(审定)"/>
      <sheetName val="OS_list_of_深中置_-_3"/>
      <sheetName val="Compilation_test"/>
      <sheetName val="6_需报废清单"/>
      <sheetName val="U500_G&amp;A_Expenses"/>
      <sheetName val="I100-Interco_Bal_confirmation"/>
      <sheetName val="F_。"/>
      <sheetName val="F311-RM_V_test"/>
      <sheetName val="All_overhead_Variance"/>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附注汇总__(2)"/>
      <sheetName val="现金合并_(2)"/>
      <sheetName val="固定资产及累计折旧_"/>
      <sheetName val="Loan_sale_(2)"/>
      <sheetName val="HO_-LT(RMB)"/>
      <sheetName val="H_10_Sum_of_Issue"/>
      <sheetName val="loan_sales_and_purchase"/>
      <sheetName val="7_临夏"/>
      <sheetName val="Projection_Methodology_2002"/>
      <sheetName val="10_03_"/>
      <sheetName val="SP_B6"/>
      <sheetName val="NKS_B6"/>
      <sheetName val="E4_Sales_cutoff"/>
      <sheetName val="Sales_Cut-off"/>
      <sheetName val="U2_1_1_(2)"/>
      <sheetName val="M8memo_Prov_for_connectplan"/>
      <sheetName val="U2_1_ARPs(P)"/>
      <sheetName val="U1_Lead_(2)"/>
      <sheetName val="U6_3A_Landscape_project_ana"/>
      <sheetName val="U1-2F_Review_Margin"/>
      <sheetName val="A6_3"/>
      <sheetName val="I1-_interco"/>
      <sheetName val="U3_Payroll_lead"/>
      <sheetName val="E5_1_Sales_cut_off"/>
      <sheetName val="Revenue_Summary"/>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A521_(2)"/>
      <sheetName val="A621_(2)"/>
      <sheetName val="U2_1"/>
      <sheetName val="E1_-_notes"/>
      <sheetName val="O1_1"/>
      <sheetName val="P1_-_notes"/>
      <sheetName val="U200_Inv_income"/>
      <sheetName val="U210_Int_income"/>
      <sheetName val="U300_Admin_exp"/>
      <sheetName val="General_insurance"/>
      <sheetName val="life_"/>
      <sheetName val="M5_Cut_off"/>
      <sheetName val="E4-1_cut_off"/>
      <sheetName val="purchase_cut-off"/>
      <sheetName val="APPENDIX_1"/>
      <sheetName val="Travel_OS_FY04"/>
      <sheetName val="U4_P1"/>
      <sheetName val="U4_P2"/>
      <sheetName val="U4-3_P2"/>
      <sheetName val="Q301_"/>
      <sheetName val="AC00(02)_O-lead"/>
      <sheetName val="AC00(03)_O-lead"/>
      <sheetName val="AC00(04)_O-lead"/>
      <sheetName val="Summary_of_Project_&amp;_WIP_Review"/>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German_Co_-_Attrition_study"/>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total yr comparison vs PM"/>
      <sheetName val="전사 (2)"/>
      <sheetName val="BA (2)"/>
      <sheetName val="CP (2)"/>
      <sheetName val="SD NA - Revenue - SD"/>
      <sheetName val="Revenue Detail"/>
      <sheetName val="Actual INPUT"/>
      <sheetName val="Accounts"/>
      <sheetName val="環境２"/>
      <sheetName val="集計長期"/>
      <sheetName val="ﾃﾞｰﾀ長期"/>
      <sheetName val="受注区分資料"/>
      <sheetName val="集計月次"/>
      <sheetName val="ﾃﾞｰﾀ月次"/>
      <sheetName val="6月新機種・納入遅れ情報"/>
      <sheetName val="ｾｸﾞﾒﾝﾄ6-3-2.データ"/>
      <sheetName val="水"/>
      <sheetName val="入力ｼｰﾄ"/>
      <sheetName val="97-10-24"/>
      <sheetName val="98FORECAST (1)"/>
      <sheetName val="GRAPH 4軸 径Φ120 (2)"/>
      <sheetName val="Sales Forecast 9th APRIL 04"/>
      <sheetName val="Month"/>
      <sheetName val="Instrucciones"/>
      <sheetName val="In Hold (Status 6) BD"/>
      <sheetName val="Resumen Hold (base)"/>
      <sheetName val="Comportamiento Mensual"/>
      <sheetName val="Reporte RAS 25 2 14 (Base) TOTM"/>
      <sheetName val="REP14DIC"/>
      <sheetName val="TablaProyectos"/>
      <sheetName val="FACTURAS22"/>
      <sheetName val="FACTURAS22Value"/>
      <sheetName val="UB101_營業外收入明細"/>
      <sheetName val="Rate (2)"/>
      <sheetName val="Breakdown"/>
      <sheetName val="Constant"/>
      <sheetName val="netmatl."/>
      <sheetName val="PCD_Matl"/>
      <sheetName val="pcbu"/>
      <sheetName val="PTP_Matrix"/>
      <sheetName val="t.o"/>
      <sheetName val="RECON"/>
      <sheetName val="corp"/>
      <sheetName val="B0_111350"/>
      <sheetName val="EDETNOV"/>
      <sheetName val="cvbu"/>
      <sheetName val="qty"/>
      <sheetName val="CVBUH2MONTHLY"/>
      <sheetName val="Sheet1_MIS"/>
      <sheetName val="exports"/>
      <sheetName val="Nonvehicle"/>
      <sheetName val="CVBUYR"/>
      <sheetName val="PRDMAR96"/>
      <sheetName val="sch_list (2)"/>
      <sheetName val="improvements"/>
      <sheetName val="YR0102"/>
      <sheetName val="revaug"/>
      <sheetName val="mktexp"/>
      <sheetName val=" t.o."/>
      <sheetName val="volapr-dec"/>
      <sheetName val="volapr_feb"/>
      <sheetName val="Assm"/>
      <sheetName val="Old Data"/>
      <sheetName val="mnth"/>
      <sheetName val="Stks"/>
      <sheetName val="CMVR"/>
      <sheetName val="TO"/>
      <sheetName val="erc"/>
      <sheetName val="exp"/>
      <sheetName val="dm1"/>
      <sheetName val="dm"/>
      <sheetName val="woe"/>
      <sheetName val="Sal0304"/>
      <sheetName val="men"/>
      <sheetName val="sal summ"/>
      <sheetName val="dep war"/>
      <sheetName val="trsfrcst"/>
      <sheetName val="IV"/>
      <sheetName val="TrCost"/>
      <sheetName val="SUM14ZC1"/>
      <sheetName val="FACTURAS20Val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sheetData sheetId="200"/>
      <sheetData sheetId="201"/>
      <sheetData sheetId="202"/>
      <sheetData sheetId="203"/>
      <sheetData sheetId="204" refreshError="1"/>
      <sheetData sheetId="205" refreshError="1"/>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sheetData sheetId="313"/>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sheetData sheetId="499"/>
      <sheetData sheetId="500"/>
      <sheetData sheetId="501"/>
      <sheetData sheetId="502" refreshError="1"/>
      <sheetData sheetId="503" refreshError="1"/>
      <sheetData sheetId="504" refreshError="1"/>
      <sheetData sheetId="505" refreshError="1"/>
      <sheetData sheetId="506"/>
      <sheetData sheetId="507"/>
      <sheetData sheetId="508" refreshError="1"/>
      <sheetData sheetId="509"/>
      <sheetData sheetId="510"/>
      <sheetData sheetId="511" refreshError="1"/>
      <sheetData sheetId="512"/>
      <sheetData sheetId="513" refreshError="1"/>
      <sheetData sheetId="514"/>
      <sheetData sheetId="515" refreshError="1"/>
      <sheetData sheetId="516"/>
      <sheetData sheetId="517"/>
      <sheetData sheetId="518"/>
      <sheetData sheetId="519"/>
      <sheetData sheetId="520" refreshError="1"/>
      <sheetData sheetId="521"/>
      <sheetData sheetId="522" refreshError="1"/>
      <sheetData sheetId="523" refreshError="1"/>
      <sheetData sheetId="524"/>
      <sheetData sheetId="525" refreshError="1"/>
      <sheetData sheetId="526"/>
      <sheetData sheetId="527"/>
      <sheetData sheetId="528" refreshError="1"/>
      <sheetData sheetId="529"/>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refreshError="1"/>
      <sheetData sheetId="545"/>
      <sheetData sheetId="546"/>
      <sheetData sheetId="547"/>
      <sheetData sheetId="548"/>
      <sheetData sheetId="549" refreshError="1"/>
      <sheetData sheetId="550"/>
      <sheetData sheetId="551"/>
      <sheetData sheetId="552"/>
      <sheetData sheetId="553"/>
      <sheetData sheetId="554" refreshError="1"/>
      <sheetData sheetId="555"/>
      <sheetData sheetId="556"/>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refreshError="1"/>
      <sheetData sheetId="725" refreshError="1"/>
      <sheetData sheetId="726" refreshError="1"/>
      <sheetData sheetId="727" refreshError="1"/>
      <sheetData sheetId="728"/>
      <sheetData sheetId="729"/>
      <sheetData sheetId="730" refreshError="1"/>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sheetData sheetId="822" refreshError="1"/>
      <sheetData sheetId="823"/>
      <sheetData sheetId="824"/>
      <sheetData sheetId="825" refreshError="1"/>
      <sheetData sheetId="826"/>
      <sheetData sheetId="827" refreshError="1"/>
      <sheetData sheetId="828"/>
      <sheetData sheetId="829" refreshError="1"/>
      <sheetData sheetId="830"/>
      <sheetData sheetId="831" refreshError="1"/>
      <sheetData sheetId="832"/>
      <sheetData sheetId="833" refreshError="1"/>
      <sheetData sheetId="834"/>
      <sheetData sheetId="835" refreshError="1"/>
      <sheetData sheetId="836"/>
      <sheetData sheetId="837" refreshError="1"/>
      <sheetData sheetId="838"/>
      <sheetData sheetId="839" refreshError="1"/>
      <sheetData sheetId="840"/>
      <sheetData sheetId="841" refreshError="1"/>
      <sheetData sheetId="842"/>
      <sheetData sheetId="843" refreshError="1"/>
      <sheetData sheetId="844"/>
      <sheetData sheetId="845" refreshError="1"/>
      <sheetData sheetId="846"/>
      <sheetData sheetId="847" refreshError="1"/>
      <sheetData sheetId="848"/>
      <sheetData sheetId="849" refreshError="1"/>
      <sheetData sheetId="850"/>
      <sheetData sheetId="851" refreshError="1"/>
      <sheetData sheetId="852"/>
      <sheetData sheetId="853" refreshError="1"/>
      <sheetData sheetId="854"/>
      <sheetData sheetId="855" refreshError="1"/>
      <sheetData sheetId="856"/>
      <sheetData sheetId="857" refreshError="1"/>
      <sheetData sheetId="858"/>
      <sheetData sheetId="859" refreshError="1"/>
      <sheetData sheetId="860"/>
      <sheetData sheetId="861" refreshError="1"/>
      <sheetData sheetId="862"/>
      <sheetData sheetId="863" refreshError="1"/>
      <sheetData sheetId="864"/>
      <sheetData sheetId="865" refreshError="1"/>
      <sheetData sheetId="866"/>
      <sheetData sheetId="867" refreshError="1"/>
      <sheetData sheetId="868"/>
      <sheetData sheetId="869" refreshError="1"/>
      <sheetData sheetId="870"/>
      <sheetData sheetId="871" refreshError="1"/>
      <sheetData sheetId="872"/>
      <sheetData sheetId="873" refreshError="1"/>
      <sheetData sheetId="874"/>
      <sheetData sheetId="875" refreshError="1"/>
      <sheetData sheetId="876"/>
      <sheetData sheetId="877" refreshError="1"/>
      <sheetData sheetId="878"/>
      <sheetData sheetId="879" refreshError="1"/>
      <sheetData sheetId="880"/>
      <sheetData sheetId="881" refreshError="1"/>
      <sheetData sheetId="882"/>
      <sheetData sheetId="883" refreshError="1"/>
      <sheetData sheetId="884"/>
      <sheetData sheetId="885" refreshError="1"/>
      <sheetData sheetId="886"/>
      <sheetData sheetId="887" refreshError="1"/>
      <sheetData sheetId="888"/>
      <sheetData sheetId="889" refreshError="1"/>
      <sheetData sheetId="890"/>
      <sheetData sheetId="891" refreshError="1"/>
      <sheetData sheetId="892"/>
      <sheetData sheetId="893" refreshError="1"/>
      <sheetData sheetId="894"/>
      <sheetData sheetId="895" refreshError="1"/>
      <sheetData sheetId="896"/>
      <sheetData sheetId="897" refreshError="1"/>
      <sheetData sheetId="898"/>
      <sheetData sheetId="899" refreshError="1"/>
      <sheetData sheetId="900"/>
      <sheetData sheetId="901" refreshError="1"/>
      <sheetData sheetId="902"/>
      <sheetData sheetId="903" refreshError="1"/>
      <sheetData sheetId="904"/>
      <sheetData sheetId="905" refreshError="1"/>
      <sheetData sheetId="906"/>
      <sheetData sheetId="907" refreshError="1"/>
      <sheetData sheetId="908"/>
      <sheetData sheetId="909" refreshError="1"/>
      <sheetData sheetId="910"/>
      <sheetData sheetId="911" refreshError="1"/>
      <sheetData sheetId="912"/>
      <sheetData sheetId="913" refreshError="1"/>
      <sheetData sheetId="914"/>
      <sheetData sheetId="915" refreshError="1"/>
      <sheetData sheetId="916"/>
      <sheetData sheetId="917" refreshError="1"/>
      <sheetData sheetId="918"/>
      <sheetData sheetId="919"/>
      <sheetData sheetId="920"/>
      <sheetData sheetId="921" refreshError="1"/>
      <sheetData sheetId="922"/>
      <sheetData sheetId="923" refreshError="1"/>
      <sheetData sheetId="924"/>
      <sheetData sheetId="925" refreshError="1"/>
      <sheetData sheetId="926"/>
      <sheetData sheetId="927" refreshError="1"/>
      <sheetData sheetId="928"/>
      <sheetData sheetId="929" refreshError="1"/>
      <sheetData sheetId="930" refreshError="1"/>
      <sheetData sheetId="931" refreshError="1"/>
      <sheetData sheetId="932" refreshError="1"/>
      <sheetData sheetId="933" refreshError="1"/>
      <sheetData sheetId="934"/>
      <sheetData sheetId="935"/>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ow r="30">
          <cell r="F30">
            <v>126829286</v>
          </cell>
        </row>
      </sheetData>
      <sheetData sheetId="2776" refreshError="1"/>
      <sheetData sheetId="2777" refreshError="1"/>
      <sheetData sheetId="2778">
        <row r="19">
          <cell r="C19" t="str">
            <v>VEHICLES</v>
          </cell>
        </row>
      </sheetData>
      <sheetData sheetId="2779" refreshError="1"/>
      <sheetData sheetId="2780"/>
      <sheetData sheetId="2781"/>
      <sheetData sheetId="2782">
        <row r="9">
          <cell r="B9" t="str">
            <v>GOLDEN HILLS WIND, LLC</v>
          </cell>
        </row>
      </sheetData>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1">
          <cell r="A1" t="str">
            <v>Import ID (Owned Entity)</v>
          </cell>
        </row>
      </sheetData>
      <sheetData sheetId="286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sheetData sheetId="2933"/>
      <sheetData sheetId="2934"/>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ow r="1">
          <cell r="A1" t="str">
            <v>OXFORD UNIVERSITY PRESS INDIAN BRANCH</v>
          </cell>
        </row>
      </sheetData>
      <sheetData sheetId="2947">
        <row r="1">
          <cell r="A1" t="str">
            <v>OXFORD UNIVERSITY PRESS INDIAN BRANCH</v>
          </cell>
        </row>
      </sheetData>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row r="1">
          <cell r="A1" t="str">
            <v>OXFORD UNIVERSITY PRESS INDIAN BRANCH</v>
          </cell>
        </row>
      </sheetData>
      <sheetData sheetId="2961">
        <row r="1">
          <cell r="A1" t="str">
            <v>OXFORD UNIVERSITY PRESS INDIAN BRANCH</v>
          </cell>
        </row>
      </sheetData>
      <sheetData sheetId="2962">
        <row r="1">
          <cell r="A1" t="str">
            <v>OXFORD UNIVERSITY PRESS INDIAN BRANCH</v>
          </cell>
        </row>
      </sheetData>
      <sheetData sheetId="2963">
        <row r="1">
          <cell r="A1" t="str">
            <v>OXFORD UNIVERSITY PRESS INDIAN BRANCH</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sheetData sheetId="3086" refreshError="1"/>
      <sheetData sheetId="3087" refreshError="1"/>
      <sheetData sheetId="3088" refreshError="1"/>
      <sheetData sheetId="3089" refreshError="1"/>
      <sheetData sheetId="3090" refreshError="1"/>
      <sheetData sheetId="3091" refreshError="1"/>
      <sheetData sheetId="3092"/>
      <sheetData sheetId="3093"/>
      <sheetData sheetId="3094"/>
      <sheetData sheetId="3095"/>
      <sheetData sheetId="3096"/>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sheetData sheetId="3121"/>
      <sheetData sheetId="3122"/>
      <sheetData sheetId="3123"/>
      <sheetData sheetId="3124" refreshError="1"/>
      <sheetData sheetId="3125" refreshError="1"/>
      <sheetData sheetId="3126" refreshError="1"/>
      <sheetData sheetId="3127" refreshError="1"/>
      <sheetData sheetId="3128" refreshError="1"/>
      <sheetData sheetId="3129" refreshError="1"/>
      <sheetData sheetId="3130" refreshError="1"/>
      <sheetData sheetId="3131"/>
      <sheetData sheetId="3132" refreshError="1"/>
      <sheetData sheetId="3133" refreshError="1"/>
      <sheetData sheetId="3134" refreshError="1"/>
      <sheetData sheetId="3135"/>
      <sheetData sheetId="3136" refreshError="1"/>
      <sheetData sheetId="3137"/>
      <sheetData sheetId="3138"/>
      <sheetData sheetId="3139"/>
      <sheetData sheetId="3140" refreshError="1"/>
      <sheetData sheetId="3141"/>
      <sheetData sheetId="3142" refreshError="1"/>
      <sheetData sheetId="3143" refreshError="1"/>
      <sheetData sheetId="3144"/>
      <sheetData sheetId="3145" refreshError="1"/>
      <sheetData sheetId="3146" refreshError="1"/>
      <sheetData sheetId="3147" refreshError="1"/>
      <sheetData sheetId="3148" refreshError="1"/>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sheetData sheetId="3186"/>
      <sheetData sheetId="3187" refreshError="1"/>
      <sheetData sheetId="3188" refreshError="1"/>
      <sheetData sheetId="3189"/>
      <sheetData sheetId="3190" refreshError="1"/>
      <sheetData sheetId="3191" refreshError="1"/>
      <sheetData sheetId="3192" refreshError="1"/>
      <sheetData sheetId="3193" refreshError="1"/>
      <sheetData sheetId="3194" refreshError="1"/>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refreshError="1"/>
      <sheetData sheetId="3210" refreshError="1"/>
      <sheetData sheetId="321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refreshError="1"/>
      <sheetData sheetId="3286"/>
      <sheetData sheetId="3287" refreshError="1"/>
      <sheetData sheetId="3288" refreshError="1"/>
      <sheetData sheetId="3289" refreshError="1"/>
      <sheetData sheetId="3290"/>
      <sheetData sheetId="3291" refreshError="1"/>
      <sheetData sheetId="3292"/>
      <sheetData sheetId="3293"/>
      <sheetData sheetId="3294" refreshError="1"/>
      <sheetData sheetId="3295" refreshError="1"/>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sheetData sheetId="3306"/>
      <sheetData sheetId="3307"/>
      <sheetData sheetId="3308"/>
      <sheetData sheetId="3309" refreshError="1"/>
      <sheetData sheetId="3310" refreshError="1"/>
      <sheetData sheetId="3311" refreshError="1"/>
      <sheetData sheetId="3312"/>
      <sheetData sheetId="3313"/>
      <sheetData sheetId="3314"/>
      <sheetData sheetId="3315"/>
      <sheetData sheetId="3316"/>
      <sheetData sheetId="3317"/>
      <sheetData sheetId="3318"/>
      <sheetData sheetId="3319"/>
      <sheetData sheetId="3320" refreshError="1"/>
      <sheetData sheetId="3321" refreshError="1"/>
      <sheetData sheetId="3322"/>
      <sheetData sheetId="3323"/>
      <sheetData sheetId="3324" refreshError="1"/>
      <sheetData sheetId="3325"/>
      <sheetData sheetId="3326"/>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sheetData sheetId="3337" refreshError="1"/>
      <sheetData sheetId="3338"/>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ow r="7">
          <cell r="AQ7">
            <v>2.8771</v>
          </cell>
        </row>
      </sheetData>
      <sheetData sheetId="3488"/>
      <sheetData sheetId="3489"/>
      <sheetData sheetId="3490" refreshError="1"/>
      <sheetData sheetId="3491" refreshError="1"/>
      <sheetData sheetId="3492" refreshError="1"/>
      <sheetData sheetId="3493" refreshError="1"/>
      <sheetData sheetId="3494" refreshError="1"/>
      <sheetData sheetId="3495"/>
      <sheetData sheetId="3496"/>
      <sheetData sheetId="3497"/>
      <sheetData sheetId="3498"/>
      <sheetData sheetId="3499" refreshError="1"/>
      <sheetData sheetId="3500"/>
      <sheetData sheetId="3501" refreshError="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row r="16">
          <cell r="H16">
            <v>95219.94</v>
          </cell>
        </row>
      </sheetData>
      <sheetData sheetId="3534">
        <row r="33">
          <cell r="H33">
            <v>4959.7354999999998</v>
          </cell>
        </row>
      </sheetData>
      <sheetData sheetId="3535"/>
      <sheetData sheetId="3536">
        <row r="14">
          <cell r="L14">
            <v>491576.13</v>
          </cell>
        </row>
      </sheetData>
      <sheetData sheetId="3537">
        <row r="45">
          <cell r="L45">
            <v>1089506.6707527002</v>
          </cell>
        </row>
      </sheetData>
      <sheetData sheetId="3538"/>
      <sheetData sheetId="3539" refreshError="1"/>
      <sheetData sheetId="3540" refreshError="1"/>
      <sheetData sheetId="3541" refreshError="1"/>
      <sheetData sheetId="3542" refreshError="1"/>
      <sheetData sheetId="3543"/>
      <sheetData sheetId="3544"/>
      <sheetData sheetId="3545"/>
      <sheetData sheetId="3546"/>
      <sheetData sheetId="3547"/>
      <sheetData sheetId="3548"/>
      <sheetData sheetId="3549"/>
      <sheetData sheetId="3550"/>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sheetData sheetId="3755"/>
      <sheetData sheetId="3756"/>
      <sheetData sheetId="3757"/>
      <sheetData sheetId="3758"/>
      <sheetData sheetId="3759"/>
      <sheetData sheetId="3760"/>
      <sheetData sheetId="3761" refreshError="1"/>
      <sheetData sheetId="3762" refreshError="1"/>
      <sheetData sheetId="3763" refreshError="1"/>
      <sheetData sheetId="3764" refreshError="1"/>
      <sheetData sheetId="3765"/>
      <sheetData sheetId="3766" refreshError="1"/>
      <sheetData sheetId="3767" refreshError="1"/>
      <sheetData sheetId="3768" refreshError="1"/>
      <sheetData sheetId="3769" refreshError="1"/>
      <sheetData sheetId="3770" refreshError="1"/>
      <sheetData sheetId="377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sheetData sheetId="3863"/>
      <sheetData sheetId="3864"/>
      <sheetData sheetId="3865"/>
      <sheetData sheetId="3866"/>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sheetData sheetId="3981"/>
      <sheetData sheetId="3982"/>
      <sheetData sheetId="3983"/>
      <sheetData sheetId="3984"/>
      <sheetData sheetId="3985"/>
      <sheetData sheetId="3986"/>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sheetData sheetId="4010"/>
      <sheetData sheetId="4011"/>
      <sheetData sheetId="4012" refreshError="1"/>
      <sheetData sheetId="4013"/>
      <sheetData sheetId="4014"/>
      <sheetData sheetId="4015" refreshError="1"/>
      <sheetData sheetId="4016"/>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sheetData sheetId="4092"/>
      <sheetData sheetId="4093" refreshError="1"/>
      <sheetData sheetId="4094" refreshError="1"/>
      <sheetData sheetId="4095" refreshError="1"/>
      <sheetData sheetId="4096"/>
      <sheetData sheetId="4097" refreshError="1"/>
      <sheetData sheetId="4098" refreshError="1"/>
      <sheetData sheetId="4099"/>
      <sheetData sheetId="4100"/>
      <sheetData sheetId="4101" refreshError="1"/>
      <sheetData sheetId="4102" refreshError="1"/>
      <sheetData sheetId="4103" refreshError="1"/>
      <sheetData sheetId="4104" refreshError="1"/>
      <sheetData sheetId="4105" refreshError="1"/>
      <sheetData sheetId="4106"/>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sheetData sheetId="4117"/>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refreshError="1"/>
      <sheetData sheetId="4428"/>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sheetData sheetId="4439"/>
      <sheetData sheetId="4440"/>
      <sheetData sheetId="444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PARAMETER"/>
      <sheetName val="Detect"/>
      <sheetName val="Sumary(CHEMICAL)"/>
      <sheetName val="MAINSUM"/>
      <sheetName val="MAIN MATERIAL"/>
      <sheetName val="HOOKUP MATERIAL"/>
      <sheetName val="c.c.s.s."/>
      <sheetName val="경상비"/>
      <sheetName val="경상비 산출기준"/>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 "/>
      <sheetName val="금액내역서"/>
      <sheetName val="국내"/>
      <sheetName val="FORM-0"/>
      <sheetName val="FACTOR"/>
      <sheetName val="__ "/>
      <sheetName val="노무비단가"/>
      <sheetName val="견적서"/>
      <sheetName val="요율"/>
      <sheetName val="TYPE-A"/>
      <sheetName val="노임단가"/>
      <sheetName val="PKG"/>
      <sheetName val="N賃率-職"/>
      <sheetName val="기계내역서"/>
      <sheetName val="SG"/>
      <sheetName val="품의"/>
      <sheetName val="시행후면적"/>
      <sheetName val="토목"/>
      <sheetName val="수지예산"/>
      <sheetName val="Sheet5"/>
      <sheetName val="inter"/>
      <sheetName val="D-623D"/>
      <sheetName val="ITB COST"/>
      <sheetName val="단가표 "/>
      <sheetName val="골조시행"/>
      <sheetName val="인사자료총집계"/>
      <sheetName val="금호"/>
      <sheetName val="3 UTILITY工艺"/>
      <sheetName val="실행"/>
      <sheetName val="실행내역서 "/>
      <sheetName val="교각계산"/>
      <sheetName val="CAT_5"/>
      <sheetName val="환율change"/>
      <sheetName val="표지 (2)"/>
      <sheetName val="XZLC004_PART2"/>
      <sheetName val="XZLC003_PART1"/>
      <sheetName val="할증"/>
      <sheetName val="Piping Design Data"/>
      <sheetName val="공량단가"/>
      <sheetName val="#REF"/>
      <sheetName val="기안"/>
      <sheetName val="개산공사비"/>
      <sheetName val="현장투입(원장)"/>
      <sheetName val="5.전사투자계획종함안"/>
      <sheetName val="6호기"/>
      <sheetName val="내역서"/>
      <sheetName val="1ST"/>
      <sheetName val="01"/>
      <sheetName val="영동(D)"/>
      <sheetName val="1.설계조건"/>
      <sheetName val="갑지"/>
      <sheetName val="연돌일위집계"/>
      <sheetName val="BS"/>
      <sheetName val="ccss"/>
      <sheetName val="FAB별"/>
      <sheetName val="내역"/>
      <sheetName val="본부소개"/>
      <sheetName val="EQUIPMENT -2"/>
      <sheetName val="RK-401"/>
      <sheetName val="??"/>
      <sheetName val="__"/>
      <sheetName val="프랜트면허"/>
      <sheetName val="토목주소"/>
      <sheetName val="물가정보"/>
      <sheetName val="PIPE"/>
      <sheetName val="FLANGE"/>
      <sheetName val="VALVE"/>
      <sheetName val="일위"/>
      <sheetName val="SC1"/>
      <sheetName val="전기혼잡제경비(45)"/>
      <sheetName val="95MAKER"/>
      <sheetName val="sum1 (2)"/>
      <sheetName val="Motor Data"/>
      <sheetName val="정부노임"/>
      <sheetName val="예정(3)"/>
      <sheetName val="배명(단가)"/>
      <sheetName val="98비정기소모"/>
      <sheetName val="전체"/>
      <sheetName val="工場循環"/>
      <sheetName val="item sort no"/>
      <sheetName val="spec"/>
      <sheetName val="REDUCER"/>
      <sheetName val="WE'T"/>
      <sheetName val="F4-F7"/>
      <sheetName val="PIPING"/>
      <sheetName val="eqpmad2"/>
      <sheetName val="금융비용"/>
      <sheetName val="공문"/>
      <sheetName val="3.공통공사대비"/>
      <sheetName val="견적대비표"/>
      <sheetName val="CODE"/>
      <sheetName val="정부노임단가"/>
      <sheetName val="MOTOR"/>
      <sheetName val="분뇨"/>
      <sheetName val="현장관리비 산출내역"/>
      <sheetName val="자재단가"/>
      <sheetName val="연결임시"/>
      <sheetName val="노임"/>
      <sheetName val="저"/>
      <sheetName val="일위대가"/>
      <sheetName val="45,46"/>
      <sheetName val="지급자재"/>
      <sheetName val="관리,공감"/>
      <sheetName val="자재대"/>
      <sheetName val="소야공정계획표"/>
      <sheetName val="계약변경요청서"/>
      <sheetName val="단가사정"/>
      <sheetName val="INSTR"/>
      <sheetName val="Base"/>
      <sheetName val="공용정보"/>
      <sheetName val="저항"/>
      <sheetName val="품검자료"/>
      <sheetName val="날개벽(좌,우=60도-4개)"/>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결재판(삭제하지말아주세요)"/>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동결보온"/>
      <sheetName val="MOTOR"/>
      <sheetName val="금액내역서"/>
      <sheetName val="할증 "/>
      <sheetName val="견적대비표"/>
      <sheetName val="BID"/>
      <sheetName val="정부노임단가"/>
      <sheetName val="wall"/>
      <sheetName val=" 배관자재비-SKEC구매분"/>
      <sheetName val="abc"/>
      <sheetName val="108"/>
      <sheetName val="WORK-VOL"/>
      <sheetName val="FAB_I"/>
      <sheetName val="Proposal"/>
      <sheetName val="HVAC"/>
      <sheetName val="fitting"/>
      <sheetName val="조도계산서 (도서)"/>
      <sheetName val="광통신 견적내역서1"/>
      <sheetName val="제경비"/>
      <sheetName val="EQT-ESTN"/>
      <sheetName val="TTL"/>
      <sheetName val="JCS"/>
      <sheetName val="Working"/>
      <sheetName val="Manpower"/>
      <sheetName val="Datas"/>
      <sheetName val="Int. Pr.-Shell"/>
      <sheetName val="Ext. Pr.-Shell"/>
      <sheetName val="Int. Pr.-D'End"/>
      <sheetName val="Ext. Pr.-D'End"/>
      <sheetName val="Reinforcement Pad"/>
      <sheetName val="Nozzles"/>
      <sheetName val="Painting"/>
      <sheetName val="현장지지물물량"/>
      <sheetName val="수입"/>
      <sheetName val="명세서"/>
      <sheetName val="DATA"/>
      <sheetName val="품셈"/>
      <sheetName val="Erection"/>
      <sheetName val="12CGOU"/>
      <sheetName val="공사비 내역 (가)"/>
      <sheetName val="PUMP"/>
      <sheetName val="Main"/>
      <sheetName val="적용환율"/>
      <sheetName val="기성내역"/>
      <sheetName val="General Data"/>
      <sheetName val="주요기준"/>
      <sheetName val="COVER"/>
      <sheetName val="입찰안"/>
      <sheetName val="직원동원SCH"/>
      <sheetName val="공통비"/>
      <sheetName val="001"/>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bm_(2)"/>
      <sheetName val="Junction_Box"/>
      <sheetName val="JB_Final_checked"/>
      <sheetName val="F&amp;G_System"/>
      <sheetName val="F&amp;G_System_(Detail)"/>
      <sheetName val="_배관자재비-SKEC구매분"/>
      <sheetName val="Sheet6"/>
      <sheetName val="Sheet1"/>
      <sheetName val="SM1-09"/>
      <sheetName val="SM2-09"/>
      <sheetName val="BD-09"/>
      <sheetName val="MT-09"/>
      <sheetName val="B"/>
      <sheetName val="DRUM"/>
      <sheetName val="Requirement(Work Crew)"/>
      <sheetName val="01"/>
      <sheetName val="계측 내역서"/>
      <sheetName val="결과조달"/>
      <sheetName val="PIPING"/>
      <sheetName val="ITEM"/>
      <sheetName val="연돌일위집계"/>
      <sheetName val="BQMPALOC"/>
      <sheetName val="FLANGE"/>
      <sheetName val="VALVE"/>
      <sheetName val="hitlin"/>
      <sheetName val="PER"/>
      <sheetName val="PIR(석유화학)"/>
      <sheetName val="silica"/>
      <sheetName val="rw"/>
      <sheetName val="gw"/>
      <sheetName val="우레탄"/>
      <sheetName val="fg"/>
      <sheetName val="iig silica(캐나다)"/>
      <sheetName val="작성방법"/>
      <sheetName val="자격 땡겨오기"/>
      <sheetName val="4300 UTILITY BLDG (2)"/>
      <sheetName val="DB@Acess"/>
      <sheetName val="Civil"/>
      <sheetName val="운반"/>
      <sheetName val="단중"/>
      <sheetName val="품셈표"/>
      <sheetName val="잡비"/>
      <sheetName val="판가반영"/>
      <sheetName val="BQ"/>
      <sheetName val="시행예산"/>
      <sheetName val="EQUIP"/>
      <sheetName val="의왕F사"/>
      <sheetName val="가공사"/>
      <sheetName val="간접비내역-1"/>
      <sheetName val="D-3109"/>
      <sheetName val="MODELING"/>
      <sheetName val="INPUT"/>
      <sheetName val="cable-data"/>
      <sheetName val="국내"/>
      <sheetName val="15 문제점"/>
      <sheetName val="---FAB#1업무일지---"/>
      <sheetName val="N賃率-職"/>
      <sheetName val="원료구매"/>
      <sheetName val="A"/>
      <sheetName val="매출"/>
      <sheetName val="WORK"/>
      <sheetName val="견적정보"/>
      <sheetName val="DATA for Bill"/>
      <sheetName val="CALCULATION"/>
      <sheetName val="건축내역"/>
      <sheetName val="BQLIST"/>
      <sheetName val="일위대가목차"/>
      <sheetName val="#REF"/>
      <sheetName val="산#2-1 (2)"/>
      <sheetName val="extensions lookup"/>
      <sheetName val="API Units"/>
      <sheetName val="#2_일위대가목록"/>
      <sheetName val="3. Piping"/>
      <sheetName val="COST SUMMARY"/>
      <sheetName val="LinerWt"/>
      <sheetName val="15100"/>
      <sheetName val="1. Stationary"/>
      <sheetName val="POWER"/>
      <sheetName val="도급양식"/>
      <sheetName val="COS_REP.XLS"/>
      <sheetName val="공통부대비"/>
      <sheetName val="INVOICE_CERT EIV'S"/>
      <sheetName val="Factor"/>
      <sheetName val="Sch.1"/>
      <sheetName val="공정율 기초 Data"/>
      <sheetName val="가격분석@1100(990104)"/>
      <sheetName val="Escalation"/>
      <sheetName val="Coversheet "/>
      <sheetName val="6BPRO"/>
      <sheetName val="w't table"/>
      <sheetName val="jobhist"/>
      <sheetName val="내역"/>
      <sheetName val="Total"/>
      <sheetName val="BSD (2)"/>
      <sheetName val="갑지"/>
      <sheetName val="Onerous Terms"/>
      <sheetName val="집계표(OPTION)"/>
      <sheetName val="Eq. Mobilization"/>
      <sheetName val="대비표"/>
      <sheetName val="Rate Analysis"/>
      <sheetName val="예가표"/>
      <sheetName val="산근"/>
      <sheetName val="분뇨"/>
      <sheetName val="공문"/>
      <sheetName val="PBS"/>
      <sheetName val="공사내역"/>
      <sheetName val="변수 정의"/>
      <sheetName val="SPT vs PHI"/>
      <sheetName val="포장공"/>
      <sheetName val="영업2"/>
      <sheetName val="VUOTO"/>
      <sheetName val="작성기준"/>
      <sheetName val="LEGEND"/>
      <sheetName val="AILC004"/>
      <sheetName val="조명율표"/>
      <sheetName val="SG"/>
      <sheetName val="RING WALL"/>
      <sheetName val="SOHAR(2nd)"/>
      <sheetName val="AC포장수량"/>
      <sheetName val="1_RA_Master_절감후"/>
      <sheetName val="Piping Design Data"/>
      <sheetName val="견적을지"/>
      <sheetName val="FAB별"/>
      <sheetName val="건장설비"/>
      <sheetName val="PRO_DCI"/>
      <sheetName val="INST_DCI"/>
      <sheetName val="HVAC_DCI"/>
      <sheetName val="PIPE_DCI"/>
      <sheetName val="JOINT1"/>
      <sheetName val="Sheet4"/>
      <sheetName val="CPM챠트"/>
      <sheetName val="WEIGHT LIST"/>
      <sheetName val="POL6차-PIPING"/>
      <sheetName val="산#3-1"/>
      <sheetName val="INSTR"/>
      <sheetName val="PIPE"/>
      <sheetName val="IBASE"/>
      <sheetName val="Labor"/>
      <sheetName val="laroux"/>
      <sheetName val="CAL"/>
      <sheetName val="교각계산"/>
      <sheetName val="TYPE-B 평균H"/>
      <sheetName val="SUPTMTO"/>
      <sheetName val="Testing"/>
      <sheetName val="산출"/>
      <sheetName val="SHL"/>
      <sheetName val="손익분석"/>
      <sheetName val="투찰(하수)"/>
      <sheetName val="현장투입(원장)"/>
      <sheetName val="장비당단가 (1)"/>
      <sheetName val="토목주소"/>
      <sheetName val="프랜트면허"/>
      <sheetName val="sum1 (2)"/>
      <sheetName val="밸브설치"/>
      <sheetName val="품의서"/>
      <sheetName val="ELECTRIC"/>
      <sheetName val="CTEMCOST"/>
      <sheetName val="SCHEDULE"/>
      <sheetName val="Proj Cost Sumry"/>
      <sheetName val="품산출서"/>
      <sheetName val="BEND LOSS"/>
      <sheetName val="안정계산"/>
      <sheetName val="단면검토"/>
      <sheetName val="상품원가피벗"/>
      <sheetName val="bm_(2)1"/>
      <sheetName val="Junction_Box1"/>
      <sheetName val="JB_Final_checked1"/>
      <sheetName val="F&amp;G_System1"/>
      <sheetName val="F&amp;G_System_(Detail)1"/>
      <sheetName val="_배관자재비-SKEC구매분1"/>
      <sheetName val="General_Data"/>
      <sheetName val="Int__Pr_-Shell"/>
      <sheetName val="Ext__Pr_-Shell"/>
      <sheetName val="Int__Pr_-D'End"/>
      <sheetName val="Ext__Pr_-D'End"/>
      <sheetName val="Reinforcement_Pad"/>
      <sheetName val="할증_"/>
      <sheetName val="조도계산서_(도서)"/>
      <sheetName val="표지"/>
      <sheetName val="DTmpData"/>
      <sheetName val="Units Def'n"/>
      <sheetName val="95삼성급(본사)"/>
      <sheetName val="ORIGINAL"/>
      <sheetName val="공사비_내역_(가)"/>
      <sheetName val="XZLC003_PART1"/>
      <sheetName val="XZLC004_PART2"/>
      <sheetName val="현장관리비"/>
      <sheetName val="Inst_"/>
      <sheetName val="Piping_Design_Data"/>
      <sheetName val="실행내역"/>
      <sheetName val="kode rekening"/>
      <sheetName val="name"/>
      <sheetName val="NAMES"/>
      <sheetName val="SUM_Steel-Strc"/>
      <sheetName val="COST-SUM"/>
      <sheetName val="기준정보"/>
      <sheetName val="L형옹벽(key)"/>
      <sheetName val="설산1.나"/>
      <sheetName val="본사S"/>
      <sheetName val="Precios"/>
      <sheetName val="DB_ET200(R. A)"/>
      <sheetName val="Final Summary"/>
      <sheetName val="inter"/>
      <sheetName val="간접인원 급료산출"/>
      <sheetName val="입찰내역 발주처 양식"/>
      <sheetName val="견적의뢰"/>
      <sheetName val="costing_CV"/>
      <sheetName val="Spec1"/>
      <sheetName val="설계명세서"/>
      <sheetName val="방배동내역(리라)"/>
      <sheetName val="현장경비"/>
      <sheetName val="건축공사집계표"/>
      <sheetName val="방배동내역 (총괄)"/>
      <sheetName val="부대공사총괄"/>
      <sheetName val="일위대가"/>
      <sheetName val="Steam-Sys"/>
      <sheetName val="PRICES"/>
      <sheetName val="노임9월"/>
      <sheetName val=" 갑지"/>
      <sheetName val="Cash2"/>
      <sheetName val="Z"/>
      <sheetName val="costing_ESDV"/>
      <sheetName val="costing_Misc"/>
      <sheetName val="costing_MOV"/>
      <sheetName val="가로등내역서"/>
      <sheetName val="항목별진도율"/>
      <sheetName val="C3"/>
      <sheetName val="mech"/>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Accounting book"/>
      <sheetName val="Code"/>
      <sheetName val="Onerous_Terms"/>
      <sheetName val="INVOICE_CERT_EIV'S"/>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Detail Breakdown Work"/>
      <sheetName val="Form 0"/>
      <sheetName val="산3_4"/>
      <sheetName val="환율change"/>
      <sheetName val="계정과목 (2)"/>
      <sheetName val="계정과목"/>
      <sheetName val="EQ_E1"/>
      <sheetName val="환율"/>
      <sheetName val="산출근거#2-3"/>
      <sheetName val="#3E1_GCR"/>
      <sheetName val="cp-e1"/>
      <sheetName val="일보"/>
      <sheetName val="rate"/>
      <sheetName val="slipsumpR"/>
      <sheetName val="CONTROL LIST"/>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선택항목"/>
      <sheetName val="자재집계"/>
      <sheetName val="assy"/>
      <sheetName val="일반공사"/>
      <sheetName val="직재"/>
      <sheetName val="Sheet"/>
      <sheetName val="Sheet13"/>
      <sheetName val="단가조사"/>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제출BM"/>
      <sheetName val="BM (2)"/>
      <sheetName val="일위"/>
      <sheetName val="BM-PILE"/>
      <sheetName val="Duct bank"/>
      <sheetName val="sum"/>
      <sheetName val="mechmng-base"/>
      <sheetName val="mechmng-PROPOSAL"/>
      <sheetName val="HI-DI"/>
      <sheetName val="MAN'G-PROPOSAL"/>
      <sheetName val="당초"/>
      <sheetName val="결재판(삭제하지말아주세요)"/>
      <sheetName val="광통신 견적내역서1"/>
      <sheetName val="견적대비표"/>
      <sheetName val="할증 "/>
      <sheetName val="금액내역서"/>
      <sheetName val="Summ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비정기소모"/>
      <sheetName val="EQUIPMENT -2"/>
      <sheetName val="손익계산"/>
      <sheetName val="지수"/>
      <sheetName val="환율change"/>
      <sheetName val="sum"/>
      <sheetName val="위치조서"/>
      <sheetName val="EQT-ESTN"/>
      <sheetName val="FACTOR"/>
      <sheetName val="원가"/>
      <sheetName val="99예산-1"/>
      <sheetName val="f_in"/>
      <sheetName val="N+"/>
      <sheetName val="2.대외공문"/>
      <sheetName val="설계"/>
      <sheetName val="XZLC003_PART1"/>
      <sheetName val="금액내역서"/>
      <sheetName val="C_d"/>
      <sheetName val="갑지"/>
      <sheetName val="견적"/>
      <sheetName val="NM2"/>
      <sheetName val="NW1"/>
      <sheetName val="NW2"/>
      <sheetName val="PW3"/>
      <sheetName val="PW4"/>
      <sheetName val="SC1"/>
      <sheetName val="DNW"/>
      <sheetName val="NE"/>
      <sheetName val="P+"/>
      <sheetName val="PE"/>
      <sheetName val="PM"/>
      <sheetName val="TR"/>
      <sheetName val="산출내역서집계표"/>
      <sheetName val="Sheet5"/>
      <sheetName val="2-2.매출분석"/>
      <sheetName val="FAB별"/>
      <sheetName val="일위대가(계측기설치)"/>
      <sheetName val="내역서"/>
      <sheetName val="F5"/>
      <sheetName val="fab_i"/>
      <sheetName val="차선도색현황"/>
      <sheetName val="工場棟・目次"/>
      <sheetName val="事務棟・目次"/>
      <sheetName val="外構・目次"/>
      <sheetName val="Anti"/>
      <sheetName val="1. H2SO4_SUPPLY"/>
      <sheetName val="전력"/>
      <sheetName val="할증 "/>
      <sheetName val="당초"/>
      <sheetName val="PIPING"/>
      <sheetName val="광통신 견적내역서1"/>
      <sheetName val=" ｹ-ﾌﾞﾙ"/>
      <sheetName val="입찰안"/>
      <sheetName val="I一般比"/>
      <sheetName val="????"/>
      <sheetName val="건축"/>
      <sheetName val="견적대비표"/>
      <sheetName val="표지 (2)"/>
      <sheetName val="Total"/>
      <sheetName val="L_repair"/>
      <sheetName val="인사자료총집계"/>
      <sheetName val="견적을지"/>
      <sheetName val="Sheet1"/>
      <sheetName val="ALL"/>
      <sheetName val="Nand"/>
      <sheetName val="Nandp"/>
      <sheetName val="IMPEADENCE MAP 취수장"/>
      <sheetName val="개산공사비"/>
      <sheetName val="PHASE-3"/>
      <sheetName val="간선계산"/>
      <sheetName val="내역"/>
      <sheetName val="일위대가표"/>
      <sheetName val="실행"/>
      <sheetName val="XZLC004_PART2"/>
      <sheetName val="실행내역서 "/>
      <sheetName val="장비분석"/>
      <sheetName val="DATA"/>
      <sheetName val="본부소개"/>
      <sheetName val="____"/>
      <sheetName val="9609추"/>
      <sheetName val="工場循環"/>
      <sheetName val="입찰내역 발주처 양식"/>
      <sheetName val="Arch"/>
      <sheetName val="품질문제 List"/>
      <sheetName val="電気設備表"/>
      <sheetName val="개요"/>
      <sheetName val="단중표"/>
      <sheetName val="차액보증"/>
      <sheetName val="EQUIP LIST"/>
      <sheetName val="설변물량"/>
      <sheetName val="FOB발"/>
      <sheetName val="직노"/>
      <sheetName val="노원열병합  건축공사기성내역서"/>
      <sheetName val="집계표"/>
      <sheetName val="4-3 보온 기본물량집계"/>
      <sheetName val="날개벽수량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XZLC003_PART1"/>
      <sheetName val="98비정기소모"/>
      <sheetName val="EQUIPMENT -2"/>
      <sheetName val="간접비내역-1"/>
      <sheetName val="sum"/>
      <sheetName val="지수"/>
      <sheetName val="C_d"/>
      <sheetName val="환율change"/>
      <sheetName val="할증 "/>
      <sheetName val="당초"/>
      <sheetName val="XZLC004_PART2"/>
    </sheetNames>
    <sheetDataSet>
      <sheetData sheetId="0" refreshError="1"/>
      <sheetData sheetId="1" refreshError="1">
        <row r="7">
          <cell r="A7" t="str">
            <v>COMMODITY_CODE</v>
          </cell>
          <cell r="B7" t="str">
            <v>IDENT</v>
          </cell>
          <cell r="C7" t="str">
            <v>IDENT_DESCRIPTION</v>
          </cell>
          <cell r="D7" t="str">
            <v>Size1</v>
          </cell>
          <cell r="E7" t="str">
            <v>Size2</v>
          </cell>
          <cell r="F7" t="str">
            <v>Unit</v>
          </cell>
          <cell r="G7" t="str">
            <v>FORECAST QUANTITY</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XZLC004_PART2"/>
      <sheetName val="XZLC003_PART1"/>
      <sheetName val="98비정기소모"/>
      <sheetName val="환율change"/>
      <sheetName val="할증 "/>
      <sheetName val="지수"/>
    </sheetNames>
    <sheetDataSet>
      <sheetData sheetId="0" refreshError="1"/>
      <sheetData sheetId="1" refreshError="1">
        <row r="7">
          <cell r="A7" t="str">
            <v>COMMODITY_CODE</v>
          </cell>
          <cell r="B7" t="str">
            <v>IDENT</v>
          </cell>
          <cell r="C7" t="str">
            <v>IDENT_DESCRIPTION</v>
          </cell>
          <cell r="D7" t="str">
            <v>Size1</v>
          </cell>
          <cell r="E7" t="str">
            <v>Size2</v>
          </cell>
          <cell r="F7" t="str">
            <v>Unit</v>
          </cell>
          <cell r="G7" t="str">
            <v>FORECAST QUANTITY</v>
          </cell>
        </row>
      </sheetData>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_5"/>
      <sheetName val="XZLC004_PART2"/>
      <sheetName val="Sheet1"/>
      <sheetName val="XZLC003_PART1"/>
      <sheetName val="Y-WORK"/>
      <sheetName val="FACTOR"/>
      <sheetName val="98비정기소모"/>
      <sheetName val="Curves"/>
      <sheetName val="Tables"/>
      <sheetName val="Country Data"/>
      <sheetName val="간접비내역-1"/>
      <sheetName val="COST"/>
      <sheetName val="C1"/>
      <sheetName val="#REF"/>
      <sheetName val="Tank"/>
      <sheetName val="입찰안"/>
      <sheetName val="환율change"/>
      <sheetName val="공정-일반MG"/>
      <sheetName val="COA-17"/>
      <sheetName val="C-18"/>
      <sheetName val="BA PIPE,TUBE"/>
      <sheetName val="EQUIPMENT -2"/>
      <sheetName val="견적을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움말"/>
      <sheetName val="기초데이타입력 및 계산"/>
      <sheetName val="최종보고서"/>
      <sheetName val="pipe-table"/>
      <sheetName val="CAT_5"/>
    </sheetNames>
    <sheetDataSet>
      <sheetData sheetId="0" refreshError="1"/>
      <sheetData sheetId="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현장관리비"/>
      <sheetName val="FACTOR"/>
      <sheetName val="CAT_5"/>
      <sheetName val="RK-#1"/>
      <sheetName val="98비정기소모"/>
      <sheetName val="도급양식"/>
      <sheetName val="갑지"/>
      <sheetName val="토건공사"/>
      <sheetName val="일위대가(당초)"/>
      <sheetName val="AILC004"/>
      <sheetName val="연결임시"/>
      <sheetName val="할증 "/>
      <sheetName val="Insts"/>
      <sheetName val="SV SPEC."/>
      <sheetName val="작업추진 계획(일정)"/>
      <sheetName val="기안1"/>
      <sheetName val="Sheet5"/>
      <sheetName val="내역서"/>
      <sheetName val="지수"/>
      <sheetName val="SANITARY일위대가"/>
      <sheetName val="XZLC004_PART2"/>
      <sheetName val="Analysis"/>
      <sheetName val="ABUT수량-A1"/>
      <sheetName val="LEGEND"/>
      <sheetName val="PARAMETER"/>
      <sheetName val="집계표"/>
      <sheetName val="9902"/>
    </sheetNames>
    <sheetDataSet>
      <sheetData sheetId="0" refreshError="1">
        <row r="4">
          <cell r="B4" t="str">
            <v>YDR-4 PROJECT 토목 및 건축공사</v>
          </cell>
        </row>
        <row r="6">
          <cell r="A6">
            <v>1</v>
          </cell>
          <cell r="B6" t="str">
            <v>WARE HOUSE CANOPY</v>
          </cell>
          <cell r="D6" t="str">
            <v>L/S</v>
          </cell>
          <cell r="E6">
            <v>1</v>
          </cell>
          <cell r="G6">
            <v>137496592</v>
          </cell>
          <cell r="H6">
            <v>1</v>
          </cell>
          <cell r="J6">
            <v>137496592</v>
          </cell>
          <cell r="K6">
            <v>0</v>
          </cell>
          <cell r="L6">
            <v>0</v>
          </cell>
          <cell r="M6">
            <v>78735732</v>
          </cell>
          <cell r="N6">
            <v>58760860</v>
          </cell>
        </row>
        <row r="7">
          <cell r="A7">
            <v>2</v>
          </cell>
          <cell r="B7" t="str">
            <v>CHEMICAL HOUSE</v>
          </cell>
          <cell r="D7" t="str">
            <v>L/S</v>
          </cell>
          <cell r="E7">
            <v>1</v>
          </cell>
          <cell r="G7">
            <v>42815667</v>
          </cell>
          <cell r="H7">
            <v>1</v>
          </cell>
          <cell r="J7">
            <v>42815667</v>
          </cell>
          <cell r="K7">
            <v>0</v>
          </cell>
          <cell r="L7">
            <v>0</v>
          </cell>
          <cell r="M7">
            <v>20805200</v>
          </cell>
          <cell r="N7">
            <v>22010467</v>
          </cell>
        </row>
        <row r="8">
          <cell r="A8">
            <v>3</v>
          </cell>
          <cell r="B8" t="str">
            <v>EMERGENCY GENERATOR BLDG</v>
          </cell>
          <cell r="D8" t="str">
            <v>L/S</v>
          </cell>
          <cell r="E8">
            <v>1</v>
          </cell>
          <cell r="G8">
            <v>44079308</v>
          </cell>
          <cell r="H8">
            <v>1</v>
          </cell>
          <cell r="J8">
            <v>44079308</v>
          </cell>
          <cell r="K8">
            <v>0</v>
          </cell>
          <cell r="L8">
            <v>0</v>
          </cell>
          <cell r="M8">
            <v>25786528</v>
          </cell>
          <cell r="N8">
            <v>18292780</v>
          </cell>
        </row>
        <row r="9">
          <cell r="A9">
            <v>4</v>
          </cell>
          <cell r="B9" t="str">
            <v>#300 POLY. STR.</v>
          </cell>
          <cell r="D9" t="str">
            <v>L/S</v>
          </cell>
          <cell r="E9">
            <v>1</v>
          </cell>
          <cell r="G9">
            <v>235875165</v>
          </cell>
          <cell r="H9">
            <v>1</v>
          </cell>
          <cell r="J9">
            <v>235875165</v>
          </cell>
          <cell r="K9">
            <v>0</v>
          </cell>
          <cell r="L9">
            <v>0</v>
          </cell>
          <cell r="M9">
            <v>113888335</v>
          </cell>
          <cell r="N9">
            <v>121986830</v>
          </cell>
        </row>
        <row r="10">
          <cell r="A10">
            <v>5</v>
          </cell>
          <cell r="B10" t="str">
            <v>#500 SOLVENT RECOVERY</v>
          </cell>
          <cell r="D10" t="str">
            <v>L/S</v>
          </cell>
          <cell r="E10">
            <v>1</v>
          </cell>
          <cell r="G10">
            <v>246944994</v>
          </cell>
          <cell r="H10">
            <v>1</v>
          </cell>
          <cell r="J10">
            <v>246944994</v>
          </cell>
          <cell r="K10">
            <v>0</v>
          </cell>
          <cell r="L10">
            <v>0</v>
          </cell>
          <cell r="M10">
            <v>112085484</v>
          </cell>
          <cell r="N10">
            <v>134859510</v>
          </cell>
        </row>
        <row r="11">
          <cell r="A11">
            <v>6</v>
          </cell>
          <cell r="B11" t="str">
            <v>HOMOGENIZING STR. #400</v>
          </cell>
          <cell r="D11" t="str">
            <v>L/S</v>
          </cell>
          <cell r="E11">
            <v>1</v>
          </cell>
          <cell r="G11">
            <v>59717021</v>
          </cell>
          <cell r="H11">
            <v>1</v>
          </cell>
          <cell r="J11">
            <v>59717021</v>
          </cell>
          <cell r="K11">
            <v>0</v>
          </cell>
          <cell r="L11">
            <v>0</v>
          </cell>
          <cell r="M11">
            <v>32022959</v>
          </cell>
          <cell r="N11">
            <v>27694062</v>
          </cell>
        </row>
        <row r="12">
          <cell r="A12">
            <v>7</v>
          </cell>
          <cell r="B12" t="str">
            <v>SHOWER ROOM</v>
          </cell>
          <cell r="D12" t="str">
            <v>L/S</v>
          </cell>
          <cell r="E12">
            <v>1</v>
          </cell>
          <cell r="G12">
            <v>64195748</v>
          </cell>
          <cell r="H12">
            <v>1</v>
          </cell>
          <cell r="J12">
            <v>64195748</v>
          </cell>
          <cell r="K12">
            <v>0</v>
          </cell>
          <cell r="L12">
            <v>0</v>
          </cell>
          <cell r="M12">
            <v>30366603</v>
          </cell>
          <cell r="N12">
            <v>33829145</v>
          </cell>
        </row>
        <row r="13">
          <cell r="A13">
            <v>8</v>
          </cell>
          <cell r="B13" t="str">
            <v>PIPE RACK</v>
          </cell>
          <cell r="D13" t="str">
            <v>L/S</v>
          </cell>
          <cell r="E13">
            <v>1</v>
          </cell>
          <cell r="G13">
            <v>21536857</v>
          </cell>
          <cell r="H13">
            <v>1</v>
          </cell>
          <cell r="J13">
            <v>21536857</v>
          </cell>
          <cell r="K13">
            <v>0</v>
          </cell>
          <cell r="L13">
            <v>0</v>
          </cell>
          <cell r="M13">
            <v>10470450</v>
          </cell>
          <cell r="N13">
            <v>11066407</v>
          </cell>
        </row>
        <row r="14">
          <cell r="A14">
            <v>9</v>
          </cell>
          <cell r="B14" t="str">
            <v>STRAINER HOUSE</v>
          </cell>
          <cell r="D14" t="str">
            <v>L/S</v>
          </cell>
          <cell r="E14">
            <v>1</v>
          </cell>
          <cell r="G14">
            <v>11795596</v>
          </cell>
          <cell r="H14">
            <v>1</v>
          </cell>
          <cell r="J14">
            <v>11795596</v>
          </cell>
          <cell r="K14">
            <v>0</v>
          </cell>
          <cell r="L14">
            <v>0</v>
          </cell>
          <cell r="M14">
            <v>5993600</v>
          </cell>
          <cell r="N14">
            <v>5801996</v>
          </cell>
        </row>
        <row r="15">
          <cell r="A15">
            <v>10</v>
          </cell>
          <cell r="B15" t="str">
            <v>OIL SEPARATION (NEAR SHOWER ROOM)</v>
          </cell>
          <cell r="D15" t="str">
            <v>L/S</v>
          </cell>
          <cell r="E15">
            <v>1</v>
          </cell>
          <cell r="G15">
            <v>4224596</v>
          </cell>
          <cell r="H15">
            <v>1</v>
          </cell>
          <cell r="J15">
            <v>4224596</v>
          </cell>
          <cell r="K15">
            <v>0</v>
          </cell>
          <cell r="L15">
            <v>0</v>
          </cell>
          <cell r="M15">
            <v>1665347</v>
          </cell>
          <cell r="N15">
            <v>2559249</v>
          </cell>
        </row>
        <row r="16">
          <cell r="A16">
            <v>11</v>
          </cell>
          <cell r="B16" t="str">
            <v>PAVING</v>
          </cell>
          <cell r="D16" t="str">
            <v>L/S</v>
          </cell>
          <cell r="E16">
            <v>1</v>
          </cell>
          <cell r="G16">
            <v>10541043</v>
          </cell>
          <cell r="H16">
            <v>1</v>
          </cell>
          <cell r="J16">
            <v>10541043</v>
          </cell>
          <cell r="K16">
            <v>0</v>
          </cell>
          <cell r="L16">
            <v>0</v>
          </cell>
          <cell r="M16">
            <v>5060803</v>
          </cell>
          <cell r="N16">
            <v>5480240</v>
          </cell>
        </row>
        <row r="17">
          <cell r="A17">
            <v>12</v>
          </cell>
          <cell r="B17" t="str">
            <v>FINISHING HOUSE (내부 STR. 제외)</v>
          </cell>
          <cell r="D17" t="str">
            <v>L/S</v>
          </cell>
          <cell r="E17">
            <v>1</v>
          </cell>
          <cell r="G17">
            <v>542413755</v>
          </cell>
          <cell r="H17">
            <v>1</v>
          </cell>
          <cell r="J17">
            <v>542413755</v>
          </cell>
          <cell r="K17">
            <v>0</v>
          </cell>
          <cell r="L17">
            <v>0</v>
          </cell>
          <cell r="M17">
            <v>337561641</v>
          </cell>
          <cell r="N17">
            <v>204852114</v>
          </cell>
        </row>
        <row r="18">
          <cell r="A18">
            <v>13</v>
          </cell>
          <cell r="B18" t="str">
            <v>냉난방/위생설비공사</v>
          </cell>
          <cell r="D18" t="str">
            <v>L/S</v>
          </cell>
          <cell r="E18">
            <v>1</v>
          </cell>
          <cell r="G18">
            <v>15869950</v>
          </cell>
          <cell r="H18">
            <v>1</v>
          </cell>
          <cell r="J18">
            <v>15869950</v>
          </cell>
          <cell r="K18">
            <v>0</v>
          </cell>
          <cell r="L18">
            <v>0</v>
          </cell>
          <cell r="M18">
            <v>9494950</v>
          </cell>
          <cell r="N18">
            <v>6375000</v>
          </cell>
        </row>
        <row r="19">
          <cell r="A19">
            <v>14</v>
          </cell>
          <cell r="B19" t="str">
            <v>TEMPORARY WORK</v>
          </cell>
          <cell r="D19" t="str">
            <v>L/S</v>
          </cell>
          <cell r="E19">
            <v>1</v>
          </cell>
          <cell r="G19">
            <v>57293708</v>
          </cell>
          <cell r="H19">
            <v>1</v>
          </cell>
          <cell r="J19">
            <v>57293708</v>
          </cell>
          <cell r="K19">
            <v>0</v>
          </cell>
          <cell r="L19">
            <v>0</v>
          </cell>
          <cell r="M19">
            <v>38000000</v>
          </cell>
          <cell r="N19">
            <v>19293708</v>
          </cell>
        </row>
        <row r="21">
          <cell r="B21" t="str">
            <v>T O T A L</v>
          </cell>
          <cell r="G21">
            <v>1494800000</v>
          </cell>
          <cell r="J21">
            <v>1494800000</v>
          </cell>
          <cell r="K21">
            <v>0</v>
          </cell>
          <cell r="L21">
            <v>0</v>
          </cell>
          <cell r="M21">
            <v>821937632</v>
          </cell>
          <cell r="N21">
            <v>672862368</v>
          </cell>
        </row>
        <row r="34">
          <cell r="A34">
            <v>1</v>
          </cell>
          <cell r="B34" t="str">
            <v>WARE HOUSE CANOPY</v>
          </cell>
        </row>
        <row r="36">
          <cell r="A36" t="str">
            <v xml:space="preserve">  1)</v>
          </cell>
          <cell r="B36" t="str">
            <v>가설공사</v>
          </cell>
        </row>
        <row r="37">
          <cell r="B37" t="str">
            <v>먹메김</v>
          </cell>
          <cell r="D37" t="str">
            <v>M2</v>
          </cell>
          <cell r="E37">
            <v>290</v>
          </cell>
          <cell r="F37">
            <v>1080</v>
          </cell>
          <cell r="G37">
            <v>313200</v>
          </cell>
          <cell r="H37">
            <v>290</v>
          </cell>
          <cell r="I37">
            <v>1080</v>
          </cell>
          <cell r="J37">
            <v>313200</v>
          </cell>
          <cell r="M37">
            <v>0</v>
          </cell>
          <cell r="N37">
            <v>313200</v>
          </cell>
        </row>
        <row r="38">
          <cell r="B38" t="str">
            <v>규준틀</v>
          </cell>
          <cell r="D38" t="str">
            <v>M2</v>
          </cell>
          <cell r="E38">
            <v>290</v>
          </cell>
          <cell r="F38">
            <v>1550</v>
          </cell>
          <cell r="G38">
            <v>449500</v>
          </cell>
          <cell r="H38">
            <v>290</v>
          </cell>
          <cell r="I38">
            <v>1550</v>
          </cell>
          <cell r="J38">
            <v>449500</v>
          </cell>
          <cell r="M38">
            <v>101500</v>
          </cell>
          <cell r="N38">
            <v>348000</v>
          </cell>
        </row>
        <row r="39">
          <cell r="B39" t="str">
            <v>현장정리</v>
          </cell>
          <cell r="D39" t="str">
            <v>M2</v>
          </cell>
          <cell r="E39">
            <v>878</v>
          </cell>
          <cell r="F39">
            <v>2000</v>
          </cell>
          <cell r="G39">
            <v>1756000</v>
          </cell>
          <cell r="H39">
            <v>878</v>
          </cell>
          <cell r="I39">
            <v>2000</v>
          </cell>
          <cell r="J39">
            <v>1756000</v>
          </cell>
          <cell r="M39">
            <v>0</v>
          </cell>
          <cell r="N39">
            <v>1756000</v>
          </cell>
        </row>
        <row r="41">
          <cell r="B41" t="str">
            <v>SUB-TOTAL</v>
          </cell>
          <cell r="G41">
            <v>2518700</v>
          </cell>
          <cell r="J41">
            <v>2518700</v>
          </cell>
          <cell r="M41">
            <v>101500</v>
          </cell>
          <cell r="N41">
            <v>2417200</v>
          </cell>
        </row>
        <row r="43">
          <cell r="A43" t="str">
            <v xml:space="preserve">  2)</v>
          </cell>
          <cell r="B43" t="str">
            <v>토공사</v>
          </cell>
        </row>
        <row r="44">
          <cell r="B44" t="str">
            <v>터파기</v>
          </cell>
          <cell r="D44" t="str">
            <v>M3</v>
          </cell>
          <cell r="E44">
            <v>377.9</v>
          </cell>
          <cell r="F44">
            <v>2760</v>
          </cell>
          <cell r="G44">
            <v>1043004</v>
          </cell>
          <cell r="H44">
            <v>377.9</v>
          </cell>
          <cell r="I44">
            <v>2760</v>
          </cell>
          <cell r="J44">
            <v>1043004</v>
          </cell>
          <cell r="M44">
            <v>854054</v>
          </cell>
          <cell r="N44">
            <v>188950</v>
          </cell>
        </row>
        <row r="45">
          <cell r="B45" t="str">
            <v>잔토처리</v>
          </cell>
          <cell r="D45" t="str">
            <v>M3</v>
          </cell>
          <cell r="E45">
            <v>95.3</v>
          </cell>
          <cell r="F45">
            <v>5500</v>
          </cell>
          <cell r="G45">
            <v>524150</v>
          </cell>
          <cell r="H45">
            <v>95.3</v>
          </cell>
          <cell r="I45">
            <v>5500</v>
          </cell>
          <cell r="J45">
            <v>524150</v>
          </cell>
          <cell r="M45">
            <v>524150</v>
          </cell>
          <cell r="N45">
            <v>0</v>
          </cell>
        </row>
        <row r="46">
          <cell r="B46" t="str">
            <v>되메우기</v>
          </cell>
          <cell r="D46" t="str">
            <v>M3</v>
          </cell>
          <cell r="E46">
            <v>304.8</v>
          </cell>
          <cell r="F46">
            <v>6500</v>
          </cell>
          <cell r="G46">
            <v>1981200</v>
          </cell>
          <cell r="H46">
            <v>304.8</v>
          </cell>
          <cell r="I46">
            <v>6500</v>
          </cell>
          <cell r="J46">
            <v>1981200</v>
          </cell>
          <cell r="M46">
            <v>1524000</v>
          </cell>
          <cell r="N46">
            <v>457200</v>
          </cell>
        </row>
        <row r="48">
          <cell r="B48" t="str">
            <v>SUB-TOTAL</v>
          </cell>
          <cell r="G48">
            <v>3548354</v>
          </cell>
          <cell r="J48">
            <v>3548354</v>
          </cell>
          <cell r="M48">
            <v>2902204</v>
          </cell>
          <cell r="N48">
            <v>646150</v>
          </cell>
        </row>
        <row r="50">
          <cell r="A50" t="str">
            <v xml:space="preserve">  3)</v>
          </cell>
          <cell r="B50" t="str">
            <v>지정공사</v>
          </cell>
        </row>
        <row r="51">
          <cell r="B51" t="str">
            <v>잡석지정</v>
          </cell>
          <cell r="D51" t="str">
            <v>M3</v>
          </cell>
          <cell r="E51">
            <v>5.5</v>
          </cell>
          <cell r="F51">
            <v>16500</v>
          </cell>
          <cell r="G51">
            <v>90750</v>
          </cell>
          <cell r="H51">
            <v>5.5</v>
          </cell>
          <cell r="I51">
            <v>16500</v>
          </cell>
          <cell r="J51">
            <v>90750</v>
          </cell>
          <cell r="M51">
            <v>66000</v>
          </cell>
          <cell r="N51">
            <v>24750</v>
          </cell>
        </row>
        <row r="53">
          <cell r="B53" t="str">
            <v>SUB-TOTAL</v>
          </cell>
          <cell r="G53">
            <v>90750</v>
          </cell>
          <cell r="J53">
            <v>90750</v>
          </cell>
          <cell r="M53">
            <v>66000</v>
          </cell>
          <cell r="N53">
            <v>24750</v>
          </cell>
        </row>
        <row r="55">
          <cell r="A55" t="str">
            <v xml:space="preserve">  4)</v>
          </cell>
          <cell r="B55" t="str">
            <v>거푸집공사</v>
          </cell>
          <cell r="O55" t="str">
            <v xml:space="preserve"> 소운반,</v>
          </cell>
        </row>
        <row r="56">
          <cell r="B56" t="str">
            <v>거푸집</v>
          </cell>
          <cell r="C56" t="str">
            <v>4회</v>
          </cell>
          <cell r="D56" t="str">
            <v>M2</v>
          </cell>
          <cell r="E56">
            <v>245.8</v>
          </cell>
          <cell r="F56">
            <v>21360</v>
          </cell>
          <cell r="G56">
            <v>5250288</v>
          </cell>
          <cell r="H56">
            <v>245.8</v>
          </cell>
          <cell r="I56">
            <v>21360</v>
          </cell>
          <cell r="J56">
            <v>5250288</v>
          </cell>
          <cell r="M56">
            <v>1514128</v>
          </cell>
          <cell r="N56">
            <v>3736160</v>
          </cell>
          <cell r="O56" t="str">
            <v xml:space="preserve"> 정리비</v>
          </cell>
        </row>
        <row r="57">
          <cell r="O57" t="str">
            <v xml:space="preserve"> 포  함</v>
          </cell>
        </row>
        <row r="58">
          <cell r="B58" t="str">
            <v>SUB-TOTAL</v>
          </cell>
          <cell r="G58">
            <v>5250288</v>
          </cell>
          <cell r="J58">
            <v>5250288</v>
          </cell>
          <cell r="M58">
            <v>1514128</v>
          </cell>
          <cell r="N58">
            <v>3736160</v>
          </cell>
        </row>
        <row r="60">
          <cell r="A60" t="str">
            <v xml:space="preserve">  5)</v>
          </cell>
          <cell r="B60" t="str">
            <v>CON'C 공사</v>
          </cell>
        </row>
        <row r="61">
          <cell r="B61" t="str">
            <v>CON'C</v>
          </cell>
          <cell r="C61" t="str">
            <v>FC=210KG/㎠</v>
          </cell>
          <cell r="D61" t="str">
            <v>M3</v>
          </cell>
          <cell r="E61">
            <v>61.3</v>
          </cell>
          <cell r="F61">
            <v>59770</v>
          </cell>
          <cell r="G61">
            <v>3663901</v>
          </cell>
          <cell r="H61">
            <v>61.3</v>
          </cell>
          <cell r="I61">
            <v>59770</v>
          </cell>
          <cell r="J61">
            <v>3663901</v>
          </cell>
          <cell r="M61">
            <v>3663901</v>
          </cell>
          <cell r="N61">
            <v>0</v>
          </cell>
        </row>
        <row r="62">
          <cell r="B62" t="str">
            <v>밑창 CON'C</v>
          </cell>
          <cell r="C62" t="str">
            <v>FC=135KG/㎠</v>
          </cell>
          <cell r="D62" t="str">
            <v>M3</v>
          </cell>
          <cell r="E62">
            <v>4.5999999999999996</v>
          </cell>
          <cell r="F62">
            <v>50950</v>
          </cell>
          <cell r="G62">
            <v>234370</v>
          </cell>
          <cell r="H62">
            <v>4.5999999999999996</v>
          </cell>
          <cell r="I62">
            <v>50950</v>
          </cell>
          <cell r="J62">
            <v>234370</v>
          </cell>
          <cell r="M62">
            <v>234370</v>
          </cell>
          <cell r="N62">
            <v>0</v>
          </cell>
        </row>
        <row r="63">
          <cell r="B63" t="str">
            <v>콘크리트 치기</v>
          </cell>
          <cell r="D63" t="str">
            <v>M3</v>
          </cell>
          <cell r="E63">
            <v>65.900000000000006</v>
          </cell>
          <cell r="F63">
            <v>11400</v>
          </cell>
          <cell r="G63">
            <v>751260</v>
          </cell>
          <cell r="H63">
            <v>65.900000000000006</v>
          </cell>
          <cell r="I63">
            <v>11400</v>
          </cell>
          <cell r="J63">
            <v>751260</v>
          </cell>
          <cell r="M63">
            <v>118620</v>
          </cell>
          <cell r="N63">
            <v>632640</v>
          </cell>
        </row>
        <row r="64">
          <cell r="B64" t="str">
            <v>GROUT</v>
          </cell>
          <cell r="D64" t="str">
            <v>M3</v>
          </cell>
          <cell r="E64">
            <v>0.7</v>
          </cell>
          <cell r="F64">
            <v>1130800</v>
          </cell>
          <cell r="G64">
            <v>791560</v>
          </cell>
          <cell r="H64">
            <v>0.7</v>
          </cell>
          <cell r="I64">
            <v>1130800</v>
          </cell>
          <cell r="J64">
            <v>791560</v>
          </cell>
          <cell r="M64">
            <v>469000</v>
          </cell>
          <cell r="N64">
            <v>322560</v>
          </cell>
        </row>
        <row r="66">
          <cell r="B66" t="str">
            <v>SUB-TOTAL</v>
          </cell>
          <cell r="G66">
            <v>5441091</v>
          </cell>
          <cell r="J66">
            <v>5441091</v>
          </cell>
          <cell r="M66">
            <v>4485891</v>
          </cell>
          <cell r="N66">
            <v>955200</v>
          </cell>
        </row>
        <row r="68">
          <cell r="A68" t="str">
            <v xml:space="preserve">  6)</v>
          </cell>
          <cell r="B68" t="str">
            <v>철근공사</v>
          </cell>
          <cell r="C68" t="str">
            <v>D10</v>
          </cell>
          <cell r="D68" t="str">
            <v>TON</v>
          </cell>
          <cell r="E68">
            <v>0.91</v>
          </cell>
          <cell r="F68">
            <v>310000</v>
          </cell>
          <cell r="G68">
            <v>282100</v>
          </cell>
          <cell r="H68">
            <v>0.91</v>
          </cell>
          <cell r="I68">
            <v>310000</v>
          </cell>
          <cell r="J68">
            <v>282100</v>
          </cell>
          <cell r="M68">
            <v>282100</v>
          </cell>
          <cell r="N68">
            <v>0</v>
          </cell>
        </row>
        <row r="69">
          <cell r="C69" t="str">
            <v>D19</v>
          </cell>
          <cell r="D69" t="str">
            <v>TON</v>
          </cell>
          <cell r="E69">
            <v>1.45</v>
          </cell>
          <cell r="F69">
            <v>310000</v>
          </cell>
          <cell r="G69">
            <v>449500</v>
          </cell>
          <cell r="H69">
            <v>1.45</v>
          </cell>
          <cell r="I69">
            <v>310000</v>
          </cell>
          <cell r="J69">
            <v>449500</v>
          </cell>
          <cell r="M69">
            <v>449500</v>
          </cell>
          <cell r="N69">
            <v>0</v>
          </cell>
        </row>
        <row r="70">
          <cell r="B70" t="str">
            <v>RE-BAR</v>
          </cell>
          <cell r="C70" t="str">
            <v>FORMING</v>
          </cell>
          <cell r="D70" t="str">
            <v>TON</v>
          </cell>
          <cell r="E70">
            <v>2.36</v>
          </cell>
          <cell r="F70">
            <v>227000</v>
          </cell>
          <cell r="G70">
            <v>535720</v>
          </cell>
          <cell r="H70">
            <v>2.36</v>
          </cell>
          <cell r="I70">
            <v>227000</v>
          </cell>
          <cell r="J70">
            <v>535720</v>
          </cell>
          <cell r="M70">
            <v>28320</v>
          </cell>
          <cell r="N70">
            <v>507400</v>
          </cell>
        </row>
        <row r="72">
          <cell r="B72" t="str">
            <v>SUB-TOTAL</v>
          </cell>
          <cell r="G72">
            <v>1267320</v>
          </cell>
          <cell r="J72">
            <v>1267320</v>
          </cell>
          <cell r="M72">
            <v>759920</v>
          </cell>
          <cell r="N72">
            <v>507400</v>
          </cell>
        </row>
        <row r="74">
          <cell r="A74" t="str">
            <v xml:space="preserve">  7)</v>
          </cell>
          <cell r="B74" t="str">
            <v>지붕공사</v>
          </cell>
        </row>
        <row r="75">
          <cell r="B75" t="str">
            <v>APM W-255</v>
          </cell>
          <cell r="C75" t="str">
            <v>0.7T</v>
          </cell>
          <cell r="D75" t="str">
            <v>M2</v>
          </cell>
          <cell r="E75">
            <v>830</v>
          </cell>
          <cell r="F75">
            <v>56160</v>
          </cell>
          <cell r="G75">
            <v>46612800</v>
          </cell>
          <cell r="H75">
            <v>830</v>
          </cell>
          <cell r="I75">
            <v>56160</v>
          </cell>
          <cell r="J75">
            <v>46612800</v>
          </cell>
          <cell r="M75">
            <v>30178800</v>
          </cell>
          <cell r="N75">
            <v>16434000</v>
          </cell>
        </row>
        <row r="76">
          <cell r="B76" t="str">
            <v>GUTTER W/GUT.HOLDER      300*250*0.7T</v>
          </cell>
          <cell r="D76" t="str">
            <v>M</v>
          </cell>
          <cell r="E76">
            <v>46</v>
          </cell>
          <cell r="F76">
            <v>32960</v>
          </cell>
          <cell r="G76">
            <v>1516160</v>
          </cell>
          <cell r="H76">
            <v>46</v>
          </cell>
          <cell r="I76">
            <v>32960</v>
          </cell>
          <cell r="J76">
            <v>1516160</v>
          </cell>
          <cell r="M76">
            <v>936560</v>
          </cell>
          <cell r="N76">
            <v>579600</v>
          </cell>
        </row>
        <row r="77">
          <cell r="B77" t="str">
            <v>STEEL PIPE</v>
          </cell>
          <cell r="C77" t="str">
            <v>φ150</v>
          </cell>
          <cell r="D77" t="str">
            <v>M</v>
          </cell>
          <cell r="E77">
            <v>28</v>
          </cell>
          <cell r="F77">
            <v>54200</v>
          </cell>
          <cell r="G77">
            <v>1517600</v>
          </cell>
          <cell r="H77">
            <v>28</v>
          </cell>
          <cell r="I77">
            <v>54200</v>
          </cell>
          <cell r="J77">
            <v>1517600</v>
          </cell>
          <cell r="M77">
            <v>537600</v>
          </cell>
          <cell r="N77">
            <v>980000</v>
          </cell>
        </row>
        <row r="78">
          <cell r="B78" t="str">
            <v>ROOF DRAIN</v>
          </cell>
          <cell r="C78" t="str">
            <v>φ150</v>
          </cell>
          <cell r="D78" t="str">
            <v>EA</v>
          </cell>
          <cell r="E78">
            <v>4</v>
          </cell>
          <cell r="F78">
            <v>16800</v>
          </cell>
          <cell r="G78">
            <v>67200</v>
          </cell>
          <cell r="H78">
            <v>4</v>
          </cell>
          <cell r="I78">
            <v>16800</v>
          </cell>
          <cell r="J78">
            <v>67200</v>
          </cell>
          <cell r="M78">
            <v>14400</v>
          </cell>
          <cell r="N78">
            <v>52800</v>
          </cell>
        </row>
        <row r="79">
          <cell r="B79" t="str">
            <v>APM V-115</v>
          </cell>
          <cell r="D79" t="str">
            <v>M2</v>
          </cell>
          <cell r="E79">
            <v>126</v>
          </cell>
          <cell r="F79">
            <v>37160</v>
          </cell>
          <cell r="G79">
            <v>4682160</v>
          </cell>
          <cell r="H79">
            <v>126</v>
          </cell>
          <cell r="I79">
            <v>37160</v>
          </cell>
          <cell r="J79">
            <v>4682160</v>
          </cell>
          <cell r="M79">
            <v>3472560</v>
          </cell>
          <cell r="N79">
            <v>1209600</v>
          </cell>
        </row>
        <row r="81">
          <cell r="B81" t="str">
            <v>SUB-TOTAL</v>
          </cell>
          <cell r="G81">
            <v>54395920</v>
          </cell>
          <cell r="J81">
            <v>54395920</v>
          </cell>
          <cell r="M81">
            <v>35139920</v>
          </cell>
          <cell r="N81">
            <v>19256000</v>
          </cell>
        </row>
        <row r="83">
          <cell r="A83" t="str">
            <v xml:space="preserve">  8)</v>
          </cell>
          <cell r="B83" t="str">
            <v>도장공사</v>
          </cell>
        </row>
        <row r="84">
          <cell r="B84" t="str">
            <v>광명단</v>
          </cell>
          <cell r="C84" t="str">
            <v>2회</v>
          </cell>
          <cell r="D84" t="str">
            <v>M2</v>
          </cell>
          <cell r="E84">
            <v>1080</v>
          </cell>
          <cell r="F84">
            <v>4000</v>
          </cell>
          <cell r="G84">
            <v>4320000</v>
          </cell>
          <cell r="H84">
            <v>1080</v>
          </cell>
          <cell r="I84">
            <v>4000</v>
          </cell>
          <cell r="J84">
            <v>4320000</v>
          </cell>
          <cell r="M84">
            <v>1620000</v>
          </cell>
          <cell r="N84">
            <v>2700000</v>
          </cell>
        </row>
        <row r="85">
          <cell r="B85" t="str">
            <v>유성페인트</v>
          </cell>
          <cell r="C85" t="str">
            <v>2회(중도)</v>
          </cell>
          <cell r="D85" t="str">
            <v>M2</v>
          </cell>
          <cell r="E85">
            <v>1080</v>
          </cell>
          <cell r="F85">
            <v>4000</v>
          </cell>
          <cell r="G85">
            <v>4320000</v>
          </cell>
          <cell r="H85">
            <v>1080</v>
          </cell>
          <cell r="I85">
            <v>4000</v>
          </cell>
          <cell r="J85">
            <v>4320000</v>
          </cell>
          <cell r="M85">
            <v>1620000</v>
          </cell>
          <cell r="N85">
            <v>2700000</v>
          </cell>
        </row>
        <row r="86">
          <cell r="B86" t="str">
            <v>유성페인트</v>
          </cell>
          <cell r="C86" t="str">
            <v>2회(하도)</v>
          </cell>
          <cell r="D86" t="str">
            <v>M2</v>
          </cell>
          <cell r="E86">
            <v>1080</v>
          </cell>
          <cell r="F86">
            <v>4000</v>
          </cell>
          <cell r="G86">
            <v>4320000</v>
          </cell>
          <cell r="H86">
            <v>1080</v>
          </cell>
          <cell r="I86">
            <v>4000</v>
          </cell>
          <cell r="J86">
            <v>4320000</v>
          </cell>
          <cell r="M86">
            <v>1620000</v>
          </cell>
          <cell r="N86">
            <v>2700000</v>
          </cell>
        </row>
        <row r="88">
          <cell r="B88" t="str">
            <v>SUB-TOTAL</v>
          </cell>
          <cell r="G88">
            <v>12960000</v>
          </cell>
          <cell r="J88">
            <v>12960000</v>
          </cell>
          <cell r="M88">
            <v>4860000</v>
          </cell>
          <cell r="N88">
            <v>8100000</v>
          </cell>
        </row>
        <row r="90">
          <cell r="A90" t="str">
            <v xml:space="preserve">  9)</v>
          </cell>
          <cell r="B90" t="str">
            <v>철골공사</v>
          </cell>
        </row>
        <row r="91">
          <cell r="B91" t="str">
            <v>H-300*300*10*15</v>
          </cell>
          <cell r="D91" t="str">
            <v>TON</v>
          </cell>
          <cell r="E91">
            <v>6.9</v>
          </cell>
          <cell r="F91">
            <v>400000</v>
          </cell>
          <cell r="G91">
            <v>2760000</v>
          </cell>
          <cell r="H91">
            <v>6.9</v>
          </cell>
          <cell r="I91">
            <v>400000</v>
          </cell>
          <cell r="J91">
            <v>2760000</v>
          </cell>
          <cell r="M91">
            <v>2760000</v>
          </cell>
          <cell r="N91">
            <v>0</v>
          </cell>
        </row>
        <row r="92">
          <cell r="B92" t="str">
            <v>H-200*100*5.5*8</v>
          </cell>
          <cell r="D92" t="str">
            <v>TON</v>
          </cell>
          <cell r="E92">
            <v>3.3</v>
          </cell>
          <cell r="F92">
            <v>400000</v>
          </cell>
          <cell r="G92">
            <v>1320000</v>
          </cell>
          <cell r="H92">
            <v>3.3</v>
          </cell>
          <cell r="I92">
            <v>400000</v>
          </cell>
          <cell r="J92">
            <v>1320000</v>
          </cell>
          <cell r="M92">
            <v>1320000</v>
          </cell>
          <cell r="N92">
            <v>0</v>
          </cell>
        </row>
        <row r="93">
          <cell r="B93" t="str">
            <v>CT-170*250*9*14</v>
          </cell>
          <cell r="D93" t="str">
            <v>TON</v>
          </cell>
          <cell r="E93">
            <v>5.4</v>
          </cell>
          <cell r="F93">
            <v>419000</v>
          </cell>
          <cell r="G93">
            <v>2262600</v>
          </cell>
          <cell r="H93">
            <v>5.4</v>
          </cell>
          <cell r="I93">
            <v>419000</v>
          </cell>
          <cell r="J93">
            <v>2262600</v>
          </cell>
          <cell r="M93">
            <v>2262600</v>
          </cell>
          <cell r="N93">
            <v>0</v>
          </cell>
        </row>
        <row r="94">
          <cell r="B94" t="str">
            <v>CT-150*150*6.5*9</v>
          </cell>
          <cell r="D94" t="str">
            <v>TON</v>
          </cell>
          <cell r="E94">
            <v>1.7</v>
          </cell>
          <cell r="F94">
            <v>420000</v>
          </cell>
          <cell r="G94">
            <v>714000</v>
          </cell>
          <cell r="H94">
            <v>1.7</v>
          </cell>
          <cell r="I94">
            <v>420000</v>
          </cell>
          <cell r="J94">
            <v>714000</v>
          </cell>
          <cell r="M94">
            <v>714000</v>
          </cell>
          <cell r="N94">
            <v>0</v>
          </cell>
        </row>
        <row r="95">
          <cell r="B95" t="str">
            <v>CT-75*100*6*9</v>
          </cell>
          <cell r="D95" t="str">
            <v>TON</v>
          </cell>
          <cell r="E95">
            <v>1.51</v>
          </cell>
          <cell r="F95">
            <v>420000</v>
          </cell>
          <cell r="G95">
            <v>634200</v>
          </cell>
          <cell r="H95">
            <v>1.51</v>
          </cell>
          <cell r="I95">
            <v>420000</v>
          </cell>
          <cell r="J95">
            <v>634200</v>
          </cell>
          <cell r="M95">
            <v>634200</v>
          </cell>
          <cell r="N95">
            <v>0</v>
          </cell>
        </row>
        <row r="96">
          <cell r="B96" t="str">
            <v>CT-122*175*7*11</v>
          </cell>
          <cell r="D96" t="str">
            <v>TON</v>
          </cell>
          <cell r="E96">
            <v>5</v>
          </cell>
          <cell r="F96">
            <v>420000</v>
          </cell>
          <cell r="G96">
            <v>2100000</v>
          </cell>
          <cell r="H96">
            <v>5</v>
          </cell>
          <cell r="I96">
            <v>420000</v>
          </cell>
          <cell r="J96">
            <v>2100000</v>
          </cell>
          <cell r="M96">
            <v>2100000</v>
          </cell>
          <cell r="N96">
            <v>0</v>
          </cell>
        </row>
        <row r="97">
          <cell r="B97" t="str">
            <v>CT-97*150*6*9</v>
          </cell>
          <cell r="D97" t="str">
            <v>TON</v>
          </cell>
          <cell r="E97">
            <v>3.8</v>
          </cell>
          <cell r="F97">
            <v>420000</v>
          </cell>
          <cell r="G97">
            <v>1596000</v>
          </cell>
          <cell r="H97">
            <v>3.8</v>
          </cell>
          <cell r="I97">
            <v>420000</v>
          </cell>
          <cell r="J97">
            <v>1596000</v>
          </cell>
          <cell r="M97">
            <v>1596000</v>
          </cell>
          <cell r="N97">
            <v>0</v>
          </cell>
        </row>
        <row r="98">
          <cell r="B98" t="str">
            <v>L-75*75*6</v>
          </cell>
          <cell r="D98" t="str">
            <v>TON</v>
          </cell>
          <cell r="E98">
            <v>1.5</v>
          </cell>
          <cell r="F98">
            <v>360000</v>
          </cell>
          <cell r="G98">
            <v>540000</v>
          </cell>
          <cell r="H98">
            <v>1.5</v>
          </cell>
          <cell r="I98">
            <v>360000</v>
          </cell>
          <cell r="J98">
            <v>540000</v>
          </cell>
          <cell r="M98">
            <v>540000</v>
          </cell>
          <cell r="N98">
            <v>0</v>
          </cell>
        </row>
        <row r="99">
          <cell r="B99" t="str">
            <v>L-90*90*7</v>
          </cell>
          <cell r="D99" t="str">
            <v>TON</v>
          </cell>
          <cell r="E99">
            <v>2.6</v>
          </cell>
          <cell r="F99">
            <v>360000</v>
          </cell>
          <cell r="G99">
            <v>936000</v>
          </cell>
          <cell r="H99">
            <v>2.6</v>
          </cell>
          <cell r="I99">
            <v>360000</v>
          </cell>
          <cell r="J99">
            <v>936000</v>
          </cell>
          <cell r="M99">
            <v>936000</v>
          </cell>
          <cell r="N99">
            <v>0</v>
          </cell>
        </row>
        <row r="100">
          <cell r="B100" t="str">
            <v>C-150*50*20*3.2</v>
          </cell>
          <cell r="D100" t="str">
            <v>TON</v>
          </cell>
          <cell r="E100">
            <v>4.2</v>
          </cell>
          <cell r="F100">
            <v>400000</v>
          </cell>
          <cell r="G100">
            <v>1680000</v>
          </cell>
          <cell r="H100">
            <v>4.2</v>
          </cell>
          <cell r="I100">
            <v>400000</v>
          </cell>
          <cell r="J100">
            <v>1680000</v>
          </cell>
          <cell r="M100">
            <v>1680000</v>
          </cell>
          <cell r="N100">
            <v>0</v>
          </cell>
        </row>
        <row r="101">
          <cell r="B101" t="str">
            <v>BASE PLATE</v>
          </cell>
          <cell r="D101" t="str">
            <v>TON</v>
          </cell>
          <cell r="E101">
            <v>0.18</v>
          </cell>
          <cell r="F101">
            <v>380000</v>
          </cell>
          <cell r="G101">
            <v>68400</v>
          </cell>
          <cell r="H101">
            <v>0.18</v>
          </cell>
          <cell r="I101">
            <v>380000</v>
          </cell>
          <cell r="J101">
            <v>68400</v>
          </cell>
          <cell r="M101">
            <v>68400</v>
          </cell>
          <cell r="N101">
            <v>0</v>
          </cell>
        </row>
        <row r="102">
          <cell r="B102" t="str">
            <v>STEEL FORMING</v>
          </cell>
          <cell r="D102" t="str">
            <v>TON</v>
          </cell>
          <cell r="E102">
            <v>36.08</v>
          </cell>
          <cell r="F102">
            <v>430000</v>
          </cell>
          <cell r="G102">
            <v>15514400</v>
          </cell>
          <cell r="H102">
            <v>36.08</v>
          </cell>
          <cell r="I102">
            <v>430000</v>
          </cell>
          <cell r="J102">
            <v>15514400</v>
          </cell>
          <cell r="M102">
            <v>1082400</v>
          </cell>
          <cell r="N102">
            <v>14432000</v>
          </cell>
        </row>
        <row r="103">
          <cell r="B103" t="str">
            <v>STEEL ERECTION</v>
          </cell>
          <cell r="D103" t="str">
            <v>TON</v>
          </cell>
          <cell r="E103">
            <v>36.08</v>
          </cell>
          <cell r="F103">
            <v>140000</v>
          </cell>
          <cell r="G103">
            <v>5051200</v>
          </cell>
          <cell r="H103">
            <v>36.08</v>
          </cell>
          <cell r="I103">
            <v>140000</v>
          </cell>
          <cell r="J103">
            <v>5051200</v>
          </cell>
          <cell r="M103">
            <v>1443200</v>
          </cell>
          <cell r="N103">
            <v>3608000</v>
          </cell>
        </row>
        <row r="104">
          <cell r="B104" t="str">
            <v>H.T.B</v>
          </cell>
          <cell r="D104" t="str">
            <v>NOS</v>
          </cell>
          <cell r="E104">
            <v>2061.15</v>
          </cell>
          <cell r="F104">
            <v>460</v>
          </cell>
          <cell r="G104">
            <v>948129</v>
          </cell>
          <cell r="H104">
            <v>2061.15</v>
          </cell>
          <cell r="I104">
            <v>460</v>
          </cell>
          <cell r="J104">
            <v>948129</v>
          </cell>
          <cell r="M104">
            <v>948129</v>
          </cell>
          <cell r="N104">
            <v>0</v>
          </cell>
        </row>
        <row r="105">
          <cell r="B105" t="str">
            <v>COMMON BOLT</v>
          </cell>
          <cell r="D105" t="str">
            <v>NOS</v>
          </cell>
          <cell r="E105">
            <v>294</v>
          </cell>
          <cell r="F105">
            <v>460</v>
          </cell>
          <cell r="G105">
            <v>135240</v>
          </cell>
          <cell r="H105">
            <v>294</v>
          </cell>
          <cell r="I105">
            <v>460</v>
          </cell>
          <cell r="J105">
            <v>135240</v>
          </cell>
          <cell r="M105">
            <v>135240</v>
          </cell>
          <cell r="N105">
            <v>0</v>
          </cell>
        </row>
        <row r="107">
          <cell r="B107" t="str">
            <v>SUB-TOTAL</v>
          </cell>
          <cell r="G107">
            <v>36260169</v>
          </cell>
          <cell r="J107">
            <v>36260169</v>
          </cell>
          <cell r="M107">
            <v>18220169</v>
          </cell>
          <cell r="N107">
            <v>18040000</v>
          </cell>
        </row>
        <row r="109">
          <cell r="A109" t="str">
            <v xml:space="preserve"> 10)</v>
          </cell>
          <cell r="B109" t="str">
            <v>부대공사</v>
          </cell>
        </row>
        <row r="110">
          <cell r="B110" t="str">
            <v>ASCON 포장복구</v>
          </cell>
          <cell r="D110" t="str">
            <v>개소</v>
          </cell>
          <cell r="E110">
            <v>8</v>
          </cell>
          <cell r="F110">
            <v>100000</v>
          </cell>
          <cell r="G110">
            <v>800000</v>
          </cell>
          <cell r="H110">
            <v>8</v>
          </cell>
          <cell r="I110">
            <v>100000</v>
          </cell>
          <cell r="J110">
            <v>800000</v>
          </cell>
          <cell r="M110">
            <v>640000</v>
          </cell>
          <cell r="N110">
            <v>160000</v>
          </cell>
        </row>
        <row r="111">
          <cell r="B111" t="str">
            <v>흄관 EXTENSION</v>
          </cell>
          <cell r="D111" t="str">
            <v>M</v>
          </cell>
          <cell r="E111">
            <v>10</v>
          </cell>
          <cell r="F111">
            <v>40000</v>
          </cell>
          <cell r="G111">
            <v>400000</v>
          </cell>
          <cell r="H111">
            <v>10</v>
          </cell>
          <cell r="I111">
            <v>40000</v>
          </cell>
          <cell r="J111">
            <v>400000</v>
          </cell>
          <cell r="M111">
            <v>350000</v>
          </cell>
          <cell r="N111">
            <v>50000</v>
          </cell>
        </row>
        <row r="112">
          <cell r="B112" t="str">
            <v>TRENCH EXTENSION</v>
          </cell>
          <cell r="C112" t="str">
            <v>φ300</v>
          </cell>
          <cell r="D112" t="str">
            <v>M</v>
          </cell>
          <cell r="E112">
            <v>60</v>
          </cell>
          <cell r="F112">
            <v>235000</v>
          </cell>
          <cell r="G112">
            <v>14100000</v>
          </cell>
          <cell r="H112">
            <v>60</v>
          </cell>
          <cell r="I112">
            <v>235000</v>
          </cell>
          <cell r="J112">
            <v>14100000</v>
          </cell>
          <cell r="M112">
            <v>9600000</v>
          </cell>
          <cell r="N112">
            <v>4500000</v>
          </cell>
          <cell r="O112" t="str">
            <v xml:space="preserve"> GR'T포함</v>
          </cell>
        </row>
        <row r="113">
          <cell r="B113" t="str">
            <v>ANCHOR BOLT</v>
          </cell>
          <cell r="C113" t="str">
            <v>M24*700L</v>
          </cell>
          <cell r="D113" t="str">
            <v>SET</v>
          </cell>
          <cell r="E113">
            <v>32</v>
          </cell>
          <cell r="F113">
            <v>9500</v>
          </cell>
          <cell r="G113">
            <v>304000</v>
          </cell>
          <cell r="H113">
            <v>32</v>
          </cell>
          <cell r="I113">
            <v>9500</v>
          </cell>
          <cell r="J113">
            <v>304000</v>
          </cell>
          <cell r="M113">
            <v>48000</v>
          </cell>
          <cell r="N113">
            <v>256000</v>
          </cell>
        </row>
        <row r="114">
          <cell r="B114" t="str">
            <v>PILE 두부보강 및 속채움</v>
          </cell>
          <cell r="D114" t="str">
            <v>NOS</v>
          </cell>
          <cell r="E114">
            <v>16</v>
          </cell>
          <cell r="F114">
            <v>10000</v>
          </cell>
          <cell r="G114">
            <v>160000</v>
          </cell>
          <cell r="H114">
            <v>16</v>
          </cell>
          <cell r="I114">
            <v>10000</v>
          </cell>
          <cell r="J114">
            <v>160000</v>
          </cell>
          <cell r="M114">
            <v>48000</v>
          </cell>
          <cell r="N114">
            <v>112000</v>
          </cell>
        </row>
        <row r="116">
          <cell r="B116" t="str">
            <v>SUB-TOTAL</v>
          </cell>
          <cell r="G116">
            <v>15764000</v>
          </cell>
          <cell r="J116">
            <v>15764000</v>
          </cell>
          <cell r="M116">
            <v>10686000</v>
          </cell>
          <cell r="N116">
            <v>5078000</v>
          </cell>
        </row>
        <row r="118">
          <cell r="B118" t="str">
            <v>T O T A L</v>
          </cell>
          <cell r="G118">
            <v>137496592</v>
          </cell>
          <cell r="J118">
            <v>137496592</v>
          </cell>
          <cell r="M118">
            <v>78735732</v>
          </cell>
          <cell r="N118">
            <v>58760860</v>
          </cell>
        </row>
        <row r="124">
          <cell r="A124" t="str">
            <v xml:space="preserve">  2.</v>
          </cell>
          <cell r="B124" t="str">
            <v>CHEMICAL HOUSE</v>
          </cell>
        </row>
        <row r="126">
          <cell r="A126" t="str">
            <v xml:space="preserve">  1)</v>
          </cell>
          <cell r="B126" t="str">
            <v>가설공사</v>
          </cell>
        </row>
        <row r="127">
          <cell r="B127" t="str">
            <v>규준틀</v>
          </cell>
          <cell r="D127" t="str">
            <v>M2</v>
          </cell>
          <cell r="E127">
            <v>105</v>
          </cell>
          <cell r="F127">
            <v>1550</v>
          </cell>
          <cell r="G127">
            <v>162750</v>
          </cell>
          <cell r="H127">
            <v>105</v>
          </cell>
          <cell r="I127">
            <v>1550</v>
          </cell>
          <cell r="J127">
            <v>162750</v>
          </cell>
          <cell r="M127">
            <v>36750</v>
          </cell>
          <cell r="N127">
            <v>126000</v>
          </cell>
        </row>
        <row r="128">
          <cell r="B128" t="str">
            <v>외부비계</v>
          </cell>
          <cell r="D128" t="str">
            <v>M2</v>
          </cell>
          <cell r="E128">
            <v>269.04000000000002</v>
          </cell>
          <cell r="F128">
            <v>5100</v>
          </cell>
          <cell r="G128">
            <v>1372104</v>
          </cell>
          <cell r="H128">
            <v>269.04000000000002</v>
          </cell>
          <cell r="I128">
            <v>5100</v>
          </cell>
          <cell r="J128">
            <v>1372104</v>
          </cell>
          <cell r="M128">
            <v>242136</v>
          </cell>
          <cell r="N128">
            <v>1129968</v>
          </cell>
        </row>
        <row r="129">
          <cell r="B129" t="str">
            <v>내부비계</v>
          </cell>
          <cell r="D129" t="str">
            <v>M2</v>
          </cell>
          <cell r="E129">
            <v>105</v>
          </cell>
          <cell r="F129">
            <v>4360</v>
          </cell>
          <cell r="G129">
            <v>457800</v>
          </cell>
          <cell r="H129">
            <v>105</v>
          </cell>
          <cell r="I129">
            <v>4360</v>
          </cell>
          <cell r="J129">
            <v>457800</v>
          </cell>
          <cell r="M129">
            <v>89250</v>
          </cell>
          <cell r="N129">
            <v>368550</v>
          </cell>
        </row>
        <row r="130">
          <cell r="B130" t="str">
            <v>현장정리</v>
          </cell>
          <cell r="D130" t="str">
            <v>M2</v>
          </cell>
          <cell r="E130">
            <v>105</v>
          </cell>
          <cell r="F130">
            <v>2000</v>
          </cell>
          <cell r="G130">
            <v>210000</v>
          </cell>
          <cell r="H130">
            <v>105</v>
          </cell>
          <cell r="I130">
            <v>2000</v>
          </cell>
          <cell r="J130">
            <v>210000</v>
          </cell>
          <cell r="M130">
            <v>0</v>
          </cell>
          <cell r="N130">
            <v>210000</v>
          </cell>
        </row>
        <row r="131">
          <cell r="B131" t="str">
            <v>먹메김</v>
          </cell>
          <cell r="D131" t="str">
            <v>M2</v>
          </cell>
          <cell r="E131">
            <v>105</v>
          </cell>
          <cell r="F131">
            <v>1080</v>
          </cell>
          <cell r="G131">
            <v>113400</v>
          </cell>
          <cell r="H131">
            <v>105</v>
          </cell>
          <cell r="I131">
            <v>1080</v>
          </cell>
          <cell r="J131">
            <v>113400</v>
          </cell>
          <cell r="M131">
            <v>0</v>
          </cell>
          <cell r="N131">
            <v>113400</v>
          </cell>
        </row>
        <row r="132">
          <cell r="B132" t="str">
            <v>콘크리트 양생</v>
          </cell>
          <cell r="D132" t="str">
            <v>M2</v>
          </cell>
          <cell r="E132">
            <v>105</v>
          </cell>
          <cell r="F132">
            <v>360</v>
          </cell>
          <cell r="G132">
            <v>37800</v>
          </cell>
          <cell r="H132">
            <v>105</v>
          </cell>
          <cell r="I132">
            <v>360</v>
          </cell>
          <cell r="J132">
            <v>37800</v>
          </cell>
          <cell r="M132">
            <v>0</v>
          </cell>
          <cell r="N132">
            <v>37800</v>
          </cell>
        </row>
        <row r="134">
          <cell r="B134" t="str">
            <v>SUB-TOTAL</v>
          </cell>
          <cell r="G134">
            <v>2353854</v>
          </cell>
          <cell r="J134">
            <v>2353854</v>
          </cell>
          <cell r="M134">
            <v>368136</v>
          </cell>
          <cell r="N134">
            <v>1985718</v>
          </cell>
        </row>
        <row r="136">
          <cell r="A136" t="str">
            <v xml:space="preserve">  2)</v>
          </cell>
          <cell r="B136" t="str">
            <v>토공사</v>
          </cell>
        </row>
        <row r="137">
          <cell r="B137" t="str">
            <v>터파기</v>
          </cell>
          <cell r="D137" t="str">
            <v>M3</v>
          </cell>
          <cell r="E137">
            <v>86.36</v>
          </cell>
          <cell r="F137">
            <v>2760</v>
          </cell>
          <cell r="G137">
            <v>238353</v>
          </cell>
          <cell r="H137">
            <v>86.36</v>
          </cell>
          <cell r="I137">
            <v>2760</v>
          </cell>
          <cell r="J137">
            <v>238353</v>
          </cell>
          <cell r="M137">
            <v>195173</v>
          </cell>
          <cell r="N137">
            <v>43180</v>
          </cell>
        </row>
        <row r="138">
          <cell r="B138" t="str">
            <v>잔토처리</v>
          </cell>
          <cell r="D138" t="str">
            <v>M3</v>
          </cell>
          <cell r="E138">
            <v>46.7</v>
          </cell>
          <cell r="F138">
            <v>5500</v>
          </cell>
          <cell r="G138">
            <v>256850</v>
          </cell>
          <cell r="H138">
            <v>46.7</v>
          </cell>
          <cell r="I138">
            <v>5500</v>
          </cell>
          <cell r="J138">
            <v>256850</v>
          </cell>
          <cell r="M138">
            <v>256850</v>
          </cell>
          <cell r="N138">
            <v>0</v>
          </cell>
        </row>
        <row r="139">
          <cell r="B139" t="str">
            <v>되메우기</v>
          </cell>
          <cell r="D139" t="str">
            <v>M3</v>
          </cell>
          <cell r="E139">
            <v>50.5</v>
          </cell>
          <cell r="F139">
            <v>6500</v>
          </cell>
          <cell r="G139">
            <v>328250</v>
          </cell>
          <cell r="H139">
            <v>50.5</v>
          </cell>
          <cell r="I139">
            <v>6500</v>
          </cell>
          <cell r="J139">
            <v>328250</v>
          </cell>
          <cell r="M139">
            <v>252500</v>
          </cell>
          <cell r="N139">
            <v>75750</v>
          </cell>
        </row>
        <row r="141">
          <cell r="B141" t="str">
            <v>SUB-TOTAL</v>
          </cell>
          <cell r="G141">
            <v>823453</v>
          </cell>
          <cell r="J141">
            <v>823453</v>
          </cell>
          <cell r="M141">
            <v>704523</v>
          </cell>
          <cell r="N141">
            <v>118930</v>
          </cell>
        </row>
        <row r="143">
          <cell r="A143" t="str">
            <v xml:space="preserve">  3)</v>
          </cell>
          <cell r="B143" t="str">
            <v>지정공사</v>
          </cell>
        </row>
        <row r="144">
          <cell r="B144" t="str">
            <v>잡석지정</v>
          </cell>
          <cell r="D144" t="str">
            <v>M3</v>
          </cell>
          <cell r="E144">
            <v>23.65</v>
          </cell>
          <cell r="F144">
            <v>13500</v>
          </cell>
          <cell r="G144">
            <v>319275</v>
          </cell>
          <cell r="H144">
            <v>23.65</v>
          </cell>
          <cell r="I144">
            <v>13500</v>
          </cell>
          <cell r="J144">
            <v>319275</v>
          </cell>
          <cell r="M144">
            <v>212850</v>
          </cell>
          <cell r="N144">
            <v>106425</v>
          </cell>
        </row>
        <row r="146">
          <cell r="B146" t="str">
            <v>SUB-TOTAL</v>
          </cell>
          <cell r="G146">
            <v>319275</v>
          </cell>
          <cell r="J146">
            <v>319275</v>
          </cell>
          <cell r="M146">
            <v>212850</v>
          </cell>
          <cell r="N146">
            <v>106425</v>
          </cell>
        </row>
        <row r="148">
          <cell r="A148" t="str">
            <v xml:space="preserve">  4)</v>
          </cell>
          <cell r="B148" t="str">
            <v>거푸집 공사</v>
          </cell>
          <cell r="O148" t="str">
            <v xml:space="preserve"> 소운반,</v>
          </cell>
        </row>
        <row r="149">
          <cell r="B149" t="str">
            <v>거푸집</v>
          </cell>
          <cell r="C149" t="str">
            <v>4회</v>
          </cell>
          <cell r="D149" t="str">
            <v>M2</v>
          </cell>
          <cell r="E149">
            <v>346.5</v>
          </cell>
          <cell r="F149">
            <v>21360</v>
          </cell>
          <cell r="G149">
            <v>7401240</v>
          </cell>
          <cell r="H149">
            <v>346.5</v>
          </cell>
          <cell r="I149">
            <v>21360</v>
          </cell>
          <cell r="J149">
            <v>7401240</v>
          </cell>
          <cell r="M149">
            <v>2134440</v>
          </cell>
          <cell r="N149">
            <v>5266800</v>
          </cell>
          <cell r="O149" t="str">
            <v xml:space="preserve"> 정리비</v>
          </cell>
        </row>
        <row r="150">
          <cell r="O150" t="str">
            <v xml:space="preserve"> 포  함</v>
          </cell>
        </row>
        <row r="151">
          <cell r="B151" t="str">
            <v>SUB-TOTAL</v>
          </cell>
          <cell r="G151">
            <v>7401240</v>
          </cell>
          <cell r="J151">
            <v>7401240</v>
          </cell>
          <cell r="M151">
            <v>2134440</v>
          </cell>
          <cell r="N151">
            <v>5266800</v>
          </cell>
        </row>
        <row r="153">
          <cell r="A153" t="str">
            <v xml:space="preserve">  5)</v>
          </cell>
          <cell r="B153" t="str">
            <v>철근 CON'C 공사</v>
          </cell>
        </row>
        <row r="154">
          <cell r="B154" t="str">
            <v>콘크리트</v>
          </cell>
          <cell r="C154" t="str">
            <v>FC=210KG/㎠</v>
          </cell>
          <cell r="D154" t="str">
            <v>M3</v>
          </cell>
          <cell r="E154">
            <v>88.27</v>
          </cell>
          <cell r="F154">
            <v>59770</v>
          </cell>
          <cell r="G154">
            <v>5275897</v>
          </cell>
          <cell r="H154">
            <v>88.27</v>
          </cell>
          <cell r="I154">
            <v>59770</v>
          </cell>
          <cell r="J154">
            <v>5275897</v>
          </cell>
          <cell r="M154">
            <v>5275897</v>
          </cell>
          <cell r="N154">
            <v>0</v>
          </cell>
        </row>
        <row r="155">
          <cell r="B155" t="str">
            <v>콘크리트</v>
          </cell>
          <cell r="C155" t="str">
            <v>FC=135KG/㎠</v>
          </cell>
          <cell r="D155" t="str">
            <v>M3</v>
          </cell>
          <cell r="E155">
            <v>8.17</v>
          </cell>
          <cell r="F155">
            <v>50950</v>
          </cell>
          <cell r="G155">
            <v>416261</v>
          </cell>
          <cell r="H155">
            <v>8.17</v>
          </cell>
          <cell r="I155">
            <v>50950</v>
          </cell>
          <cell r="J155">
            <v>416261</v>
          </cell>
          <cell r="M155">
            <v>416261</v>
          </cell>
          <cell r="N155">
            <v>0</v>
          </cell>
        </row>
        <row r="156">
          <cell r="B156" t="str">
            <v>콘크리트 치기</v>
          </cell>
          <cell r="D156" t="str">
            <v>M3</v>
          </cell>
          <cell r="E156">
            <v>94.63</v>
          </cell>
          <cell r="F156">
            <v>11400</v>
          </cell>
          <cell r="G156">
            <v>1078782</v>
          </cell>
          <cell r="H156">
            <v>94.63</v>
          </cell>
          <cell r="I156">
            <v>11400</v>
          </cell>
          <cell r="J156">
            <v>1078782</v>
          </cell>
          <cell r="M156">
            <v>170334</v>
          </cell>
          <cell r="N156">
            <v>908448</v>
          </cell>
        </row>
        <row r="158">
          <cell r="B158" t="str">
            <v>SUB-TOTAL</v>
          </cell>
          <cell r="G158">
            <v>6770940</v>
          </cell>
          <cell r="J158">
            <v>6770940</v>
          </cell>
          <cell r="M158">
            <v>5862492</v>
          </cell>
          <cell r="N158">
            <v>908448</v>
          </cell>
        </row>
        <row r="160">
          <cell r="A160" t="str">
            <v xml:space="preserve">  6)</v>
          </cell>
          <cell r="B160" t="str">
            <v>철근공사</v>
          </cell>
          <cell r="C160" t="str">
            <v>D19</v>
          </cell>
          <cell r="D160" t="str">
            <v>TON</v>
          </cell>
          <cell r="E160">
            <v>0.83</v>
          </cell>
          <cell r="F160">
            <v>310000</v>
          </cell>
          <cell r="G160">
            <v>257300</v>
          </cell>
          <cell r="H160">
            <v>0.83</v>
          </cell>
          <cell r="I160">
            <v>310000</v>
          </cell>
          <cell r="J160">
            <v>257300</v>
          </cell>
          <cell r="M160">
            <v>257300</v>
          </cell>
          <cell r="N160">
            <v>0</v>
          </cell>
        </row>
        <row r="161">
          <cell r="C161" t="str">
            <v>D16</v>
          </cell>
          <cell r="D161" t="str">
            <v>TON</v>
          </cell>
          <cell r="E161">
            <v>2.99</v>
          </cell>
          <cell r="F161">
            <v>310000</v>
          </cell>
          <cell r="G161">
            <v>926900</v>
          </cell>
          <cell r="H161">
            <v>2.99</v>
          </cell>
          <cell r="I161">
            <v>310000</v>
          </cell>
          <cell r="J161">
            <v>926900</v>
          </cell>
          <cell r="M161">
            <v>926900</v>
          </cell>
          <cell r="N161">
            <v>0</v>
          </cell>
        </row>
        <row r="162">
          <cell r="C162" t="str">
            <v>D13</v>
          </cell>
          <cell r="D162" t="str">
            <v>TON</v>
          </cell>
          <cell r="E162">
            <v>1.43</v>
          </cell>
          <cell r="F162">
            <v>310000</v>
          </cell>
          <cell r="G162">
            <v>443300</v>
          </cell>
          <cell r="H162">
            <v>1.43</v>
          </cell>
          <cell r="I162">
            <v>310000</v>
          </cell>
          <cell r="J162">
            <v>443300</v>
          </cell>
          <cell r="M162">
            <v>443300</v>
          </cell>
          <cell r="N162">
            <v>0</v>
          </cell>
        </row>
        <row r="163">
          <cell r="B163" t="str">
            <v>RE-BAR FORMING</v>
          </cell>
          <cell r="D163" t="str">
            <v>TON</v>
          </cell>
          <cell r="E163">
            <v>5.1100000000000003</v>
          </cell>
          <cell r="F163">
            <v>227000</v>
          </cell>
          <cell r="G163">
            <v>1159970</v>
          </cell>
          <cell r="H163">
            <v>5.1100000000000003</v>
          </cell>
          <cell r="I163">
            <v>227000</v>
          </cell>
          <cell r="J163">
            <v>1159970</v>
          </cell>
          <cell r="M163">
            <v>61320</v>
          </cell>
          <cell r="N163">
            <v>1098650</v>
          </cell>
        </row>
        <row r="164">
          <cell r="B164" t="str">
            <v>CHIPPING</v>
          </cell>
          <cell r="D164" t="str">
            <v>M2</v>
          </cell>
          <cell r="E164">
            <v>9.3000000000000007</v>
          </cell>
          <cell r="F164">
            <v>60000</v>
          </cell>
          <cell r="G164">
            <v>558000</v>
          </cell>
          <cell r="H164">
            <v>9.3000000000000007</v>
          </cell>
          <cell r="I164">
            <v>60000</v>
          </cell>
          <cell r="J164">
            <v>558000</v>
          </cell>
          <cell r="M164">
            <v>0</v>
          </cell>
          <cell r="N164">
            <v>558000</v>
          </cell>
        </row>
        <row r="165">
          <cell r="B165" t="str">
            <v>CON'C DRILLING</v>
          </cell>
          <cell r="D165" t="str">
            <v>NOS</v>
          </cell>
          <cell r="E165">
            <v>72</v>
          </cell>
          <cell r="F165">
            <v>18000</v>
          </cell>
          <cell r="G165">
            <v>1296000</v>
          </cell>
          <cell r="H165">
            <v>72</v>
          </cell>
          <cell r="I165">
            <v>18000</v>
          </cell>
          <cell r="J165">
            <v>1296000</v>
          </cell>
          <cell r="M165">
            <v>72000</v>
          </cell>
          <cell r="N165">
            <v>1224000</v>
          </cell>
        </row>
        <row r="166">
          <cell r="B166" t="str">
            <v>W.W.F</v>
          </cell>
          <cell r="C166" t="str">
            <v>#6*150*150</v>
          </cell>
          <cell r="D166" t="str">
            <v>M2</v>
          </cell>
          <cell r="E166">
            <v>97.5</v>
          </cell>
          <cell r="F166">
            <v>1800</v>
          </cell>
          <cell r="G166">
            <v>175500</v>
          </cell>
          <cell r="H166">
            <v>97.5</v>
          </cell>
          <cell r="I166">
            <v>1800</v>
          </cell>
          <cell r="J166">
            <v>175500</v>
          </cell>
          <cell r="M166">
            <v>117000</v>
          </cell>
          <cell r="N166">
            <v>58500</v>
          </cell>
        </row>
        <row r="168">
          <cell r="B168" t="str">
            <v>SUB-TOTAL</v>
          </cell>
          <cell r="G168">
            <v>4816970</v>
          </cell>
          <cell r="J168">
            <v>4816970</v>
          </cell>
          <cell r="M168">
            <v>1877820</v>
          </cell>
          <cell r="N168">
            <v>2939150</v>
          </cell>
        </row>
        <row r="170">
          <cell r="A170" t="str">
            <v xml:space="preserve">  7)</v>
          </cell>
          <cell r="B170" t="str">
            <v>방수공사</v>
          </cell>
        </row>
        <row r="171">
          <cell r="B171" t="str">
            <v>액체방수</v>
          </cell>
          <cell r="C171" t="str">
            <v>2회</v>
          </cell>
          <cell r="D171" t="str">
            <v>M2</v>
          </cell>
          <cell r="E171">
            <v>16.7</v>
          </cell>
          <cell r="F171">
            <v>9590</v>
          </cell>
          <cell r="G171">
            <v>160153</v>
          </cell>
          <cell r="H171">
            <v>16.7</v>
          </cell>
          <cell r="I171">
            <v>9590</v>
          </cell>
          <cell r="J171">
            <v>160153</v>
          </cell>
          <cell r="M171">
            <v>18203</v>
          </cell>
          <cell r="N171">
            <v>141950</v>
          </cell>
        </row>
        <row r="172">
          <cell r="B172" t="str">
            <v>P.E FILM</v>
          </cell>
          <cell r="C172" t="str">
            <v>T=0.08</v>
          </cell>
          <cell r="D172" t="str">
            <v>M2</v>
          </cell>
          <cell r="E172">
            <v>105</v>
          </cell>
          <cell r="F172">
            <v>372</v>
          </cell>
          <cell r="G172">
            <v>39060</v>
          </cell>
          <cell r="H172">
            <v>105</v>
          </cell>
          <cell r="I172">
            <v>372</v>
          </cell>
          <cell r="J172">
            <v>39060</v>
          </cell>
          <cell r="M172">
            <v>7560</v>
          </cell>
          <cell r="N172">
            <v>31500</v>
          </cell>
        </row>
        <row r="174">
          <cell r="B174" t="str">
            <v>SUB-TOTAL</v>
          </cell>
          <cell r="G174">
            <v>199213</v>
          </cell>
          <cell r="J174">
            <v>199213</v>
          </cell>
          <cell r="M174">
            <v>25763</v>
          </cell>
          <cell r="N174">
            <v>173450</v>
          </cell>
        </row>
        <row r="176">
          <cell r="A176" t="str">
            <v xml:space="preserve">  8)</v>
          </cell>
          <cell r="B176" t="str">
            <v>도장공사</v>
          </cell>
        </row>
        <row r="177">
          <cell r="B177" t="str">
            <v>유성페인트</v>
          </cell>
          <cell r="C177" t="str">
            <v>2회</v>
          </cell>
          <cell r="D177" t="str">
            <v>M2</v>
          </cell>
          <cell r="E177">
            <v>12</v>
          </cell>
          <cell r="F177">
            <v>5000</v>
          </cell>
          <cell r="G177">
            <v>60000</v>
          </cell>
          <cell r="H177">
            <v>12</v>
          </cell>
          <cell r="I177">
            <v>5000</v>
          </cell>
          <cell r="J177">
            <v>60000</v>
          </cell>
          <cell r="M177">
            <v>18000</v>
          </cell>
          <cell r="N177">
            <v>42000</v>
          </cell>
        </row>
        <row r="178">
          <cell r="B178" t="str">
            <v>수성페인트</v>
          </cell>
          <cell r="C178" t="str">
            <v>3회</v>
          </cell>
          <cell r="D178" t="str">
            <v>M2</v>
          </cell>
          <cell r="E178">
            <v>716.8</v>
          </cell>
          <cell r="F178">
            <v>5000</v>
          </cell>
          <cell r="G178">
            <v>3584000</v>
          </cell>
          <cell r="H178">
            <v>716.8</v>
          </cell>
          <cell r="I178">
            <v>5000</v>
          </cell>
          <cell r="J178">
            <v>3584000</v>
          </cell>
          <cell r="M178">
            <v>1075200</v>
          </cell>
          <cell r="N178">
            <v>2508800</v>
          </cell>
        </row>
        <row r="180">
          <cell r="B180" t="str">
            <v>SUB-TOTAL</v>
          </cell>
          <cell r="G180">
            <v>3644000</v>
          </cell>
          <cell r="J180">
            <v>3644000</v>
          </cell>
          <cell r="M180">
            <v>1093200</v>
          </cell>
          <cell r="N180">
            <v>2550800</v>
          </cell>
        </row>
        <row r="182">
          <cell r="A182" t="str">
            <v xml:space="preserve">  9)</v>
          </cell>
          <cell r="B182" t="str">
            <v>잡철물 공사</v>
          </cell>
        </row>
        <row r="183">
          <cell r="B183" t="str">
            <v>피뢰침</v>
          </cell>
          <cell r="D183" t="str">
            <v>NOS</v>
          </cell>
          <cell r="E183">
            <v>1</v>
          </cell>
          <cell r="F183">
            <v>1400000</v>
          </cell>
          <cell r="G183">
            <v>1400000</v>
          </cell>
          <cell r="H183">
            <v>1</v>
          </cell>
          <cell r="I183">
            <v>1400000</v>
          </cell>
          <cell r="J183">
            <v>1400000</v>
          </cell>
          <cell r="M183">
            <v>1100000</v>
          </cell>
          <cell r="N183">
            <v>300000</v>
          </cell>
        </row>
        <row r="184">
          <cell r="B184" t="str">
            <v>COPPER WIRE MESH #10</v>
          </cell>
          <cell r="D184" t="str">
            <v>M2</v>
          </cell>
          <cell r="E184">
            <v>2</v>
          </cell>
          <cell r="F184">
            <v>1100</v>
          </cell>
          <cell r="G184">
            <v>2200</v>
          </cell>
          <cell r="H184">
            <v>2</v>
          </cell>
          <cell r="I184">
            <v>1100</v>
          </cell>
          <cell r="J184">
            <v>2200</v>
          </cell>
          <cell r="M184">
            <v>1000</v>
          </cell>
          <cell r="N184">
            <v>1200</v>
          </cell>
        </row>
        <row r="185">
          <cell r="B185" t="str">
            <v>골철판</v>
          </cell>
          <cell r="D185" t="str">
            <v>M2</v>
          </cell>
          <cell r="E185">
            <v>17.010000000000002</v>
          </cell>
          <cell r="F185">
            <v>34600</v>
          </cell>
          <cell r="G185">
            <v>588546</v>
          </cell>
          <cell r="H185">
            <v>17.010000000000002</v>
          </cell>
          <cell r="I185">
            <v>34600</v>
          </cell>
          <cell r="J185">
            <v>588546</v>
          </cell>
          <cell r="M185">
            <v>374220</v>
          </cell>
          <cell r="N185">
            <v>214326</v>
          </cell>
        </row>
        <row r="186">
          <cell r="B186" t="str">
            <v>앵커바</v>
          </cell>
          <cell r="D186" t="str">
            <v>NOS</v>
          </cell>
          <cell r="E186">
            <v>7</v>
          </cell>
          <cell r="F186">
            <v>4350</v>
          </cell>
          <cell r="G186">
            <v>30450</v>
          </cell>
          <cell r="H186">
            <v>7</v>
          </cell>
          <cell r="I186">
            <v>4350</v>
          </cell>
          <cell r="J186">
            <v>30450</v>
          </cell>
          <cell r="M186">
            <v>9450</v>
          </cell>
          <cell r="N186">
            <v>21000</v>
          </cell>
        </row>
        <row r="188">
          <cell r="B188" t="str">
            <v>SUB-TOTAL</v>
          </cell>
          <cell r="G188">
            <v>2021196</v>
          </cell>
          <cell r="J188">
            <v>2021196</v>
          </cell>
          <cell r="M188">
            <v>1484670</v>
          </cell>
          <cell r="N188">
            <v>536526</v>
          </cell>
        </row>
        <row r="190">
          <cell r="A190" t="str">
            <v xml:space="preserve"> 10)</v>
          </cell>
          <cell r="B190" t="str">
            <v>죠인트 공사</v>
          </cell>
        </row>
        <row r="191">
          <cell r="B191" t="str">
            <v>CAULKING</v>
          </cell>
          <cell r="C191" t="str">
            <v>T=12</v>
          </cell>
          <cell r="D191" t="str">
            <v>M</v>
          </cell>
          <cell r="E191">
            <v>42</v>
          </cell>
          <cell r="F191">
            <v>24300</v>
          </cell>
          <cell r="G191">
            <v>1020600</v>
          </cell>
          <cell r="H191">
            <v>42</v>
          </cell>
          <cell r="I191">
            <v>24300</v>
          </cell>
          <cell r="J191">
            <v>1020600</v>
          </cell>
          <cell r="M191">
            <v>516600</v>
          </cell>
          <cell r="N191">
            <v>504000</v>
          </cell>
        </row>
        <row r="193">
          <cell r="B193" t="str">
            <v>SUB-TOTAL</v>
          </cell>
          <cell r="G193">
            <v>1020600</v>
          </cell>
          <cell r="J193">
            <v>1020600</v>
          </cell>
          <cell r="M193">
            <v>516600</v>
          </cell>
          <cell r="N193">
            <v>504000</v>
          </cell>
        </row>
        <row r="195">
          <cell r="A195" t="str">
            <v xml:space="preserve"> 11)</v>
          </cell>
          <cell r="B195" t="str">
            <v>미장공사</v>
          </cell>
        </row>
        <row r="196">
          <cell r="B196" t="str">
            <v>STEEL TROWEL FINISH</v>
          </cell>
          <cell r="D196" t="str">
            <v>M2</v>
          </cell>
          <cell r="E196">
            <v>108.6</v>
          </cell>
          <cell r="F196">
            <v>1500</v>
          </cell>
          <cell r="G196">
            <v>162900</v>
          </cell>
          <cell r="H196">
            <v>108.6</v>
          </cell>
          <cell r="I196">
            <v>1500</v>
          </cell>
          <cell r="J196">
            <v>162900</v>
          </cell>
          <cell r="M196">
            <v>0</v>
          </cell>
          <cell r="N196">
            <v>162900</v>
          </cell>
        </row>
        <row r="197">
          <cell r="B197" t="str">
            <v>콘크리트 면처리</v>
          </cell>
          <cell r="D197" t="str">
            <v>M2</v>
          </cell>
          <cell r="E197">
            <v>240</v>
          </cell>
          <cell r="F197">
            <v>1720</v>
          </cell>
          <cell r="G197">
            <v>412800</v>
          </cell>
          <cell r="H197">
            <v>240</v>
          </cell>
          <cell r="I197">
            <v>1720</v>
          </cell>
          <cell r="J197">
            <v>412800</v>
          </cell>
          <cell r="M197">
            <v>0</v>
          </cell>
          <cell r="N197">
            <v>412800</v>
          </cell>
        </row>
        <row r="199">
          <cell r="B199" t="str">
            <v>SUB-TOTAL</v>
          </cell>
          <cell r="G199">
            <v>575700</v>
          </cell>
          <cell r="J199">
            <v>575700</v>
          </cell>
          <cell r="M199">
            <v>0</v>
          </cell>
          <cell r="N199">
            <v>575700</v>
          </cell>
        </row>
        <row r="201">
          <cell r="A201" t="str">
            <v xml:space="preserve"> 12)</v>
          </cell>
          <cell r="B201" t="str">
            <v>철골공사</v>
          </cell>
        </row>
        <row r="202">
          <cell r="B202" t="str">
            <v>C-100*50*20*2.3</v>
          </cell>
          <cell r="D202" t="str">
            <v>TON</v>
          </cell>
          <cell r="E202">
            <v>0.81</v>
          </cell>
          <cell r="F202">
            <v>400000</v>
          </cell>
          <cell r="G202">
            <v>324000</v>
          </cell>
          <cell r="H202">
            <v>0.81</v>
          </cell>
          <cell r="I202">
            <v>400000</v>
          </cell>
          <cell r="J202">
            <v>324000</v>
          </cell>
          <cell r="M202">
            <v>324000</v>
          </cell>
          <cell r="N202">
            <v>0</v>
          </cell>
        </row>
        <row r="203">
          <cell r="B203" t="str">
            <v>CT-122*175*7*11</v>
          </cell>
          <cell r="D203" t="str">
            <v>TON</v>
          </cell>
          <cell r="E203">
            <v>5.6</v>
          </cell>
          <cell r="F203">
            <v>419000</v>
          </cell>
          <cell r="G203">
            <v>2346400</v>
          </cell>
          <cell r="H203">
            <v>5.6</v>
          </cell>
          <cell r="I203">
            <v>419000</v>
          </cell>
          <cell r="J203">
            <v>2346400</v>
          </cell>
          <cell r="M203">
            <v>2346400</v>
          </cell>
          <cell r="N203">
            <v>0</v>
          </cell>
        </row>
        <row r="204">
          <cell r="B204" t="str">
            <v>L-75*75*6</v>
          </cell>
          <cell r="D204" t="str">
            <v>TON</v>
          </cell>
          <cell r="E204">
            <v>1.54</v>
          </cell>
          <cell r="F204">
            <v>360000</v>
          </cell>
          <cell r="G204">
            <v>554400</v>
          </cell>
          <cell r="H204">
            <v>1.54</v>
          </cell>
          <cell r="I204">
            <v>360000</v>
          </cell>
          <cell r="J204">
            <v>554400</v>
          </cell>
          <cell r="M204">
            <v>554400</v>
          </cell>
          <cell r="N204">
            <v>0</v>
          </cell>
        </row>
        <row r="205">
          <cell r="B205" t="str">
            <v>STEEL PLATE</v>
          </cell>
          <cell r="D205" t="str">
            <v>TON</v>
          </cell>
          <cell r="E205">
            <v>0.84</v>
          </cell>
          <cell r="F205">
            <v>380000</v>
          </cell>
          <cell r="G205">
            <v>319200</v>
          </cell>
          <cell r="H205">
            <v>0.84</v>
          </cell>
          <cell r="I205">
            <v>380000</v>
          </cell>
          <cell r="J205">
            <v>319200</v>
          </cell>
          <cell r="M205">
            <v>319200</v>
          </cell>
          <cell r="N205">
            <v>0</v>
          </cell>
        </row>
        <row r="206">
          <cell r="B206" t="str">
            <v>STEEL FORMING</v>
          </cell>
          <cell r="D206" t="str">
            <v>TON</v>
          </cell>
          <cell r="E206">
            <v>7.95</v>
          </cell>
          <cell r="F206">
            <v>430000</v>
          </cell>
          <cell r="G206">
            <v>3418500</v>
          </cell>
          <cell r="H206">
            <v>7.95</v>
          </cell>
          <cell r="I206">
            <v>430000</v>
          </cell>
          <cell r="J206">
            <v>3418500</v>
          </cell>
          <cell r="M206">
            <v>238500</v>
          </cell>
          <cell r="N206">
            <v>3180000</v>
          </cell>
        </row>
        <row r="207">
          <cell r="B207" t="str">
            <v>STEEL ERECTION</v>
          </cell>
          <cell r="D207" t="str">
            <v>TON</v>
          </cell>
          <cell r="E207">
            <v>7.95</v>
          </cell>
          <cell r="F207">
            <v>140000</v>
          </cell>
          <cell r="G207">
            <v>1113000</v>
          </cell>
          <cell r="H207">
            <v>7.95</v>
          </cell>
          <cell r="I207">
            <v>140000</v>
          </cell>
          <cell r="J207">
            <v>1113000</v>
          </cell>
          <cell r="M207">
            <v>318000</v>
          </cell>
          <cell r="N207">
            <v>795000</v>
          </cell>
        </row>
        <row r="208">
          <cell r="B208" t="str">
            <v>H.T.B</v>
          </cell>
          <cell r="D208" t="str">
            <v>NOS</v>
          </cell>
          <cell r="E208">
            <v>464</v>
          </cell>
          <cell r="F208">
            <v>460</v>
          </cell>
          <cell r="G208">
            <v>213440</v>
          </cell>
          <cell r="H208">
            <v>464</v>
          </cell>
          <cell r="I208">
            <v>460</v>
          </cell>
          <cell r="J208">
            <v>213440</v>
          </cell>
          <cell r="M208">
            <v>213440</v>
          </cell>
          <cell r="N208">
            <v>0</v>
          </cell>
        </row>
        <row r="209">
          <cell r="B209" t="str">
            <v>COMMON BOLT</v>
          </cell>
          <cell r="D209" t="str">
            <v>NOS</v>
          </cell>
          <cell r="E209">
            <v>57</v>
          </cell>
          <cell r="F209">
            <v>460</v>
          </cell>
          <cell r="G209">
            <v>26220</v>
          </cell>
          <cell r="H209">
            <v>57</v>
          </cell>
          <cell r="I209">
            <v>460</v>
          </cell>
          <cell r="J209">
            <v>26220</v>
          </cell>
          <cell r="M209">
            <v>26220</v>
          </cell>
          <cell r="N209">
            <v>0</v>
          </cell>
        </row>
        <row r="211">
          <cell r="B211" t="str">
            <v>SUB-TOTAL</v>
          </cell>
          <cell r="G211">
            <v>8315160</v>
          </cell>
          <cell r="J211">
            <v>8315160</v>
          </cell>
          <cell r="M211">
            <v>4340160</v>
          </cell>
          <cell r="N211">
            <v>3975000</v>
          </cell>
        </row>
        <row r="213">
          <cell r="A213" t="str">
            <v xml:space="preserve"> 13)</v>
          </cell>
          <cell r="B213" t="str">
            <v>창호공사</v>
          </cell>
        </row>
        <row r="214">
          <cell r="B214" t="str">
            <v>STEEL HANGER DOOR</v>
          </cell>
          <cell r="C214" t="str">
            <v>2*2.4</v>
          </cell>
          <cell r="D214" t="str">
            <v>NOS</v>
          </cell>
          <cell r="E214">
            <v>1</v>
          </cell>
          <cell r="F214">
            <v>1150700</v>
          </cell>
          <cell r="G214">
            <v>1150700</v>
          </cell>
          <cell r="H214">
            <v>1</v>
          </cell>
          <cell r="I214">
            <v>1150700</v>
          </cell>
          <cell r="J214">
            <v>1150700</v>
          </cell>
          <cell r="M214">
            <v>513700</v>
          </cell>
          <cell r="N214">
            <v>637000</v>
          </cell>
        </row>
        <row r="215">
          <cell r="B215" t="str">
            <v>ST'L WINDOW</v>
          </cell>
          <cell r="C215" t="str">
            <v>1.2*1.2</v>
          </cell>
          <cell r="D215" t="str">
            <v>NOS</v>
          </cell>
          <cell r="E215">
            <v>1</v>
          </cell>
          <cell r="F215">
            <v>80000</v>
          </cell>
          <cell r="G215">
            <v>80000</v>
          </cell>
          <cell r="H215">
            <v>1</v>
          </cell>
          <cell r="I215">
            <v>80000</v>
          </cell>
          <cell r="J215">
            <v>80000</v>
          </cell>
          <cell r="M215">
            <v>50000</v>
          </cell>
          <cell r="N215">
            <v>30000</v>
          </cell>
        </row>
        <row r="216">
          <cell r="B216" t="str">
            <v>ST'L LOUVER</v>
          </cell>
          <cell r="C216" t="str">
            <v>3.2*0.45H</v>
          </cell>
          <cell r="D216" t="str">
            <v>EA</v>
          </cell>
          <cell r="E216">
            <v>2</v>
          </cell>
          <cell r="F216">
            <v>100000</v>
          </cell>
          <cell r="G216">
            <v>200000</v>
          </cell>
          <cell r="H216">
            <v>2</v>
          </cell>
          <cell r="I216">
            <v>100000</v>
          </cell>
          <cell r="J216">
            <v>200000</v>
          </cell>
          <cell r="M216">
            <v>140000</v>
          </cell>
          <cell r="N216">
            <v>60000</v>
          </cell>
        </row>
        <row r="218">
          <cell r="B218" t="str">
            <v>SUB-TOTAL</v>
          </cell>
          <cell r="G218">
            <v>1430700</v>
          </cell>
          <cell r="J218">
            <v>1430700</v>
          </cell>
          <cell r="M218">
            <v>703700</v>
          </cell>
          <cell r="N218">
            <v>727000</v>
          </cell>
        </row>
        <row r="220">
          <cell r="A220" t="str">
            <v xml:space="preserve"> 14)</v>
          </cell>
          <cell r="B220" t="str">
            <v>지붕공사</v>
          </cell>
        </row>
        <row r="221">
          <cell r="B221" t="str">
            <v>골 스레트</v>
          </cell>
          <cell r="D221" t="str">
            <v>M2</v>
          </cell>
          <cell r="E221">
            <v>120</v>
          </cell>
          <cell r="F221">
            <v>14670</v>
          </cell>
          <cell r="G221">
            <v>1760400</v>
          </cell>
          <cell r="H221">
            <v>120</v>
          </cell>
          <cell r="I221">
            <v>14670</v>
          </cell>
          <cell r="J221">
            <v>1760400</v>
          </cell>
          <cell r="M221">
            <v>800400</v>
          </cell>
          <cell r="N221">
            <v>960000</v>
          </cell>
        </row>
        <row r="222">
          <cell r="B222" t="str">
            <v>GUTTER(A.P.M)</v>
          </cell>
          <cell r="C222" t="str">
            <v>0.7T*250W*180</v>
          </cell>
          <cell r="D222" t="str">
            <v>M</v>
          </cell>
          <cell r="E222">
            <v>21</v>
          </cell>
          <cell r="F222">
            <v>32960</v>
          </cell>
          <cell r="G222">
            <v>692160</v>
          </cell>
          <cell r="H222">
            <v>21</v>
          </cell>
          <cell r="I222">
            <v>32960</v>
          </cell>
          <cell r="J222">
            <v>692160</v>
          </cell>
          <cell r="M222">
            <v>427560</v>
          </cell>
          <cell r="N222">
            <v>264600</v>
          </cell>
        </row>
        <row r="223">
          <cell r="B223" t="str">
            <v>ROOF DRAIN(ST'L)</v>
          </cell>
          <cell r="C223" t="str">
            <v>φ100</v>
          </cell>
          <cell r="D223" t="str">
            <v>NOS</v>
          </cell>
          <cell r="E223">
            <v>4</v>
          </cell>
          <cell r="F223">
            <v>16200</v>
          </cell>
          <cell r="G223">
            <v>64800</v>
          </cell>
          <cell r="H223">
            <v>4</v>
          </cell>
          <cell r="I223">
            <v>16200</v>
          </cell>
          <cell r="J223">
            <v>64800</v>
          </cell>
          <cell r="M223">
            <v>12000</v>
          </cell>
          <cell r="N223">
            <v>52800</v>
          </cell>
        </row>
        <row r="224">
          <cell r="B224" t="str">
            <v>ST'L PIPE</v>
          </cell>
          <cell r="C224" t="str">
            <v>φ100</v>
          </cell>
          <cell r="D224" t="str">
            <v>M</v>
          </cell>
          <cell r="E224">
            <v>16</v>
          </cell>
          <cell r="F224">
            <v>31200</v>
          </cell>
          <cell r="G224">
            <v>499200</v>
          </cell>
          <cell r="H224">
            <v>16</v>
          </cell>
          <cell r="I224">
            <v>31200</v>
          </cell>
          <cell r="J224">
            <v>499200</v>
          </cell>
          <cell r="M224">
            <v>179200</v>
          </cell>
          <cell r="N224">
            <v>320000</v>
          </cell>
        </row>
        <row r="225">
          <cell r="B225" t="str">
            <v>SPLASH BLOCK</v>
          </cell>
          <cell r="C225" t="str">
            <v>0.3*0.2*0.5</v>
          </cell>
          <cell r="D225" t="str">
            <v>EA</v>
          </cell>
          <cell r="E225">
            <v>4</v>
          </cell>
          <cell r="F225">
            <v>13000</v>
          </cell>
          <cell r="G225">
            <v>52000</v>
          </cell>
          <cell r="H225">
            <v>4</v>
          </cell>
          <cell r="I225">
            <v>13000</v>
          </cell>
          <cell r="J225">
            <v>52000</v>
          </cell>
          <cell r="M225">
            <v>40000</v>
          </cell>
          <cell r="N225">
            <v>12000</v>
          </cell>
        </row>
        <row r="227">
          <cell r="B227" t="str">
            <v>SUB-TOTAL</v>
          </cell>
          <cell r="G227">
            <v>3068560</v>
          </cell>
          <cell r="J227">
            <v>3068560</v>
          </cell>
          <cell r="M227">
            <v>1459160</v>
          </cell>
          <cell r="N227">
            <v>1609400</v>
          </cell>
        </row>
        <row r="229">
          <cell r="A229" t="str">
            <v xml:space="preserve"> 15)</v>
          </cell>
          <cell r="B229" t="str">
            <v>유리공사</v>
          </cell>
        </row>
        <row r="230">
          <cell r="B230" t="str">
            <v>망입유리</v>
          </cell>
          <cell r="C230" t="str">
            <v>7MM</v>
          </cell>
          <cell r="D230" t="str">
            <v>M2</v>
          </cell>
          <cell r="E230">
            <v>1.44</v>
          </cell>
          <cell r="F230">
            <v>15000</v>
          </cell>
          <cell r="G230">
            <v>21600</v>
          </cell>
          <cell r="H230">
            <v>1.44</v>
          </cell>
          <cell r="I230">
            <v>15000</v>
          </cell>
          <cell r="J230">
            <v>21600</v>
          </cell>
          <cell r="M230">
            <v>21600</v>
          </cell>
          <cell r="N230">
            <v>0</v>
          </cell>
        </row>
        <row r="231">
          <cell r="B231" t="str">
            <v>유리끼우기, 닦기</v>
          </cell>
          <cell r="D231" t="str">
            <v>M2</v>
          </cell>
          <cell r="E231">
            <v>1.44</v>
          </cell>
          <cell r="F231">
            <v>23060</v>
          </cell>
          <cell r="G231">
            <v>33206</v>
          </cell>
          <cell r="H231">
            <v>1.44</v>
          </cell>
          <cell r="I231">
            <v>23060</v>
          </cell>
          <cell r="J231">
            <v>33206</v>
          </cell>
          <cell r="M231">
            <v>86</v>
          </cell>
          <cell r="N231">
            <v>33120</v>
          </cell>
        </row>
        <row r="233">
          <cell r="B233" t="str">
            <v>SUB-TOTAL</v>
          </cell>
          <cell r="G233">
            <v>54806</v>
          </cell>
          <cell r="J233">
            <v>54806</v>
          </cell>
          <cell r="M233">
            <v>21686</v>
          </cell>
          <cell r="N233">
            <v>33120</v>
          </cell>
        </row>
        <row r="235">
          <cell r="B235" t="str">
            <v>T O T A L</v>
          </cell>
          <cell r="G235">
            <v>42815667</v>
          </cell>
          <cell r="J235">
            <v>42815667</v>
          </cell>
          <cell r="M235">
            <v>20805200</v>
          </cell>
          <cell r="N235">
            <v>22010467</v>
          </cell>
        </row>
        <row r="244">
          <cell r="A244" t="str">
            <v xml:space="preserve">  3.</v>
          </cell>
          <cell r="B244" t="str">
            <v>EMERGENCY GENERATOR BLDG</v>
          </cell>
        </row>
        <row r="246">
          <cell r="A246" t="str">
            <v xml:space="preserve">  1)</v>
          </cell>
          <cell r="B246" t="str">
            <v>가설공사</v>
          </cell>
        </row>
        <row r="247">
          <cell r="B247" t="str">
            <v>규준틀</v>
          </cell>
          <cell r="D247" t="str">
            <v>M2</v>
          </cell>
          <cell r="E247">
            <v>59.37</v>
          </cell>
          <cell r="F247">
            <v>1550</v>
          </cell>
          <cell r="G247">
            <v>92023</v>
          </cell>
          <cell r="H247">
            <v>59.37</v>
          </cell>
          <cell r="I247">
            <v>1550</v>
          </cell>
          <cell r="J247">
            <v>92023</v>
          </cell>
          <cell r="M247">
            <v>20779</v>
          </cell>
          <cell r="N247">
            <v>71244</v>
          </cell>
        </row>
        <row r="248">
          <cell r="B248" t="str">
            <v>현장정리</v>
          </cell>
          <cell r="D248" t="str">
            <v>M2</v>
          </cell>
          <cell r="E248">
            <v>59.37</v>
          </cell>
          <cell r="F248">
            <v>2000</v>
          </cell>
          <cell r="G248">
            <v>118740</v>
          </cell>
          <cell r="H248">
            <v>59.37</v>
          </cell>
          <cell r="I248">
            <v>2000</v>
          </cell>
          <cell r="J248">
            <v>118740</v>
          </cell>
          <cell r="M248">
            <v>0</v>
          </cell>
          <cell r="N248">
            <v>118740</v>
          </cell>
        </row>
        <row r="249">
          <cell r="B249" t="str">
            <v>콘크리트 양생</v>
          </cell>
          <cell r="D249" t="str">
            <v>M2</v>
          </cell>
          <cell r="E249">
            <v>59.37</v>
          </cell>
          <cell r="F249">
            <v>300</v>
          </cell>
          <cell r="G249">
            <v>17811</v>
          </cell>
          <cell r="H249">
            <v>59.37</v>
          </cell>
          <cell r="I249">
            <v>300</v>
          </cell>
          <cell r="J249">
            <v>17811</v>
          </cell>
          <cell r="M249">
            <v>0</v>
          </cell>
          <cell r="N249">
            <v>17811</v>
          </cell>
        </row>
        <row r="250">
          <cell r="B250" t="str">
            <v>먹메김</v>
          </cell>
          <cell r="D250" t="str">
            <v>M2</v>
          </cell>
          <cell r="E250">
            <v>59.37</v>
          </cell>
          <cell r="F250">
            <v>1080</v>
          </cell>
          <cell r="G250">
            <v>64119</v>
          </cell>
          <cell r="H250">
            <v>59.37</v>
          </cell>
          <cell r="I250">
            <v>1080</v>
          </cell>
          <cell r="J250">
            <v>64119</v>
          </cell>
          <cell r="M250">
            <v>0</v>
          </cell>
          <cell r="N250">
            <v>64119</v>
          </cell>
        </row>
        <row r="252">
          <cell r="B252" t="str">
            <v>SUB-TOTAL</v>
          </cell>
          <cell r="G252">
            <v>292693</v>
          </cell>
          <cell r="J252">
            <v>292693</v>
          </cell>
          <cell r="M252">
            <v>20779</v>
          </cell>
          <cell r="N252">
            <v>271914</v>
          </cell>
        </row>
        <row r="254">
          <cell r="A254" t="str">
            <v xml:space="preserve">  2)</v>
          </cell>
          <cell r="B254" t="str">
            <v>토공사</v>
          </cell>
        </row>
        <row r="255">
          <cell r="B255" t="str">
            <v>터파기</v>
          </cell>
          <cell r="D255" t="str">
            <v>M3</v>
          </cell>
          <cell r="E255">
            <v>150.80000000000001</v>
          </cell>
          <cell r="F255">
            <v>2760</v>
          </cell>
          <cell r="G255">
            <v>416208</v>
          </cell>
          <cell r="H255">
            <v>150.80000000000001</v>
          </cell>
          <cell r="I255">
            <v>2760</v>
          </cell>
          <cell r="J255">
            <v>416208</v>
          </cell>
          <cell r="M255">
            <v>340808</v>
          </cell>
          <cell r="N255">
            <v>75400</v>
          </cell>
        </row>
        <row r="256">
          <cell r="B256" t="str">
            <v>잔토처리</v>
          </cell>
          <cell r="D256" t="str">
            <v>M3</v>
          </cell>
          <cell r="E256">
            <v>24.64</v>
          </cell>
          <cell r="F256">
            <v>5500</v>
          </cell>
          <cell r="G256">
            <v>135520</v>
          </cell>
          <cell r="H256">
            <v>24.64</v>
          </cell>
          <cell r="I256">
            <v>5500</v>
          </cell>
          <cell r="J256">
            <v>135520</v>
          </cell>
          <cell r="M256">
            <v>135520</v>
          </cell>
          <cell r="N256">
            <v>0</v>
          </cell>
        </row>
        <row r="257">
          <cell r="B257" t="str">
            <v>되메우기</v>
          </cell>
          <cell r="D257" t="str">
            <v>M3</v>
          </cell>
          <cell r="E257">
            <v>121.8</v>
          </cell>
          <cell r="F257">
            <v>6500</v>
          </cell>
          <cell r="G257">
            <v>791700</v>
          </cell>
          <cell r="H257">
            <v>121.8</v>
          </cell>
          <cell r="I257">
            <v>6500</v>
          </cell>
          <cell r="J257">
            <v>791700</v>
          </cell>
          <cell r="M257">
            <v>609000</v>
          </cell>
          <cell r="N257">
            <v>182700</v>
          </cell>
        </row>
        <row r="259">
          <cell r="B259" t="str">
            <v>SUB-TOTAL</v>
          </cell>
          <cell r="G259">
            <v>1343428</v>
          </cell>
          <cell r="J259">
            <v>1343428</v>
          </cell>
          <cell r="M259">
            <v>1085328</v>
          </cell>
          <cell r="N259">
            <v>258100</v>
          </cell>
        </row>
        <row r="261">
          <cell r="A261" t="str">
            <v xml:space="preserve">  3)</v>
          </cell>
          <cell r="B261" t="str">
            <v>지정공사</v>
          </cell>
        </row>
        <row r="262">
          <cell r="B262" t="str">
            <v>잡석지정</v>
          </cell>
          <cell r="D262" t="str">
            <v>M3</v>
          </cell>
          <cell r="E262">
            <v>12</v>
          </cell>
          <cell r="F262">
            <v>16500</v>
          </cell>
          <cell r="G262">
            <v>198000</v>
          </cell>
          <cell r="H262">
            <v>12</v>
          </cell>
          <cell r="I262">
            <v>16500</v>
          </cell>
          <cell r="J262">
            <v>198000</v>
          </cell>
          <cell r="M262">
            <v>144000</v>
          </cell>
          <cell r="N262">
            <v>54000</v>
          </cell>
        </row>
        <row r="263">
          <cell r="B263" t="str">
            <v>PILE 두부보강 및 속채움</v>
          </cell>
          <cell r="D263" t="str">
            <v>NOS</v>
          </cell>
          <cell r="E263">
            <v>6</v>
          </cell>
          <cell r="F263">
            <v>10000</v>
          </cell>
          <cell r="G263">
            <v>60000</v>
          </cell>
          <cell r="H263">
            <v>6</v>
          </cell>
          <cell r="I263">
            <v>10000</v>
          </cell>
          <cell r="J263">
            <v>60000</v>
          </cell>
          <cell r="M263">
            <v>18000</v>
          </cell>
          <cell r="N263">
            <v>42000</v>
          </cell>
        </row>
        <row r="265">
          <cell r="B265" t="str">
            <v>SUB-TOTAL</v>
          </cell>
          <cell r="G265">
            <v>258000</v>
          </cell>
          <cell r="J265">
            <v>258000</v>
          </cell>
          <cell r="M265">
            <v>162000</v>
          </cell>
          <cell r="N265">
            <v>96000</v>
          </cell>
        </row>
        <row r="267">
          <cell r="A267" t="str">
            <v xml:space="preserve">  4)</v>
          </cell>
          <cell r="B267" t="str">
            <v>거푸집 공사</v>
          </cell>
          <cell r="O267" t="str">
            <v xml:space="preserve"> 소운반,</v>
          </cell>
        </row>
        <row r="268">
          <cell r="B268" t="str">
            <v>거푸집</v>
          </cell>
          <cell r="C268" t="str">
            <v>4회</v>
          </cell>
          <cell r="D268" t="str">
            <v>M2</v>
          </cell>
          <cell r="E268">
            <v>95.8</v>
          </cell>
          <cell r="F268">
            <v>21360</v>
          </cell>
          <cell r="G268">
            <v>2046288</v>
          </cell>
          <cell r="H268">
            <v>95.8</v>
          </cell>
          <cell r="I268">
            <v>21360</v>
          </cell>
          <cell r="J268">
            <v>2046288</v>
          </cell>
          <cell r="M268">
            <v>590128</v>
          </cell>
          <cell r="N268">
            <v>1456160</v>
          </cell>
          <cell r="O268" t="str">
            <v xml:space="preserve"> 정리비</v>
          </cell>
        </row>
        <row r="269">
          <cell r="O269" t="str">
            <v xml:space="preserve"> 포  함</v>
          </cell>
        </row>
        <row r="270">
          <cell r="B270" t="str">
            <v>SUB-TOTAL</v>
          </cell>
          <cell r="G270">
            <v>2046288</v>
          </cell>
          <cell r="J270">
            <v>2046288</v>
          </cell>
          <cell r="M270">
            <v>590128</v>
          </cell>
          <cell r="N270">
            <v>1456160</v>
          </cell>
        </row>
        <row r="272">
          <cell r="A272" t="str">
            <v xml:space="preserve">  5)</v>
          </cell>
          <cell r="B272" t="str">
            <v>콘크리트 공사</v>
          </cell>
        </row>
        <row r="273">
          <cell r="B273" t="str">
            <v>CON'C</v>
          </cell>
          <cell r="C273" t="str">
            <v>FC=210KG/㎠</v>
          </cell>
          <cell r="D273" t="str">
            <v>M3</v>
          </cell>
          <cell r="E273">
            <v>5.46</v>
          </cell>
          <cell r="F273">
            <v>50950</v>
          </cell>
          <cell r="G273">
            <v>278187</v>
          </cell>
          <cell r="H273">
            <v>5.46</v>
          </cell>
          <cell r="I273">
            <v>50950</v>
          </cell>
          <cell r="J273">
            <v>278187</v>
          </cell>
          <cell r="M273">
            <v>278187</v>
          </cell>
          <cell r="N273">
            <v>0</v>
          </cell>
        </row>
        <row r="274">
          <cell r="B274" t="str">
            <v>CON'C</v>
          </cell>
          <cell r="C274" t="str">
            <v>FC=135KG/㎠</v>
          </cell>
          <cell r="D274" t="str">
            <v>M3</v>
          </cell>
          <cell r="E274">
            <v>36.729999999999997</v>
          </cell>
          <cell r="F274">
            <v>59770</v>
          </cell>
          <cell r="G274">
            <v>2195352</v>
          </cell>
          <cell r="H274">
            <v>36.729999999999997</v>
          </cell>
          <cell r="I274">
            <v>59770</v>
          </cell>
          <cell r="J274">
            <v>2195352</v>
          </cell>
          <cell r="M274">
            <v>2195352</v>
          </cell>
          <cell r="N274">
            <v>0</v>
          </cell>
        </row>
        <row r="275">
          <cell r="B275" t="str">
            <v>콘크리트 치기</v>
          </cell>
          <cell r="D275" t="str">
            <v>M3</v>
          </cell>
          <cell r="E275">
            <v>40.96</v>
          </cell>
          <cell r="F275">
            <v>11400</v>
          </cell>
          <cell r="G275">
            <v>466944</v>
          </cell>
          <cell r="H275">
            <v>40.96</v>
          </cell>
          <cell r="I275">
            <v>11400</v>
          </cell>
          <cell r="J275">
            <v>466944</v>
          </cell>
          <cell r="M275">
            <v>73728</v>
          </cell>
          <cell r="N275">
            <v>393216</v>
          </cell>
        </row>
        <row r="276">
          <cell r="B276" t="str">
            <v>모래</v>
          </cell>
          <cell r="D276" t="str">
            <v>M3</v>
          </cell>
          <cell r="E276">
            <v>1.8</v>
          </cell>
          <cell r="F276">
            <v>27000</v>
          </cell>
          <cell r="G276">
            <v>48600</v>
          </cell>
          <cell r="H276">
            <v>1.8</v>
          </cell>
          <cell r="I276">
            <v>27000</v>
          </cell>
          <cell r="J276">
            <v>48600</v>
          </cell>
          <cell r="M276">
            <v>39600</v>
          </cell>
          <cell r="N276">
            <v>9000</v>
          </cell>
        </row>
        <row r="277">
          <cell r="B277" t="str">
            <v>GROUT</v>
          </cell>
          <cell r="D277" t="str">
            <v>M3</v>
          </cell>
          <cell r="E277">
            <v>0.31</v>
          </cell>
          <cell r="F277">
            <v>1130800</v>
          </cell>
          <cell r="G277">
            <v>350548</v>
          </cell>
          <cell r="H277">
            <v>0.31</v>
          </cell>
          <cell r="I277">
            <v>1130800</v>
          </cell>
          <cell r="J277">
            <v>350548</v>
          </cell>
          <cell r="M277">
            <v>207700</v>
          </cell>
          <cell r="N277">
            <v>142848</v>
          </cell>
        </row>
        <row r="279">
          <cell r="B279" t="str">
            <v>SUB-TOTAL</v>
          </cell>
          <cell r="G279">
            <v>3339631</v>
          </cell>
          <cell r="J279">
            <v>3339631</v>
          </cell>
          <cell r="M279">
            <v>2794567</v>
          </cell>
          <cell r="N279">
            <v>545064</v>
          </cell>
        </row>
        <row r="281">
          <cell r="A281" t="str">
            <v xml:space="preserve">  6)</v>
          </cell>
          <cell r="B281" t="str">
            <v>철근공사</v>
          </cell>
          <cell r="C281" t="str">
            <v>D10</v>
          </cell>
          <cell r="D281" t="str">
            <v>TON</v>
          </cell>
          <cell r="E281">
            <v>7.0000000000000007E-2</v>
          </cell>
          <cell r="F281">
            <v>310000</v>
          </cell>
          <cell r="G281">
            <v>21700</v>
          </cell>
          <cell r="H281">
            <v>7.0000000000000007E-2</v>
          </cell>
          <cell r="I281">
            <v>310000</v>
          </cell>
          <cell r="J281">
            <v>21700</v>
          </cell>
          <cell r="M281">
            <v>21700</v>
          </cell>
          <cell r="N281">
            <v>0</v>
          </cell>
        </row>
        <row r="282">
          <cell r="C282" t="str">
            <v>D19</v>
          </cell>
          <cell r="D282" t="str">
            <v>TON</v>
          </cell>
          <cell r="E282">
            <v>0.09</v>
          </cell>
          <cell r="F282">
            <v>310000</v>
          </cell>
          <cell r="G282">
            <v>27900</v>
          </cell>
          <cell r="H282">
            <v>0.09</v>
          </cell>
          <cell r="I282">
            <v>310000</v>
          </cell>
          <cell r="J282">
            <v>27900</v>
          </cell>
          <cell r="M282">
            <v>27900</v>
          </cell>
          <cell r="N282">
            <v>0</v>
          </cell>
        </row>
        <row r="283">
          <cell r="B283" t="str">
            <v>RE-BAR FORMING</v>
          </cell>
          <cell r="D283" t="str">
            <v>TON</v>
          </cell>
          <cell r="E283">
            <v>0.16</v>
          </cell>
          <cell r="F283">
            <v>227000</v>
          </cell>
          <cell r="G283">
            <v>36320</v>
          </cell>
          <cell r="H283">
            <v>0.16</v>
          </cell>
          <cell r="I283">
            <v>227000</v>
          </cell>
          <cell r="J283">
            <v>36320</v>
          </cell>
          <cell r="M283">
            <v>1920</v>
          </cell>
          <cell r="N283">
            <v>34400</v>
          </cell>
        </row>
        <row r="284">
          <cell r="B284" t="str">
            <v>와이어 메쉬</v>
          </cell>
          <cell r="D284" t="str">
            <v>M2</v>
          </cell>
          <cell r="E284">
            <v>59.37</v>
          </cell>
          <cell r="F284">
            <v>1800</v>
          </cell>
          <cell r="G284">
            <v>106866</v>
          </cell>
          <cell r="H284">
            <v>59.37</v>
          </cell>
          <cell r="I284">
            <v>1800</v>
          </cell>
          <cell r="J284">
            <v>106866</v>
          </cell>
          <cell r="M284">
            <v>71244</v>
          </cell>
          <cell r="N284">
            <v>35622</v>
          </cell>
        </row>
        <row r="286">
          <cell r="B286" t="str">
            <v>SUB-TOTAL</v>
          </cell>
          <cell r="G286">
            <v>192786</v>
          </cell>
          <cell r="J286">
            <v>192786</v>
          </cell>
          <cell r="M286">
            <v>122764</v>
          </cell>
          <cell r="N286">
            <v>70022</v>
          </cell>
        </row>
        <row r="288">
          <cell r="A288" t="str">
            <v xml:space="preserve">  7)</v>
          </cell>
          <cell r="B288" t="str">
            <v>방수공사</v>
          </cell>
        </row>
        <row r="289">
          <cell r="B289" t="str">
            <v>액체방수</v>
          </cell>
          <cell r="C289" t="str">
            <v>2회</v>
          </cell>
          <cell r="D289" t="str">
            <v>M2</v>
          </cell>
          <cell r="E289">
            <v>12.4</v>
          </cell>
          <cell r="F289">
            <v>9590</v>
          </cell>
          <cell r="G289">
            <v>118916</v>
          </cell>
          <cell r="H289">
            <v>12.4</v>
          </cell>
          <cell r="I289">
            <v>9590</v>
          </cell>
          <cell r="J289">
            <v>118916</v>
          </cell>
          <cell r="M289">
            <v>13516</v>
          </cell>
          <cell r="N289">
            <v>105400</v>
          </cell>
        </row>
        <row r="290">
          <cell r="B290" t="str">
            <v>P.E FILM</v>
          </cell>
          <cell r="C290" t="str">
            <v>T=0.08</v>
          </cell>
          <cell r="D290" t="str">
            <v>M2</v>
          </cell>
          <cell r="E290">
            <v>66</v>
          </cell>
          <cell r="F290">
            <v>372</v>
          </cell>
          <cell r="G290">
            <v>24552</v>
          </cell>
          <cell r="H290">
            <v>66</v>
          </cell>
          <cell r="I290">
            <v>372</v>
          </cell>
          <cell r="J290">
            <v>24552</v>
          </cell>
          <cell r="M290">
            <v>4752</v>
          </cell>
          <cell r="N290">
            <v>19800</v>
          </cell>
        </row>
        <row r="292">
          <cell r="B292" t="str">
            <v>SUB-TOTAL</v>
          </cell>
          <cell r="G292">
            <v>143468</v>
          </cell>
          <cell r="J292">
            <v>143468</v>
          </cell>
          <cell r="M292">
            <v>18268</v>
          </cell>
          <cell r="N292">
            <v>125200</v>
          </cell>
        </row>
        <row r="294">
          <cell r="A294" t="str">
            <v xml:space="preserve">  8)</v>
          </cell>
          <cell r="B294" t="str">
            <v>도장공사</v>
          </cell>
        </row>
        <row r="295">
          <cell r="B295" t="str">
            <v>수성페인트 &amp; HARDNER</v>
          </cell>
          <cell r="C295" t="str">
            <v>3회</v>
          </cell>
          <cell r="D295" t="str">
            <v>M2</v>
          </cell>
          <cell r="E295">
            <v>541.5</v>
          </cell>
          <cell r="F295">
            <v>5200</v>
          </cell>
          <cell r="G295">
            <v>2815800</v>
          </cell>
          <cell r="H295">
            <v>541.5</v>
          </cell>
          <cell r="I295">
            <v>5200</v>
          </cell>
          <cell r="J295">
            <v>2815800</v>
          </cell>
          <cell r="M295">
            <v>1083000</v>
          </cell>
          <cell r="N295">
            <v>1732800</v>
          </cell>
        </row>
        <row r="296">
          <cell r="B296" t="str">
            <v>광명단</v>
          </cell>
          <cell r="C296" t="str">
            <v>2회</v>
          </cell>
          <cell r="D296" t="str">
            <v>M2</v>
          </cell>
          <cell r="E296">
            <v>268.8</v>
          </cell>
          <cell r="F296">
            <v>4000</v>
          </cell>
          <cell r="G296">
            <v>1075200</v>
          </cell>
          <cell r="H296">
            <v>268.8</v>
          </cell>
          <cell r="I296">
            <v>4000</v>
          </cell>
          <cell r="J296">
            <v>1075200</v>
          </cell>
          <cell r="M296">
            <v>403200</v>
          </cell>
          <cell r="N296">
            <v>672000</v>
          </cell>
        </row>
        <row r="297">
          <cell r="B297" t="str">
            <v>유성페인트</v>
          </cell>
          <cell r="C297" t="str">
            <v>2회(중도)</v>
          </cell>
          <cell r="D297" t="str">
            <v>M2</v>
          </cell>
          <cell r="E297">
            <v>268.8</v>
          </cell>
          <cell r="F297">
            <v>4000</v>
          </cell>
          <cell r="G297">
            <v>1075200</v>
          </cell>
          <cell r="H297">
            <v>268.8</v>
          </cell>
          <cell r="I297">
            <v>4000</v>
          </cell>
          <cell r="J297">
            <v>1075200</v>
          </cell>
          <cell r="M297">
            <v>403200</v>
          </cell>
          <cell r="N297">
            <v>672000</v>
          </cell>
        </row>
        <row r="298">
          <cell r="B298" t="str">
            <v>유성페인트</v>
          </cell>
          <cell r="C298" t="str">
            <v>2회(상도)</v>
          </cell>
          <cell r="D298" t="str">
            <v>M2</v>
          </cell>
          <cell r="E298">
            <v>268.8</v>
          </cell>
          <cell r="F298">
            <v>4000</v>
          </cell>
          <cell r="G298">
            <v>1075200</v>
          </cell>
          <cell r="H298">
            <v>268.8</v>
          </cell>
          <cell r="I298">
            <v>4000</v>
          </cell>
          <cell r="J298">
            <v>1075200</v>
          </cell>
          <cell r="M298">
            <v>403200</v>
          </cell>
          <cell r="N298">
            <v>672000</v>
          </cell>
        </row>
        <row r="300">
          <cell r="B300" t="str">
            <v>SUB-TOTAL</v>
          </cell>
          <cell r="G300">
            <v>6041400</v>
          </cell>
          <cell r="J300">
            <v>6041400</v>
          </cell>
          <cell r="M300">
            <v>2292600</v>
          </cell>
          <cell r="N300">
            <v>3748800</v>
          </cell>
        </row>
        <row r="302">
          <cell r="A302" t="str">
            <v xml:space="preserve">  9)</v>
          </cell>
          <cell r="B302" t="str">
            <v>철골공사</v>
          </cell>
        </row>
        <row r="303">
          <cell r="B303" t="str">
            <v>H-250*250*9*14</v>
          </cell>
          <cell r="D303" t="str">
            <v>TON</v>
          </cell>
          <cell r="E303">
            <v>1.8</v>
          </cell>
          <cell r="F303">
            <v>400000</v>
          </cell>
          <cell r="G303">
            <v>720000</v>
          </cell>
          <cell r="H303">
            <v>1.8</v>
          </cell>
          <cell r="I303">
            <v>400000</v>
          </cell>
          <cell r="J303">
            <v>720000</v>
          </cell>
          <cell r="M303">
            <v>720000</v>
          </cell>
          <cell r="N303">
            <v>0</v>
          </cell>
        </row>
        <row r="304">
          <cell r="B304" t="str">
            <v>H-244*175*7*11</v>
          </cell>
          <cell r="D304" t="str">
            <v>TON</v>
          </cell>
          <cell r="E304">
            <v>1.2</v>
          </cell>
          <cell r="F304">
            <v>400000</v>
          </cell>
          <cell r="G304">
            <v>480000</v>
          </cell>
          <cell r="H304">
            <v>1.2</v>
          </cell>
          <cell r="I304">
            <v>400000</v>
          </cell>
          <cell r="J304">
            <v>480000</v>
          </cell>
          <cell r="M304">
            <v>480000</v>
          </cell>
          <cell r="N304">
            <v>0</v>
          </cell>
        </row>
        <row r="305">
          <cell r="B305" t="str">
            <v>H-200*100*5.5*8</v>
          </cell>
          <cell r="D305" t="str">
            <v>TON</v>
          </cell>
          <cell r="E305">
            <v>0.3</v>
          </cell>
          <cell r="F305">
            <v>400000</v>
          </cell>
          <cell r="G305">
            <v>120000</v>
          </cell>
          <cell r="H305">
            <v>0.3</v>
          </cell>
          <cell r="I305">
            <v>400000</v>
          </cell>
          <cell r="J305">
            <v>120000</v>
          </cell>
          <cell r="M305">
            <v>120000</v>
          </cell>
          <cell r="N305">
            <v>0</v>
          </cell>
        </row>
        <row r="306">
          <cell r="B306" t="str">
            <v>H-294*200*8*12</v>
          </cell>
          <cell r="D306" t="str">
            <v>TON</v>
          </cell>
          <cell r="E306">
            <v>1.1000000000000001</v>
          </cell>
          <cell r="F306">
            <v>400000</v>
          </cell>
          <cell r="G306">
            <v>440000</v>
          </cell>
          <cell r="H306">
            <v>1.1000000000000001</v>
          </cell>
          <cell r="I306">
            <v>400000</v>
          </cell>
          <cell r="J306">
            <v>440000</v>
          </cell>
          <cell r="M306">
            <v>440000</v>
          </cell>
          <cell r="N306">
            <v>0</v>
          </cell>
        </row>
        <row r="307">
          <cell r="B307" t="str">
            <v>C-150*75*25*3.2</v>
          </cell>
          <cell r="D307" t="str">
            <v>TON</v>
          </cell>
          <cell r="E307">
            <v>1.21</v>
          </cell>
          <cell r="F307">
            <v>400000</v>
          </cell>
          <cell r="G307">
            <v>484000</v>
          </cell>
          <cell r="H307">
            <v>1.21</v>
          </cell>
          <cell r="I307">
            <v>400000</v>
          </cell>
          <cell r="J307">
            <v>484000</v>
          </cell>
          <cell r="M307">
            <v>484000</v>
          </cell>
          <cell r="N307">
            <v>0</v>
          </cell>
        </row>
        <row r="308">
          <cell r="B308" t="str">
            <v>C-100*50*20*3.2</v>
          </cell>
          <cell r="D308" t="str">
            <v>TON</v>
          </cell>
          <cell r="E308">
            <v>0.5</v>
          </cell>
          <cell r="F308">
            <v>400000</v>
          </cell>
          <cell r="G308">
            <v>200000</v>
          </cell>
          <cell r="H308">
            <v>0.5</v>
          </cell>
          <cell r="I308">
            <v>400000</v>
          </cell>
          <cell r="J308">
            <v>200000</v>
          </cell>
          <cell r="M308">
            <v>200000</v>
          </cell>
          <cell r="N308">
            <v>0</v>
          </cell>
        </row>
        <row r="309">
          <cell r="B309" t="str">
            <v>L-75*75*6</v>
          </cell>
          <cell r="D309" t="str">
            <v>TON</v>
          </cell>
          <cell r="E309">
            <v>0.12</v>
          </cell>
          <cell r="F309">
            <v>360000</v>
          </cell>
          <cell r="G309">
            <v>43200</v>
          </cell>
          <cell r="H309">
            <v>0.12</v>
          </cell>
          <cell r="I309">
            <v>360000</v>
          </cell>
          <cell r="J309">
            <v>43200</v>
          </cell>
          <cell r="M309">
            <v>43200</v>
          </cell>
          <cell r="N309">
            <v>0</v>
          </cell>
        </row>
        <row r="310">
          <cell r="B310" t="str">
            <v>I-300*150*8*13</v>
          </cell>
          <cell r="D310" t="str">
            <v>TON</v>
          </cell>
          <cell r="E310">
            <v>0.44</v>
          </cell>
          <cell r="F310">
            <v>800000</v>
          </cell>
          <cell r="G310">
            <v>352000</v>
          </cell>
          <cell r="H310">
            <v>0.44</v>
          </cell>
          <cell r="I310">
            <v>800000</v>
          </cell>
          <cell r="J310">
            <v>352000</v>
          </cell>
          <cell r="M310">
            <v>352000</v>
          </cell>
          <cell r="N310">
            <v>0</v>
          </cell>
        </row>
        <row r="311">
          <cell r="B311" t="str">
            <v>STEEL PLATE</v>
          </cell>
          <cell r="D311" t="str">
            <v>TON</v>
          </cell>
          <cell r="E311">
            <v>0.71</v>
          </cell>
          <cell r="F311">
            <v>380000</v>
          </cell>
          <cell r="G311">
            <v>269800</v>
          </cell>
          <cell r="H311">
            <v>0.71</v>
          </cell>
          <cell r="I311">
            <v>380000</v>
          </cell>
          <cell r="J311">
            <v>269800</v>
          </cell>
          <cell r="M311">
            <v>269800</v>
          </cell>
          <cell r="N311">
            <v>0</v>
          </cell>
        </row>
        <row r="312">
          <cell r="B312" t="str">
            <v>BASE PLATE</v>
          </cell>
          <cell r="D312" t="str">
            <v>TON</v>
          </cell>
          <cell r="E312">
            <v>0.09</v>
          </cell>
          <cell r="F312">
            <v>380000</v>
          </cell>
          <cell r="G312">
            <v>34200</v>
          </cell>
          <cell r="H312">
            <v>0.09</v>
          </cell>
          <cell r="I312">
            <v>380000</v>
          </cell>
          <cell r="J312">
            <v>34200</v>
          </cell>
          <cell r="M312">
            <v>34200</v>
          </cell>
          <cell r="N312">
            <v>0</v>
          </cell>
        </row>
        <row r="313">
          <cell r="B313" t="str">
            <v>STEEL FORMING</v>
          </cell>
          <cell r="D313" t="str">
            <v>TON</v>
          </cell>
          <cell r="E313">
            <v>7.51</v>
          </cell>
          <cell r="F313">
            <v>430000</v>
          </cell>
          <cell r="G313">
            <v>3229300</v>
          </cell>
          <cell r="H313">
            <v>7.51</v>
          </cell>
          <cell r="I313">
            <v>430000</v>
          </cell>
          <cell r="J313">
            <v>3229300</v>
          </cell>
          <cell r="M313">
            <v>225300</v>
          </cell>
          <cell r="N313">
            <v>3004000</v>
          </cell>
        </row>
        <row r="314">
          <cell r="B314" t="str">
            <v>STEEL ERECTION</v>
          </cell>
          <cell r="D314" t="str">
            <v>TON</v>
          </cell>
          <cell r="E314">
            <v>7.51</v>
          </cell>
          <cell r="F314">
            <v>140000</v>
          </cell>
          <cell r="G314">
            <v>1051400</v>
          </cell>
          <cell r="H314">
            <v>7.51</v>
          </cell>
          <cell r="I314">
            <v>140000</v>
          </cell>
          <cell r="J314">
            <v>1051400</v>
          </cell>
          <cell r="M314">
            <v>300400</v>
          </cell>
          <cell r="N314">
            <v>751000</v>
          </cell>
        </row>
        <row r="315">
          <cell r="B315" t="str">
            <v>H.T.B</v>
          </cell>
          <cell r="D315" t="str">
            <v>TON</v>
          </cell>
          <cell r="E315">
            <v>322</v>
          </cell>
          <cell r="F315">
            <v>460</v>
          </cell>
          <cell r="G315">
            <v>148120</v>
          </cell>
          <cell r="H315">
            <v>322</v>
          </cell>
          <cell r="I315">
            <v>460</v>
          </cell>
          <cell r="J315">
            <v>148120</v>
          </cell>
          <cell r="M315">
            <v>148120</v>
          </cell>
          <cell r="N315">
            <v>0</v>
          </cell>
        </row>
        <row r="316">
          <cell r="B316" t="str">
            <v>COMMON BOLT</v>
          </cell>
          <cell r="D316" t="str">
            <v>TON</v>
          </cell>
          <cell r="E316">
            <v>120</v>
          </cell>
          <cell r="F316">
            <v>460</v>
          </cell>
          <cell r="G316">
            <v>55200</v>
          </cell>
          <cell r="H316">
            <v>120</v>
          </cell>
          <cell r="I316">
            <v>460</v>
          </cell>
          <cell r="J316">
            <v>55200</v>
          </cell>
          <cell r="M316">
            <v>55200</v>
          </cell>
          <cell r="N316">
            <v>0</v>
          </cell>
        </row>
        <row r="317">
          <cell r="B317" t="str">
            <v>ANCHOR BOLT</v>
          </cell>
          <cell r="C317" t="str">
            <v>M22</v>
          </cell>
          <cell r="D317" t="str">
            <v>SET</v>
          </cell>
          <cell r="E317">
            <v>24</v>
          </cell>
          <cell r="F317">
            <v>9500</v>
          </cell>
          <cell r="G317">
            <v>228000</v>
          </cell>
          <cell r="H317">
            <v>24</v>
          </cell>
          <cell r="I317">
            <v>9500</v>
          </cell>
          <cell r="J317">
            <v>228000</v>
          </cell>
          <cell r="M317">
            <v>36000</v>
          </cell>
          <cell r="N317">
            <v>192000</v>
          </cell>
        </row>
        <row r="319">
          <cell r="B319" t="str">
            <v>SUB-TOTAL</v>
          </cell>
          <cell r="G319">
            <v>7855220</v>
          </cell>
          <cell r="J319">
            <v>7855220</v>
          </cell>
          <cell r="M319">
            <v>3908220</v>
          </cell>
          <cell r="N319">
            <v>3947000</v>
          </cell>
        </row>
        <row r="321">
          <cell r="A321" t="str">
            <v xml:space="preserve"> 10)</v>
          </cell>
          <cell r="B321" t="str">
            <v>창호공사</v>
          </cell>
        </row>
        <row r="322">
          <cell r="B322" t="str">
            <v>방화문</v>
          </cell>
          <cell r="C322" t="str">
            <v>2.4*3.1</v>
          </cell>
          <cell r="D322" t="str">
            <v>M2</v>
          </cell>
          <cell r="E322">
            <v>7.44</v>
          </cell>
          <cell r="F322">
            <v>1029000</v>
          </cell>
          <cell r="G322">
            <v>7655760</v>
          </cell>
          <cell r="H322">
            <v>7.44</v>
          </cell>
          <cell r="I322">
            <v>1029000</v>
          </cell>
          <cell r="J322">
            <v>7655760</v>
          </cell>
          <cell r="M322">
            <v>4754160</v>
          </cell>
          <cell r="N322">
            <v>2901600</v>
          </cell>
        </row>
        <row r="323">
          <cell r="B323" t="str">
            <v>실리콘 코킹</v>
          </cell>
          <cell r="D323" t="str">
            <v>M</v>
          </cell>
          <cell r="E323">
            <v>23.9</v>
          </cell>
          <cell r="F323">
            <v>3680</v>
          </cell>
          <cell r="G323">
            <v>87952</v>
          </cell>
          <cell r="H323">
            <v>23.9</v>
          </cell>
          <cell r="I323">
            <v>3680</v>
          </cell>
          <cell r="J323">
            <v>87952</v>
          </cell>
          <cell r="M323">
            <v>23422</v>
          </cell>
          <cell r="N323">
            <v>64530</v>
          </cell>
        </row>
        <row r="325">
          <cell r="B325" t="str">
            <v>SUB-TOTAL</v>
          </cell>
          <cell r="G325">
            <v>7743712</v>
          </cell>
          <cell r="J325">
            <v>7743712</v>
          </cell>
          <cell r="M325">
            <v>4777582</v>
          </cell>
          <cell r="N325">
            <v>2966130</v>
          </cell>
        </row>
        <row r="327">
          <cell r="A327" t="str">
            <v xml:space="preserve"> 11)</v>
          </cell>
          <cell r="B327" t="str">
            <v>지붕공사</v>
          </cell>
        </row>
        <row r="328">
          <cell r="B328" t="str">
            <v>ARCHILIGHT</v>
          </cell>
          <cell r="C328" t="str">
            <v>T=6</v>
          </cell>
          <cell r="D328" t="str">
            <v>M2</v>
          </cell>
          <cell r="E328">
            <v>17.760000000000002</v>
          </cell>
          <cell r="F328">
            <v>52950</v>
          </cell>
          <cell r="G328">
            <v>940392</v>
          </cell>
          <cell r="H328">
            <v>17.760000000000002</v>
          </cell>
          <cell r="I328">
            <v>52950</v>
          </cell>
          <cell r="J328">
            <v>940392</v>
          </cell>
          <cell r="M328">
            <v>727272</v>
          </cell>
          <cell r="N328">
            <v>213120</v>
          </cell>
        </row>
        <row r="329">
          <cell r="B329" t="str">
            <v>ROOF DRAIN(ST'L)</v>
          </cell>
          <cell r="C329" t="str">
            <v>φ75</v>
          </cell>
          <cell r="D329" t="str">
            <v>NOS</v>
          </cell>
          <cell r="E329">
            <v>4</v>
          </cell>
          <cell r="F329">
            <v>16000</v>
          </cell>
          <cell r="G329">
            <v>64000</v>
          </cell>
          <cell r="H329">
            <v>4</v>
          </cell>
          <cell r="I329">
            <v>16000</v>
          </cell>
          <cell r="J329">
            <v>64000</v>
          </cell>
          <cell r="M329">
            <v>12000</v>
          </cell>
          <cell r="N329">
            <v>52000</v>
          </cell>
        </row>
        <row r="330">
          <cell r="B330" t="str">
            <v>GUTTER W/GUT.HOLDER   200*200*0.7T</v>
          </cell>
          <cell r="D330" t="str">
            <v>M</v>
          </cell>
          <cell r="E330">
            <v>20</v>
          </cell>
          <cell r="F330">
            <v>32960</v>
          </cell>
          <cell r="G330">
            <v>659200</v>
          </cell>
          <cell r="H330">
            <v>20</v>
          </cell>
          <cell r="I330">
            <v>32960</v>
          </cell>
          <cell r="J330">
            <v>659200</v>
          </cell>
          <cell r="M330">
            <v>407200</v>
          </cell>
          <cell r="N330">
            <v>252000</v>
          </cell>
        </row>
        <row r="331">
          <cell r="B331" t="str">
            <v>스틸 파이프</v>
          </cell>
          <cell r="C331" t="str">
            <v>φ75</v>
          </cell>
          <cell r="D331" t="str">
            <v>M</v>
          </cell>
          <cell r="E331">
            <v>18</v>
          </cell>
          <cell r="F331">
            <v>125700</v>
          </cell>
          <cell r="G331">
            <v>2262600</v>
          </cell>
          <cell r="H331">
            <v>18</v>
          </cell>
          <cell r="I331">
            <v>125700</v>
          </cell>
          <cell r="J331">
            <v>2262600</v>
          </cell>
          <cell r="M331">
            <v>1902600</v>
          </cell>
          <cell r="N331">
            <v>360000</v>
          </cell>
        </row>
        <row r="332">
          <cell r="B332" t="str">
            <v>무동력 FAN</v>
          </cell>
          <cell r="C332" t="str">
            <v>φ450</v>
          </cell>
          <cell r="D332" t="str">
            <v>NOS</v>
          </cell>
          <cell r="E332">
            <v>1</v>
          </cell>
          <cell r="F332">
            <v>240000</v>
          </cell>
          <cell r="G332">
            <v>240000</v>
          </cell>
          <cell r="H332">
            <v>1</v>
          </cell>
          <cell r="I332">
            <v>240000</v>
          </cell>
          <cell r="J332">
            <v>240000</v>
          </cell>
          <cell r="M332">
            <v>180000</v>
          </cell>
          <cell r="N332">
            <v>60000</v>
          </cell>
        </row>
        <row r="333">
          <cell r="B333" t="str">
            <v>SPLASH BLOCK</v>
          </cell>
          <cell r="C333" t="str">
            <v>300*200*500</v>
          </cell>
          <cell r="D333" t="str">
            <v>NOS</v>
          </cell>
          <cell r="E333">
            <v>4</v>
          </cell>
          <cell r="F333">
            <v>13000</v>
          </cell>
          <cell r="G333">
            <v>52000</v>
          </cell>
          <cell r="H333">
            <v>4</v>
          </cell>
          <cell r="I333">
            <v>13000</v>
          </cell>
          <cell r="J333">
            <v>52000</v>
          </cell>
          <cell r="M333">
            <v>40000</v>
          </cell>
          <cell r="N333">
            <v>12000</v>
          </cell>
        </row>
        <row r="334">
          <cell r="B334" t="str">
            <v>AL. LOUVER</v>
          </cell>
          <cell r="D334" t="str">
            <v>M2</v>
          </cell>
          <cell r="E334">
            <v>5.49</v>
          </cell>
          <cell r="F334">
            <v>141000</v>
          </cell>
          <cell r="G334">
            <v>774090</v>
          </cell>
          <cell r="H334">
            <v>5.49</v>
          </cell>
          <cell r="I334">
            <v>141000</v>
          </cell>
          <cell r="J334">
            <v>774090</v>
          </cell>
          <cell r="M334">
            <v>538020</v>
          </cell>
          <cell r="N334">
            <v>236070</v>
          </cell>
        </row>
        <row r="335">
          <cell r="B335" t="str">
            <v>APM V-225</v>
          </cell>
          <cell r="C335">
            <v>0.75</v>
          </cell>
          <cell r="D335" t="str">
            <v>M2</v>
          </cell>
          <cell r="E335">
            <v>72</v>
          </cell>
          <cell r="F335">
            <v>56160</v>
          </cell>
          <cell r="G335">
            <v>4043520</v>
          </cell>
          <cell r="H335">
            <v>72</v>
          </cell>
          <cell r="I335">
            <v>56160</v>
          </cell>
          <cell r="J335">
            <v>4043520</v>
          </cell>
          <cell r="M335">
            <v>2617920</v>
          </cell>
          <cell r="N335">
            <v>1425600</v>
          </cell>
        </row>
        <row r="336">
          <cell r="B336" t="str">
            <v>APM V-115</v>
          </cell>
          <cell r="C336">
            <v>0.75</v>
          </cell>
          <cell r="D336" t="str">
            <v>M2</v>
          </cell>
          <cell r="E336">
            <v>118</v>
          </cell>
          <cell r="F336">
            <v>37160</v>
          </cell>
          <cell r="G336">
            <v>4384880</v>
          </cell>
          <cell r="H336">
            <v>118</v>
          </cell>
          <cell r="I336">
            <v>37160</v>
          </cell>
          <cell r="J336">
            <v>4384880</v>
          </cell>
          <cell r="M336">
            <v>3252080</v>
          </cell>
          <cell r="N336">
            <v>1132800</v>
          </cell>
        </row>
        <row r="338">
          <cell r="B338" t="str">
            <v>SUB-TOTAL</v>
          </cell>
          <cell r="G338">
            <v>13420682</v>
          </cell>
          <cell r="J338">
            <v>13420682</v>
          </cell>
          <cell r="M338">
            <v>9677092</v>
          </cell>
          <cell r="N338">
            <v>3743590</v>
          </cell>
        </row>
        <row r="340">
          <cell r="A340" t="str">
            <v xml:space="preserve"> 12)</v>
          </cell>
          <cell r="B340" t="str">
            <v>조적공사</v>
          </cell>
        </row>
        <row r="341">
          <cell r="B341" t="str">
            <v>6" BLOCK 쌓기</v>
          </cell>
          <cell r="C341" t="str">
            <v>보강쌓기</v>
          </cell>
          <cell r="D341" t="str">
            <v>M2</v>
          </cell>
          <cell r="E341">
            <v>28</v>
          </cell>
          <cell r="F341">
            <v>35500</v>
          </cell>
          <cell r="G341">
            <v>994000</v>
          </cell>
          <cell r="H341">
            <v>28</v>
          </cell>
          <cell r="I341">
            <v>35500</v>
          </cell>
          <cell r="J341">
            <v>994000</v>
          </cell>
          <cell r="M341">
            <v>294000</v>
          </cell>
          <cell r="N341">
            <v>700000</v>
          </cell>
        </row>
        <row r="342">
          <cell r="B342" t="str">
            <v>몰탈 바르기</v>
          </cell>
          <cell r="C342" t="str">
            <v>THK18</v>
          </cell>
          <cell r="D342" t="str">
            <v>M2</v>
          </cell>
          <cell r="E342">
            <v>48</v>
          </cell>
          <cell r="F342">
            <v>8500</v>
          </cell>
          <cell r="G342">
            <v>408000</v>
          </cell>
          <cell r="H342">
            <v>48</v>
          </cell>
          <cell r="I342">
            <v>8500</v>
          </cell>
          <cell r="J342">
            <v>408000</v>
          </cell>
          <cell r="M342">
            <v>43200</v>
          </cell>
          <cell r="N342">
            <v>364800</v>
          </cell>
        </row>
        <row r="344">
          <cell r="B344" t="str">
            <v>SUB-TOTAL</v>
          </cell>
          <cell r="G344">
            <v>1402000</v>
          </cell>
          <cell r="J344">
            <v>1402000</v>
          </cell>
          <cell r="M344">
            <v>337200</v>
          </cell>
          <cell r="N344">
            <v>1064800</v>
          </cell>
        </row>
        <row r="346">
          <cell r="B346" t="str">
            <v>T O T A L</v>
          </cell>
          <cell r="G346">
            <v>44079308</v>
          </cell>
          <cell r="J346">
            <v>44079308</v>
          </cell>
          <cell r="M346">
            <v>25786528</v>
          </cell>
          <cell r="N346">
            <v>18292780</v>
          </cell>
        </row>
        <row r="364">
          <cell r="A364" t="str">
            <v xml:space="preserve">  4.</v>
          </cell>
          <cell r="B364" t="str">
            <v>#300 PLOY. STR.</v>
          </cell>
        </row>
        <row r="366">
          <cell r="A366" t="str">
            <v xml:space="preserve">  1)</v>
          </cell>
          <cell r="B366" t="str">
            <v>토공사</v>
          </cell>
        </row>
        <row r="367">
          <cell r="B367" t="str">
            <v>터파기</v>
          </cell>
          <cell r="D367" t="str">
            <v>M3</v>
          </cell>
          <cell r="E367">
            <v>473</v>
          </cell>
          <cell r="F367">
            <v>0</v>
          </cell>
          <cell r="G367">
            <v>0</v>
          </cell>
          <cell r="H367">
            <v>473</v>
          </cell>
          <cell r="I367">
            <v>0</v>
          </cell>
          <cell r="J367">
            <v>0</v>
          </cell>
          <cell r="M367">
            <v>0</v>
          </cell>
          <cell r="N367">
            <v>0</v>
          </cell>
          <cell r="O367" t="str">
            <v xml:space="preserve"> 제외</v>
          </cell>
        </row>
        <row r="368">
          <cell r="B368" t="str">
            <v>잔토처리</v>
          </cell>
          <cell r="D368" t="str">
            <v>M3</v>
          </cell>
          <cell r="E368">
            <v>96</v>
          </cell>
          <cell r="F368">
            <v>0</v>
          </cell>
          <cell r="G368">
            <v>0</v>
          </cell>
          <cell r="H368">
            <v>96</v>
          </cell>
          <cell r="I368">
            <v>0</v>
          </cell>
          <cell r="J368">
            <v>0</v>
          </cell>
          <cell r="M368">
            <v>0</v>
          </cell>
          <cell r="N368">
            <v>0</v>
          </cell>
          <cell r="O368" t="str">
            <v xml:space="preserve"> 제외</v>
          </cell>
        </row>
        <row r="369">
          <cell r="B369" t="str">
            <v>되메우기</v>
          </cell>
          <cell r="D369" t="str">
            <v>M3</v>
          </cell>
          <cell r="E369">
            <v>399</v>
          </cell>
          <cell r="F369">
            <v>5700</v>
          </cell>
          <cell r="G369">
            <v>2274300</v>
          </cell>
          <cell r="H369">
            <v>399</v>
          </cell>
          <cell r="I369">
            <v>5700</v>
          </cell>
          <cell r="J369">
            <v>2274300</v>
          </cell>
          <cell r="M369">
            <v>1675800</v>
          </cell>
          <cell r="N369">
            <v>598500</v>
          </cell>
        </row>
        <row r="371">
          <cell r="B371" t="str">
            <v>SUB-TOTAL</v>
          </cell>
          <cell r="G371">
            <v>2274300</v>
          </cell>
          <cell r="J371">
            <v>2274300</v>
          </cell>
          <cell r="M371">
            <v>1675800</v>
          </cell>
          <cell r="N371">
            <v>598500</v>
          </cell>
        </row>
        <row r="373">
          <cell r="A373" t="str">
            <v xml:space="preserve">  2)</v>
          </cell>
          <cell r="B373" t="str">
            <v>콘크리트 공사</v>
          </cell>
        </row>
        <row r="374">
          <cell r="B374" t="str">
            <v>CON'C</v>
          </cell>
          <cell r="C374" t="str">
            <v>FC=135KG/㎠</v>
          </cell>
          <cell r="D374" t="str">
            <v>M3</v>
          </cell>
          <cell r="E374">
            <v>7.7</v>
          </cell>
          <cell r="F374">
            <v>50900</v>
          </cell>
          <cell r="G374">
            <v>391930</v>
          </cell>
          <cell r="H374">
            <v>7.7</v>
          </cell>
          <cell r="I374">
            <v>50900</v>
          </cell>
          <cell r="J374">
            <v>391930</v>
          </cell>
          <cell r="M374">
            <v>391930</v>
          </cell>
          <cell r="N374">
            <v>0</v>
          </cell>
        </row>
        <row r="375">
          <cell r="C375" t="str">
            <v>FC=210KG/㎠</v>
          </cell>
          <cell r="D375" t="str">
            <v>M3</v>
          </cell>
          <cell r="E375">
            <v>100.1</v>
          </cell>
          <cell r="F375">
            <v>59770</v>
          </cell>
          <cell r="G375">
            <v>5982977</v>
          </cell>
          <cell r="H375">
            <v>100.1</v>
          </cell>
          <cell r="I375">
            <v>59770</v>
          </cell>
          <cell r="J375">
            <v>5982977</v>
          </cell>
          <cell r="M375">
            <v>5982977</v>
          </cell>
          <cell r="N375">
            <v>0</v>
          </cell>
        </row>
        <row r="376">
          <cell r="B376" t="str">
            <v>콘크리트 치기</v>
          </cell>
          <cell r="D376" t="str">
            <v>M3</v>
          </cell>
          <cell r="E376">
            <v>104.7</v>
          </cell>
          <cell r="F376">
            <v>11400</v>
          </cell>
          <cell r="G376">
            <v>1193580</v>
          </cell>
          <cell r="H376">
            <v>104.7</v>
          </cell>
          <cell r="I376">
            <v>11400</v>
          </cell>
          <cell r="J376">
            <v>1193580</v>
          </cell>
          <cell r="M376">
            <v>188460</v>
          </cell>
          <cell r="N376">
            <v>1005120</v>
          </cell>
        </row>
        <row r="377">
          <cell r="B377" t="str">
            <v>GROUT</v>
          </cell>
          <cell r="D377" t="str">
            <v>M3</v>
          </cell>
          <cell r="E377">
            <v>2.5</v>
          </cell>
          <cell r="F377">
            <v>1130800</v>
          </cell>
          <cell r="G377">
            <v>2827000</v>
          </cell>
          <cell r="H377">
            <v>2.5</v>
          </cell>
          <cell r="I377">
            <v>1130800</v>
          </cell>
          <cell r="J377">
            <v>2827000</v>
          </cell>
          <cell r="M377">
            <v>1675000</v>
          </cell>
          <cell r="N377">
            <v>1152000</v>
          </cell>
        </row>
        <row r="379">
          <cell r="B379" t="str">
            <v>SUB-TOTAL</v>
          </cell>
          <cell r="G379">
            <v>10395487</v>
          </cell>
          <cell r="J379">
            <v>10395487</v>
          </cell>
          <cell r="M379">
            <v>8238367</v>
          </cell>
          <cell r="N379">
            <v>2157120</v>
          </cell>
        </row>
        <row r="381">
          <cell r="A381" t="str">
            <v xml:space="preserve">  3)</v>
          </cell>
          <cell r="B381" t="str">
            <v>거푸집공사</v>
          </cell>
          <cell r="O381" t="str">
            <v xml:space="preserve"> 소운반,</v>
          </cell>
        </row>
        <row r="382">
          <cell r="B382" t="str">
            <v>거푸집</v>
          </cell>
          <cell r="C382" t="str">
            <v>4회</v>
          </cell>
          <cell r="D382" t="str">
            <v>M3</v>
          </cell>
          <cell r="E382">
            <v>221.8</v>
          </cell>
          <cell r="F382">
            <v>21360</v>
          </cell>
          <cell r="G382">
            <v>4737648</v>
          </cell>
          <cell r="H382">
            <v>221.8</v>
          </cell>
          <cell r="I382">
            <v>21360</v>
          </cell>
          <cell r="J382">
            <v>4737648</v>
          </cell>
          <cell r="M382">
            <v>1366288</v>
          </cell>
          <cell r="N382">
            <v>3371360</v>
          </cell>
          <cell r="O382" t="str">
            <v xml:space="preserve"> 정리비</v>
          </cell>
        </row>
        <row r="383">
          <cell r="O383" t="str">
            <v xml:space="preserve"> 포  함</v>
          </cell>
        </row>
        <row r="384">
          <cell r="B384" t="str">
            <v>SUB-TOTAL</v>
          </cell>
          <cell r="G384">
            <v>4737648</v>
          </cell>
          <cell r="J384">
            <v>4737648</v>
          </cell>
          <cell r="M384">
            <v>1366288</v>
          </cell>
          <cell r="N384">
            <v>3371360</v>
          </cell>
        </row>
        <row r="386">
          <cell r="A386" t="str">
            <v xml:space="preserve">  4)</v>
          </cell>
          <cell r="B386" t="str">
            <v>철근공사</v>
          </cell>
          <cell r="C386" t="str">
            <v>D10</v>
          </cell>
          <cell r="D386" t="str">
            <v>TON</v>
          </cell>
          <cell r="E386">
            <v>0.35</v>
          </cell>
          <cell r="F386">
            <v>310000</v>
          </cell>
          <cell r="G386">
            <v>108500</v>
          </cell>
          <cell r="H386">
            <v>0.35</v>
          </cell>
          <cell r="I386">
            <v>310000</v>
          </cell>
          <cell r="J386">
            <v>108500</v>
          </cell>
          <cell r="M386">
            <v>108500</v>
          </cell>
          <cell r="N386">
            <v>0</v>
          </cell>
        </row>
        <row r="387">
          <cell r="C387" t="str">
            <v>D16</v>
          </cell>
          <cell r="D387" t="str">
            <v>TON</v>
          </cell>
          <cell r="E387">
            <v>0.52</v>
          </cell>
          <cell r="F387">
            <v>310000</v>
          </cell>
          <cell r="G387">
            <v>161200</v>
          </cell>
          <cell r="H387">
            <v>0.52</v>
          </cell>
          <cell r="I387">
            <v>310000</v>
          </cell>
          <cell r="J387">
            <v>161200</v>
          </cell>
          <cell r="M387">
            <v>161200</v>
          </cell>
          <cell r="N387">
            <v>0</v>
          </cell>
        </row>
        <row r="388">
          <cell r="C388" t="str">
            <v>D19</v>
          </cell>
          <cell r="D388" t="str">
            <v>TON</v>
          </cell>
          <cell r="E388">
            <v>4.42</v>
          </cell>
          <cell r="F388">
            <v>310000</v>
          </cell>
          <cell r="G388">
            <v>1370200</v>
          </cell>
          <cell r="H388">
            <v>4.42</v>
          </cell>
          <cell r="I388">
            <v>310000</v>
          </cell>
          <cell r="J388">
            <v>1370200</v>
          </cell>
          <cell r="M388">
            <v>1370200</v>
          </cell>
          <cell r="N388">
            <v>0</v>
          </cell>
        </row>
        <row r="389">
          <cell r="C389" t="str">
            <v>D22</v>
          </cell>
          <cell r="D389" t="str">
            <v>TON</v>
          </cell>
          <cell r="E389">
            <v>0</v>
          </cell>
          <cell r="F389">
            <v>310000</v>
          </cell>
          <cell r="G389">
            <v>0</v>
          </cell>
          <cell r="H389">
            <v>0</v>
          </cell>
          <cell r="I389">
            <v>310000</v>
          </cell>
          <cell r="J389">
            <v>0</v>
          </cell>
          <cell r="M389">
            <v>0</v>
          </cell>
          <cell r="N389">
            <v>0</v>
          </cell>
        </row>
        <row r="390">
          <cell r="B390" t="str">
            <v>RE-BAR FORMING</v>
          </cell>
          <cell r="D390" t="str">
            <v>TON</v>
          </cell>
          <cell r="E390">
            <v>5.29</v>
          </cell>
          <cell r="F390">
            <v>227000</v>
          </cell>
          <cell r="G390">
            <v>1200830</v>
          </cell>
          <cell r="H390">
            <v>5.29</v>
          </cell>
          <cell r="I390">
            <v>227000</v>
          </cell>
          <cell r="J390">
            <v>1200830</v>
          </cell>
          <cell r="M390">
            <v>63480</v>
          </cell>
          <cell r="N390">
            <v>1137350</v>
          </cell>
        </row>
        <row r="392">
          <cell r="B392" t="str">
            <v>SUB-TOTAL</v>
          </cell>
          <cell r="G392">
            <v>2840730</v>
          </cell>
          <cell r="J392">
            <v>2840730</v>
          </cell>
          <cell r="M392">
            <v>1703380</v>
          </cell>
          <cell r="N392">
            <v>1137350</v>
          </cell>
        </row>
        <row r="394">
          <cell r="A394" t="str">
            <v xml:space="preserve">  5)</v>
          </cell>
          <cell r="B394" t="str">
            <v>철골공사</v>
          </cell>
        </row>
        <row r="395">
          <cell r="B395" t="str">
            <v>H-250*250*9*14</v>
          </cell>
          <cell r="D395" t="str">
            <v>TON</v>
          </cell>
          <cell r="E395">
            <v>7.9</v>
          </cell>
          <cell r="F395">
            <v>400000</v>
          </cell>
          <cell r="G395">
            <v>3160000</v>
          </cell>
          <cell r="H395">
            <v>7.9</v>
          </cell>
          <cell r="I395">
            <v>400000</v>
          </cell>
          <cell r="J395">
            <v>3160000</v>
          </cell>
          <cell r="M395">
            <v>3160000</v>
          </cell>
          <cell r="N395">
            <v>0</v>
          </cell>
        </row>
        <row r="396">
          <cell r="B396" t="str">
            <v>H-300*300*10*15</v>
          </cell>
          <cell r="D396" t="str">
            <v>TON</v>
          </cell>
          <cell r="E396">
            <v>36.659999999999997</v>
          </cell>
          <cell r="F396">
            <v>400000</v>
          </cell>
          <cell r="G396">
            <v>14664000</v>
          </cell>
          <cell r="H396">
            <v>36.659999999999997</v>
          </cell>
          <cell r="I396">
            <v>400000</v>
          </cell>
          <cell r="J396">
            <v>14664000</v>
          </cell>
          <cell r="M396">
            <v>14664000</v>
          </cell>
          <cell r="N396">
            <v>0</v>
          </cell>
        </row>
        <row r="397">
          <cell r="B397" t="str">
            <v>H-200*100*5.5*8</v>
          </cell>
          <cell r="D397" t="str">
            <v>TON</v>
          </cell>
          <cell r="E397">
            <v>2.38</v>
          </cell>
          <cell r="F397">
            <v>400000</v>
          </cell>
          <cell r="G397">
            <v>952000</v>
          </cell>
          <cell r="H397">
            <v>2.38</v>
          </cell>
          <cell r="I397">
            <v>400000</v>
          </cell>
          <cell r="J397">
            <v>952000</v>
          </cell>
          <cell r="M397">
            <v>952000</v>
          </cell>
          <cell r="N397">
            <v>0</v>
          </cell>
        </row>
        <row r="398">
          <cell r="B398" t="str">
            <v>H-194*150*6*9</v>
          </cell>
          <cell r="D398" t="str">
            <v>TON</v>
          </cell>
          <cell r="E398">
            <v>8.9600000000000009</v>
          </cell>
          <cell r="F398">
            <v>400000</v>
          </cell>
          <cell r="G398">
            <v>3584000</v>
          </cell>
          <cell r="H398">
            <v>8.9600000000000009</v>
          </cell>
          <cell r="I398">
            <v>400000</v>
          </cell>
          <cell r="J398">
            <v>3584000</v>
          </cell>
          <cell r="M398">
            <v>3584000</v>
          </cell>
          <cell r="N398">
            <v>0</v>
          </cell>
        </row>
        <row r="399">
          <cell r="B399" t="str">
            <v>H-244*175*7*11</v>
          </cell>
          <cell r="D399" t="str">
            <v>TON</v>
          </cell>
          <cell r="E399">
            <v>2.64</v>
          </cell>
          <cell r="F399">
            <v>400000</v>
          </cell>
          <cell r="G399">
            <v>1056000</v>
          </cell>
          <cell r="H399">
            <v>2.64</v>
          </cell>
          <cell r="I399">
            <v>400000</v>
          </cell>
          <cell r="J399">
            <v>1056000</v>
          </cell>
          <cell r="M399">
            <v>1056000</v>
          </cell>
          <cell r="N399">
            <v>0</v>
          </cell>
        </row>
        <row r="400">
          <cell r="B400" t="str">
            <v>H-294*200*8*12</v>
          </cell>
          <cell r="D400" t="str">
            <v>TON</v>
          </cell>
          <cell r="E400">
            <v>14.65</v>
          </cell>
          <cell r="F400">
            <v>400000</v>
          </cell>
          <cell r="G400">
            <v>5860000</v>
          </cell>
          <cell r="H400">
            <v>14.65</v>
          </cell>
          <cell r="I400">
            <v>400000</v>
          </cell>
          <cell r="J400">
            <v>5860000</v>
          </cell>
          <cell r="M400">
            <v>5860000</v>
          </cell>
          <cell r="N400">
            <v>0</v>
          </cell>
        </row>
        <row r="401">
          <cell r="B401" t="str">
            <v>H-390*300*10*16</v>
          </cell>
          <cell r="D401" t="str">
            <v>TON</v>
          </cell>
          <cell r="E401">
            <v>21.75</v>
          </cell>
          <cell r="F401">
            <v>400000</v>
          </cell>
          <cell r="G401">
            <v>8700000</v>
          </cell>
          <cell r="H401">
            <v>21.75</v>
          </cell>
          <cell r="I401">
            <v>400000</v>
          </cell>
          <cell r="J401">
            <v>8700000</v>
          </cell>
          <cell r="M401">
            <v>8700000</v>
          </cell>
          <cell r="N401">
            <v>0</v>
          </cell>
        </row>
        <row r="402">
          <cell r="B402" t="str">
            <v>H-250*125*6*9</v>
          </cell>
          <cell r="D402" t="str">
            <v>TON</v>
          </cell>
          <cell r="E402">
            <v>0.1</v>
          </cell>
          <cell r="F402">
            <v>400000</v>
          </cell>
          <cell r="G402">
            <v>40000</v>
          </cell>
          <cell r="H402">
            <v>0.1</v>
          </cell>
          <cell r="I402">
            <v>400000</v>
          </cell>
          <cell r="J402">
            <v>40000</v>
          </cell>
          <cell r="M402">
            <v>40000</v>
          </cell>
          <cell r="N402">
            <v>0</v>
          </cell>
        </row>
        <row r="403">
          <cell r="B403" t="str">
            <v>I-400*150*12.5*25</v>
          </cell>
          <cell r="D403" t="str">
            <v>TON</v>
          </cell>
          <cell r="E403">
            <v>2.46</v>
          </cell>
          <cell r="F403">
            <v>780000</v>
          </cell>
          <cell r="G403">
            <v>1918800</v>
          </cell>
          <cell r="H403">
            <v>2.46</v>
          </cell>
          <cell r="I403">
            <v>780000</v>
          </cell>
          <cell r="J403">
            <v>1918800</v>
          </cell>
          <cell r="M403">
            <v>1918800</v>
          </cell>
          <cell r="N403">
            <v>0</v>
          </cell>
        </row>
        <row r="404">
          <cell r="B404" t="str">
            <v>ㄷ-200*90*8*13.5</v>
          </cell>
          <cell r="D404" t="str">
            <v>TON</v>
          </cell>
          <cell r="E404">
            <v>2.0499999999999998</v>
          </cell>
          <cell r="F404">
            <v>430000</v>
          </cell>
          <cell r="G404">
            <v>881500</v>
          </cell>
          <cell r="H404">
            <v>2.0499999999999998</v>
          </cell>
          <cell r="I404">
            <v>430000</v>
          </cell>
          <cell r="J404">
            <v>881500</v>
          </cell>
          <cell r="M404">
            <v>881500</v>
          </cell>
          <cell r="N404">
            <v>0</v>
          </cell>
        </row>
        <row r="405">
          <cell r="B405" t="str">
            <v>L-75*75*6</v>
          </cell>
          <cell r="D405" t="str">
            <v>TON</v>
          </cell>
          <cell r="E405">
            <v>14.91</v>
          </cell>
          <cell r="F405">
            <v>360000</v>
          </cell>
          <cell r="G405">
            <v>5367600</v>
          </cell>
          <cell r="H405">
            <v>14.91</v>
          </cell>
          <cell r="I405">
            <v>360000</v>
          </cell>
          <cell r="J405">
            <v>5367600</v>
          </cell>
          <cell r="M405">
            <v>5367600</v>
          </cell>
          <cell r="N405">
            <v>0</v>
          </cell>
        </row>
        <row r="406">
          <cell r="B406" t="str">
            <v>STEEL PLATE</v>
          </cell>
          <cell r="D406" t="str">
            <v>TON</v>
          </cell>
          <cell r="E406">
            <v>11.13</v>
          </cell>
          <cell r="F406">
            <v>380000</v>
          </cell>
          <cell r="G406">
            <v>4229400</v>
          </cell>
          <cell r="H406">
            <v>11.13</v>
          </cell>
          <cell r="I406">
            <v>380000</v>
          </cell>
          <cell r="J406">
            <v>4229400</v>
          </cell>
          <cell r="M406">
            <v>4229400</v>
          </cell>
          <cell r="N406">
            <v>0</v>
          </cell>
        </row>
        <row r="407">
          <cell r="B407" t="str">
            <v>CHK'D PLATE</v>
          </cell>
          <cell r="D407" t="str">
            <v>TON</v>
          </cell>
          <cell r="E407">
            <v>25.76</v>
          </cell>
          <cell r="F407">
            <v>400000</v>
          </cell>
          <cell r="G407">
            <v>10304000</v>
          </cell>
          <cell r="H407">
            <v>25.76</v>
          </cell>
          <cell r="I407">
            <v>400000</v>
          </cell>
          <cell r="J407">
            <v>10304000</v>
          </cell>
          <cell r="M407">
            <v>10304000</v>
          </cell>
          <cell r="N407">
            <v>0</v>
          </cell>
        </row>
        <row r="408">
          <cell r="B408" t="str">
            <v>ST'L HANDRAIL</v>
          </cell>
          <cell r="D408" t="str">
            <v>TON</v>
          </cell>
          <cell r="E408">
            <v>5.28</v>
          </cell>
          <cell r="F408">
            <v>500000</v>
          </cell>
          <cell r="G408">
            <v>2640000</v>
          </cell>
          <cell r="H408">
            <v>5.28</v>
          </cell>
          <cell r="I408">
            <v>500000</v>
          </cell>
          <cell r="J408">
            <v>2640000</v>
          </cell>
          <cell r="M408">
            <v>2640000</v>
          </cell>
          <cell r="N408">
            <v>0</v>
          </cell>
        </row>
        <row r="409">
          <cell r="B409" t="str">
            <v>STEEL FORMING</v>
          </cell>
          <cell r="D409" t="str">
            <v>TON</v>
          </cell>
          <cell r="E409">
            <v>150.88</v>
          </cell>
          <cell r="F409">
            <v>430000</v>
          </cell>
          <cell r="G409">
            <v>64878400</v>
          </cell>
          <cell r="H409">
            <v>150.88</v>
          </cell>
          <cell r="I409">
            <v>430000</v>
          </cell>
          <cell r="J409">
            <v>64878400</v>
          </cell>
          <cell r="M409">
            <v>4526400</v>
          </cell>
          <cell r="N409">
            <v>60352000</v>
          </cell>
        </row>
        <row r="410">
          <cell r="B410" t="str">
            <v>STEEL ERECTION</v>
          </cell>
          <cell r="D410" t="str">
            <v>TON</v>
          </cell>
          <cell r="E410">
            <v>150.88</v>
          </cell>
          <cell r="F410">
            <v>140000</v>
          </cell>
          <cell r="G410">
            <v>21123200</v>
          </cell>
          <cell r="H410">
            <v>150.88</v>
          </cell>
          <cell r="I410">
            <v>140000</v>
          </cell>
          <cell r="J410">
            <v>21123200</v>
          </cell>
          <cell r="M410">
            <v>6035200</v>
          </cell>
          <cell r="N410">
            <v>15088000</v>
          </cell>
        </row>
        <row r="411">
          <cell r="B411" t="str">
            <v>ANC. BOLT</v>
          </cell>
          <cell r="C411" t="str">
            <v>M22*700L</v>
          </cell>
          <cell r="D411" t="str">
            <v>EA</v>
          </cell>
          <cell r="E411">
            <v>41</v>
          </cell>
          <cell r="F411">
            <v>9500</v>
          </cell>
          <cell r="G411">
            <v>389500</v>
          </cell>
          <cell r="H411">
            <v>41</v>
          </cell>
          <cell r="I411">
            <v>9500</v>
          </cell>
          <cell r="J411">
            <v>389500</v>
          </cell>
          <cell r="M411">
            <v>61500</v>
          </cell>
          <cell r="N411">
            <v>328000</v>
          </cell>
        </row>
        <row r="412">
          <cell r="C412" t="str">
            <v>M24*700L</v>
          </cell>
          <cell r="D412" t="str">
            <v>EA</v>
          </cell>
          <cell r="E412">
            <v>45</v>
          </cell>
          <cell r="F412">
            <v>10000</v>
          </cell>
          <cell r="G412">
            <v>450000</v>
          </cell>
          <cell r="H412">
            <v>45</v>
          </cell>
          <cell r="I412">
            <v>10000</v>
          </cell>
          <cell r="J412">
            <v>450000</v>
          </cell>
          <cell r="M412">
            <v>90000</v>
          </cell>
          <cell r="N412">
            <v>360000</v>
          </cell>
        </row>
        <row r="413">
          <cell r="B413" t="str">
            <v>H.T.B</v>
          </cell>
          <cell r="C413" t="str">
            <v>M20</v>
          </cell>
          <cell r="D413" t="str">
            <v>EA</v>
          </cell>
          <cell r="E413">
            <v>7980</v>
          </cell>
          <cell r="F413">
            <v>470</v>
          </cell>
          <cell r="G413">
            <v>3750600</v>
          </cell>
          <cell r="H413">
            <v>7980</v>
          </cell>
          <cell r="I413">
            <v>470</v>
          </cell>
          <cell r="J413">
            <v>3750600</v>
          </cell>
          <cell r="M413">
            <v>3750600</v>
          </cell>
          <cell r="N413">
            <v>0</v>
          </cell>
        </row>
        <row r="415">
          <cell r="B415" t="str">
            <v>SUB-TOTAL</v>
          </cell>
          <cell r="G415">
            <v>153949000</v>
          </cell>
          <cell r="J415">
            <v>153949000</v>
          </cell>
          <cell r="M415">
            <v>77821000</v>
          </cell>
          <cell r="N415">
            <v>76128000</v>
          </cell>
        </row>
        <row r="417">
          <cell r="A417" t="str">
            <v xml:space="preserve">  6)</v>
          </cell>
          <cell r="B417" t="str">
            <v>도장공사</v>
          </cell>
        </row>
        <row r="418">
          <cell r="B418" t="str">
            <v>광명단</v>
          </cell>
          <cell r="C418" t="str">
            <v>2회</v>
          </cell>
          <cell r="D418" t="str">
            <v>M2</v>
          </cell>
          <cell r="E418">
            <v>5089</v>
          </cell>
          <cell r="F418">
            <v>4000</v>
          </cell>
          <cell r="G418">
            <v>20356000</v>
          </cell>
          <cell r="H418">
            <v>5089</v>
          </cell>
          <cell r="I418">
            <v>4000</v>
          </cell>
          <cell r="J418">
            <v>20356000</v>
          </cell>
          <cell r="M418">
            <v>7633500</v>
          </cell>
          <cell r="N418">
            <v>12722500</v>
          </cell>
        </row>
        <row r="419">
          <cell r="B419" t="str">
            <v>유성페인트</v>
          </cell>
          <cell r="C419" t="str">
            <v>2회(중도)</v>
          </cell>
          <cell r="D419" t="str">
            <v>M2</v>
          </cell>
          <cell r="E419">
            <v>5089</v>
          </cell>
          <cell r="F419">
            <v>4000</v>
          </cell>
          <cell r="G419">
            <v>20356000</v>
          </cell>
          <cell r="H419">
            <v>5089</v>
          </cell>
          <cell r="I419">
            <v>4000</v>
          </cell>
          <cell r="J419">
            <v>20356000</v>
          </cell>
          <cell r="M419">
            <v>7633500</v>
          </cell>
          <cell r="N419">
            <v>12722500</v>
          </cell>
        </row>
        <row r="420">
          <cell r="B420" t="str">
            <v>유성페인트</v>
          </cell>
          <cell r="C420" t="str">
            <v>2회(하도)</v>
          </cell>
          <cell r="D420" t="str">
            <v>M2</v>
          </cell>
          <cell r="E420">
            <v>5089</v>
          </cell>
          <cell r="F420">
            <v>4000</v>
          </cell>
          <cell r="G420">
            <v>20356000</v>
          </cell>
          <cell r="H420">
            <v>5089</v>
          </cell>
          <cell r="I420">
            <v>4000</v>
          </cell>
          <cell r="J420">
            <v>20356000</v>
          </cell>
          <cell r="M420">
            <v>7633500</v>
          </cell>
          <cell r="N420">
            <v>12722500</v>
          </cell>
        </row>
        <row r="422">
          <cell r="B422" t="str">
            <v>SUB-TOTAL</v>
          </cell>
          <cell r="G422">
            <v>61068000</v>
          </cell>
          <cell r="J422">
            <v>61068000</v>
          </cell>
          <cell r="M422">
            <v>22900500</v>
          </cell>
          <cell r="N422">
            <v>38167500</v>
          </cell>
        </row>
        <row r="424">
          <cell r="A424" t="str">
            <v xml:space="preserve">  7)</v>
          </cell>
          <cell r="B424" t="str">
            <v>지정공사</v>
          </cell>
        </row>
        <row r="425">
          <cell r="B425" t="str">
            <v>PILE 두부보강 및 속채움</v>
          </cell>
          <cell r="D425" t="str">
            <v>NOS</v>
          </cell>
          <cell r="E425">
            <v>61</v>
          </cell>
          <cell r="F425">
            <v>10000</v>
          </cell>
          <cell r="G425">
            <v>610000</v>
          </cell>
          <cell r="H425">
            <v>61</v>
          </cell>
          <cell r="I425">
            <v>10000</v>
          </cell>
          <cell r="J425">
            <v>610000</v>
          </cell>
          <cell r="M425">
            <v>183000</v>
          </cell>
          <cell r="N425">
            <v>427000</v>
          </cell>
        </row>
        <row r="427">
          <cell r="B427" t="str">
            <v>SUB-TOTAL</v>
          </cell>
          <cell r="G427">
            <v>610000</v>
          </cell>
          <cell r="J427">
            <v>610000</v>
          </cell>
          <cell r="M427">
            <v>183000</v>
          </cell>
          <cell r="N427">
            <v>427000</v>
          </cell>
        </row>
        <row r="429">
          <cell r="B429" t="str">
            <v>T O T A L</v>
          </cell>
          <cell r="G429">
            <v>235875165</v>
          </cell>
          <cell r="J429">
            <v>235875165</v>
          </cell>
          <cell r="M429">
            <v>113888335</v>
          </cell>
          <cell r="N429">
            <v>121986830</v>
          </cell>
        </row>
        <row r="454">
          <cell r="A454" t="str">
            <v xml:space="preserve">  5.</v>
          </cell>
          <cell r="B454" t="str">
            <v>#500 SOLVENT RECOVERY</v>
          </cell>
        </row>
        <row r="456">
          <cell r="A456" t="str">
            <v xml:space="preserve">  1)</v>
          </cell>
          <cell r="B456" t="str">
            <v>토공사</v>
          </cell>
        </row>
        <row r="457">
          <cell r="B457" t="str">
            <v>터파기</v>
          </cell>
          <cell r="D457" t="str">
            <v>M3</v>
          </cell>
          <cell r="E457">
            <v>344</v>
          </cell>
          <cell r="F457">
            <v>0</v>
          </cell>
          <cell r="G457">
            <v>0</v>
          </cell>
          <cell r="H457">
            <v>344</v>
          </cell>
          <cell r="I457">
            <v>0</v>
          </cell>
          <cell r="J457">
            <v>0</v>
          </cell>
          <cell r="M457">
            <v>0</v>
          </cell>
          <cell r="N457">
            <v>0</v>
          </cell>
          <cell r="O457" t="str">
            <v xml:space="preserve"> 제외</v>
          </cell>
        </row>
        <row r="458">
          <cell r="B458" t="str">
            <v>잔토처리</v>
          </cell>
          <cell r="D458" t="str">
            <v>M3</v>
          </cell>
          <cell r="E458">
            <v>78</v>
          </cell>
          <cell r="F458">
            <v>0</v>
          </cell>
          <cell r="G458">
            <v>0</v>
          </cell>
          <cell r="H458">
            <v>78</v>
          </cell>
          <cell r="I458">
            <v>0</v>
          </cell>
          <cell r="J458">
            <v>0</v>
          </cell>
          <cell r="M458">
            <v>0</v>
          </cell>
          <cell r="N458">
            <v>0</v>
          </cell>
          <cell r="O458" t="str">
            <v xml:space="preserve"> 제외</v>
          </cell>
        </row>
        <row r="459">
          <cell r="B459" t="str">
            <v>되메우기</v>
          </cell>
          <cell r="D459" t="str">
            <v>M3</v>
          </cell>
          <cell r="E459">
            <v>284</v>
          </cell>
          <cell r="F459">
            <v>5700</v>
          </cell>
          <cell r="G459">
            <v>1618800</v>
          </cell>
          <cell r="H459">
            <v>284</v>
          </cell>
          <cell r="I459">
            <v>5700</v>
          </cell>
          <cell r="J459">
            <v>1618800</v>
          </cell>
          <cell r="M459">
            <v>1192800</v>
          </cell>
          <cell r="N459">
            <v>426000</v>
          </cell>
        </row>
        <row r="461">
          <cell r="B461" t="str">
            <v>SUB-TOTAL</v>
          </cell>
          <cell r="G461">
            <v>1618800</v>
          </cell>
          <cell r="J461">
            <v>1618800</v>
          </cell>
          <cell r="M461">
            <v>1192800</v>
          </cell>
          <cell r="N461">
            <v>426000</v>
          </cell>
        </row>
        <row r="463">
          <cell r="A463" t="str">
            <v xml:space="preserve">  2)</v>
          </cell>
          <cell r="B463" t="str">
            <v>콘크리트 공사</v>
          </cell>
        </row>
        <row r="464">
          <cell r="B464" t="str">
            <v>CON'C</v>
          </cell>
          <cell r="C464" t="str">
            <v>FC=135KG/㎠</v>
          </cell>
          <cell r="E464">
            <v>5.9</v>
          </cell>
          <cell r="F464">
            <v>50950</v>
          </cell>
          <cell r="G464">
            <v>300605</v>
          </cell>
          <cell r="H464">
            <v>5.9</v>
          </cell>
          <cell r="I464">
            <v>50950</v>
          </cell>
          <cell r="J464">
            <v>300605</v>
          </cell>
          <cell r="M464">
            <v>300605</v>
          </cell>
          <cell r="N464">
            <v>0</v>
          </cell>
        </row>
        <row r="465">
          <cell r="C465" t="str">
            <v>FC=210KG/㎠</v>
          </cell>
          <cell r="E465">
            <v>83.43</v>
          </cell>
          <cell r="F465">
            <v>59770</v>
          </cell>
          <cell r="G465">
            <v>4986611</v>
          </cell>
          <cell r="H465">
            <v>83.43</v>
          </cell>
          <cell r="I465">
            <v>59770</v>
          </cell>
          <cell r="J465">
            <v>4986611</v>
          </cell>
          <cell r="M465">
            <v>4986611</v>
          </cell>
          <cell r="N465">
            <v>0</v>
          </cell>
        </row>
        <row r="466">
          <cell r="B466" t="str">
            <v>콘크리트 치기</v>
          </cell>
          <cell r="E466">
            <v>86.7</v>
          </cell>
          <cell r="F466">
            <v>11400</v>
          </cell>
          <cell r="G466">
            <v>988380</v>
          </cell>
          <cell r="H466">
            <v>86.7</v>
          </cell>
          <cell r="I466">
            <v>11400</v>
          </cell>
          <cell r="J466">
            <v>988380</v>
          </cell>
          <cell r="M466">
            <v>156060</v>
          </cell>
          <cell r="N466">
            <v>832320</v>
          </cell>
        </row>
        <row r="467">
          <cell r="B467" t="str">
            <v>GROUT</v>
          </cell>
          <cell r="E467">
            <v>2.1</v>
          </cell>
          <cell r="F467">
            <v>1130800</v>
          </cell>
          <cell r="G467">
            <v>2374680</v>
          </cell>
          <cell r="H467">
            <v>2.1</v>
          </cell>
          <cell r="I467">
            <v>1130800</v>
          </cell>
          <cell r="J467">
            <v>2374680</v>
          </cell>
          <cell r="M467">
            <v>1407000</v>
          </cell>
          <cell r="N467">
            <v>967680</v>
          </cell>
        </row>
        <row r="469">
          <cell r="B469" t="str">
            <v>SUB-TOTAL</v>
          </cell>
          <cell r="G469">
            <v>8650276</v>
          </cell>
          <cell r="J469">
            <v>8650276</v>
          </cell>
          <cell r="M469">
            <v>6850276</v>
          </cell>
          <cell r="N469">
            <v>1800000</v>
          </cell>
        </row>
        <row r="471">
          <cell r="A471" t="str">
            <v xml:space="preserve">  3)</v>
          </cell>
          <cell r="B471" t="str">
            <v>거푸집 공사</v>
          </cell>
          <cell r="O471" t="str">
            <v xml:space="preserve"> 소운반,</v>
          </cell>
        </row>
        <row r="472">
          <cell r="B472" t="str">
            <v>거푸집</v>
          </cell>
          <cell r="C472" t="str">
            <v>4회</v>
          </cell>
          <cell r="D472" t="str">
            <v>M2</v>
          </cell>
          <cell r="E472">
            <v>159.30000000000001</v>
          </cell>
          <cell r="F472">
            <v>21360</v>
          </cell>
          <cell r="G472">
            <v>3402648</v>
          </cell>
          <cell r="H472">
            <v>159.30000000000001</v>
          </cell>
          <cell r="I472">
            <v>21360</v>
          </cell>
          <cell r="J472">
            <v>3402648</v>
          </cell>
          <cell r="M472">
            <v>981288</v>
          </cell>
          <cell r="N472">
            <v>2421360</v>
          </cell>
          <cell r="O472" t="str">
            <v xml:space="preserve"> 정리비</v>
          </cell>
        </row>
        <row r="473">
          <cell r="O473" t="str">
            <v xml:space="preserve"> 포  함</v>
          </cell>
        </row>
        <row r="474">
          <cell r="B474" t="str">
            <v>SUB-TOTAL</v>
          </cell>
          <cell r="G474">
            <v>3402648</v>
          </cell>
          <cell r="J474">
            <v>3402648</v>
          </cell>
          <cell r="M474">
            <v>981288</v>
          </cell>
          <cell r="N474">
            <v>2421360</v>
          </cell>
        </row>
        <row r="476">
          <cell r="A476" t="str">
            <v xml:space="preserve">  4)</v>
          </cell>
          <cell r="B476" t="str">
            <v>철근공사</v>
          </cell>
          <cell r="C476" t="str">
            <v>D10</v>
          </cell>
          <cell r="D476" t="str">
            <v>TON</v>
          </cell>
          <cell r="E476">
            <v>0.22</v>
          </cell>
          <cell r="F476">
            <v>310000</v>
          </cell>
          <cell r="G476">
            <v>68200</v>
          </cell>
          <cell r="H476">
            <v>0.22</v>
          </cell>
          <cell r="I476">
            <v>310000</v>
          </cell>
          <cell r="J476">
            <v>68200</v>
          </cell>
          <cell r="M476">
            <v>68200</v>
          </cell>
          <cell r="N476">
            <v>0</v>
          </cell>
        </row>
        <row r="477">
          <cell r="C477" t="str">
            <v>D16</v>
          </cell>
          <cell r="D477" t="str">
            <v>TON</v>
          </cell>
          <cell r="E477">
            <v>1.1299999999999999</v>
          </cell>
          <cell r="F477">
            <v>310000</v>
          </cell>
          <cell r="G477">
            <v>350300</v>
          </cell>
          <cell r="H477">
            <v>1.1299999999999999</v>
          </cell>
          <cell r="I477">
            <v>310000</v>
          </cell>
          <cell r="J477">
            <v>350300</v>
          </cell>
          <cell r="M477">
            <v>350300</v>
          </cell>
          <cell r="N477">
            <v>0</v>
          </cell>
        </row>
        <row r="478">
          <cell r="C478" t="str">
            <v>D19</v>
          </cell>
          <cell r="D478" t="str">
            <v>TON</v>
          </cell>
          <cell r="E478">
            <v>0.93</v>
          </cell>
          <cell r="F478">
            <v>310000</v>
          </cell>
          <cell r="G478">
            <v>288300</v>
          </cell>
          <cell r="H478">
            <v>0.93</v>
          </cell>
          <cell r="I478">
            <v>310000</v>
          </cell>
          <cell r="J478">
            <v>288300</v>
          </cell>
          <cell r="M478">
            <v>288300</v>
          </cell>
          <cell r="N478">
            <v>0</v>
          </cell>
        </row>
        <row r="479">
          <cell r="C479" t="str">
            <v>D22</v>
          </cell>
          <cell r="D479" t="str">
            <v>TON</v>
          </cell>
          <cell r="E479">
            <v>1.63</v>
          </cell>
          <cell r="F479">
            <v>310000</v>
          </cell>
          <cell r="G479">
            <v>505300</v>
          </cell>
          <cell r="H479">
            <v>1.63</v>
          </cell>
          <cell r="I479">
            <v>310000</v>
          </cell>
          <cell r="J479">
            <v>505300</v>
          </cell>
          <cell r="M479">
            <v>505300</v>
          </cell>
          <cell r="N479">
            <v>0</v>
          </cell>
        </row>
        <row r="480">
          <cell r="B480" t="str">
            <v>RE-BAR</v>
          </cell>
          <cell r="C480" t="str">
            <v>FORMING</v>
          </cell>
          <cell r="D480" t="str">
            <v>TON</v>
          </cell>
          <cell r="E480">
            <v>3.91</v>
          </cell>
          <cell r="F480">
            <v>227000</v>
          </cell>
          <cell r="G480">
            <v>887570</v>
          </cell>
          <cell r="H480">
            <v>3.91</v>
          </cell>
          <cell r="I480">
            <v>227000</v>
          </cell>
          <cell r="J480">
            <v>887570</v>
          </cell>
          <cell r="M480">
            <v>46920</v>
          </cell>
          <cell r="N480">
            <v>840650</v>
          </cell>
        </row>
        <row r="482">
          <cell r="B482" t="str">
            <v>SUB-TOTAL</v>
          </cell>
          <cell r="G482">
            <v>2099670</v>
          </cell>
          <cell r="J482">
            <v>2099670</v>
          </cell>
          <cell r="M482">
            <v>1259020</v>
          </cell>
          <cell r="N482">
            <v>840650</v>
          </cell>
        </row>
        <row r="484">
          <cell r="A484" t="str">
            <v xml:space="preserve">  5)</v>
          </cell>
          <cell r="B484" t="str">
            <v>철골공사</v>
          </cell>
        </row>
        <row r="485">
          <cell r="B485" t="str">
            <v>H-150*150*7*10</v>
          </cell>
          <cell r="D485" t="str">
            <v>TON</v>
          </cell>
          <cell r="E485">
            <v>2.4</v>
          </cell>
          <cell r="F485">
            <v>400000</v>
          </cell>
          <cell r="G485">
            <v>960000</v>
          </cell>
          <cell r="H485">
            <v>2.4</v>
          </cell>
          <cell r="I485">
            <v>400000</v>
          </cell>
          <cell r="J485">
            <v>960000</v>
          </cell>
          <cell r="M485">
            <v>960000</v>
          </cell>
          <cell r="N485">
            <v>0</v>
          </cell>
        </row>
        <row r="486">
          <cell r="B486" t="str">
            <v>H-200*200*8*12</v>
          </cell>
          <cell r="D486" t="str">
            <v>TON</v>
          </cell>
          <cell r="E486">
            <v>0.15</v>
          </cell>
          <cell r="F486">
            <v>400000</v>
          </cell>
          <cell r="G486">
            <v>60000</v>
          </cell>
          <cell r="H486">
            <v>0.15</v>
          </cell>
          <cell r="I486">
            <v>400000</v>
          </cell>
          <cell r="J486">
            <v>60000</v>
          </cell>
          <cell r="M486">
            <v>60000</v>
          </cell>
          <cell r="N486">
            <v>0</v>
          </cell>
        </row>
        <row r="487">
          <cell r="B487" t="str">
            <v>H-250*250*9*14</v>
          </cell>
          <cell r="D487" t="str">
            <v>TON</v>
          </cell>
          <cell r="E487">
            <v>6.46</v>
          </cell>
          <cell r="F487">
            <v>400000</v>
          </cell>
          <cell r="G487">
            <v>2584000</v>
          </cell>
          <cell r="H487">
            <v>6.46</v>
          </cell>
          <cell r="I487">
            <v>400000</v>
          </cell>
          <cell r="J487">
            <v>2584000</v>
          </cell>
          <cell r="M487">
            <v>2584000</v>
          </cell>
          <cell r="N487">
            <v>0</v>
          </cell>
        </row>
        <row r="488">
          <cell r="B488" t="str">
            <v>H-300*300*10*15</v>
          </cell>
          <cell r="D488" t="str">
            <v>TON</v>
          </cell>
          <cell r="E488">
            <v>29.1</v>
          </cell>
          <cell r="F488">
            <v>400000</v>
          </cell>
          <cell r="G488">
            <v>11640000</v>
          </cell>
          <cell r="H488">
            <v>29.1</v>
          </cell>
          <cell r="I488">
            <v>400000</v>
          </cell>
          <cell r="J488">
            <v>11640000</v>
          </cell>
          <cell r="M488">
            <v>11640000</v>
          </cell>
          <cell r="N488">
            <v>0</v>
          </cell>
        </row>
        <row r="489">
          <cell r="B489" t="str">
            <v>H-200*100*5.5*8</v>
          </cell>
          <cell r="D489" t="str">
            <v>TON</v>
          </cell>
          <cell r="E489">
            <v>1.78</v>
          </cell>
          <cell r="F489">
            <v>400000</v>
          </cell>
          <cell r="G489">
            <v>712000</v>
          </cell>
          <cell r="H489">
            <v>1.78</v>
          </cell>
          <cell r="I489">
            <v>400000</v>
          </cell>
          <cell r="J489">
            <v>712000</v>
          </cell>
          <cell r="M489">
            <v>712000</v>
          </cell>
          <cell r="N489">
            <v>0</v>
          </cell>
        </row>
        <row r="490">
          <cell r="B490" t="str">
            <v>H-194*150*6*9</v>
          </cell>
          <cell r="D490" t="str">
            <v>TON</v>
          </cell>
          <cell r="E490">
            <v>6.25</v>
          </cell>
          <cell r="F490">
            <v>400000</v>
          </cell>
          <cell r="G490">
            <v>2500000</v>
          </cell>
          <cell r="H490">
            <v>6.25</v>
          </cell>
          <cell r="I490">
            <v>400000</v>
          </cell>
          <cell r="J490">
            <v>2500000</v>
          </cell>
          <cell r="M490">
            <v>2500000</v>
          </cell>
          <cell r="N490">
            <v>0</v>
          </cell>
        </row>
        <row r="491">
          <cell r="B491" t="str">
            <v>H-244*175*7*11</v>
          </cell>
          <cell r="D491" t="str">
            <v>TON</v>
          </cell>
          <cell r="E491">
            <v>10.66</v>
          </cell>
          <cell r="F491">
            <v>400000</v>
          </cell>
          <cell r="G491">
            <v>4264000</v>
          </cell>
          <cell r="H491">
            <v>10.66</v>
          </cell>
          <cell r="I491">
            <v>400000</v>
          </cell>
          <cell r="J491">
            <v>4264000</v>
          </cell>
          <cell r="M491">
            <v>4264000</v>
          </cell>
          <cell r="N491">
            <v>0</v>
          </cell>
        </row>
        <row r="492">
          <cell r="B492" t="str">
            <v>H-294*200*8*12</v>
          </cell>
          <cell r="D492" t="str">
            <v>TON</v>
          </cell>
          <cell r="E492">
            <v>12.34</v>
          </cell>
          <cell r="F492">
            <v>400000</v>
          </cell>
          <cell r="G492">
            <v>4936000</v>
          </cell>
          <cell r="H492">
            <v>12.34</v>
          </cell>
          <cell r="I492">
            <v>400000</v>
          </cell>
          <cell r="J492">
            <v>4936000</v>
          </cell>
          <cell r="M492">
            <v>4936000</v>
          </cell>
          <cell r="N492">
            <v>0</v>
          </cell>
        </row>
        <row r="493">
          <cell r="B493" t="str">
            <v>H-350*250*9*14</v>
          </cell>
          <cell r="D493" t="str">
            <v>TON</v>
          </cell>
          <cell r="E493">
            <v>3.37</v>
          </cell>
          <cell r="F493">
            <v>400000</v>
          </cell>
          <cell r="G493">
            <v>1348000</v>
          </cell>
          <cell r="H493">
            <v>3.37</v>
          </cell>
          <cell r="I493">
            <v>400000</v>
          </cell>
          <cell r="J493">
            <v>1348000</v>
          </cell>
          <cell r="M493">
            <v>1348000</v>
          </cell>
          <cell r="N493">
            <v>0</v>
          </cell>
        </row>
        <row r="494">
          <cell r="B494" t="str">
            <v>H-390*300*10*16</v>
          </cell>
          <cell r="D494" t="str">
            <v>TON</v>
          </cell>
          <cell r="E494">
            <v>18.440000000000001</v>
          </cell>
          <cell r="F494">
            <v>400000</v>
          </cell>
          <cell r="G494">
            <v>7376000</v>
          </cell>
          <cell r="H494">
            <v>18.440000000000001</v>
          </cell>
          <cell r="I494">
            <v>400000</v>
          </cell>
          <cell r="J494">
            <v>7376000</v>
          </cell>
          <cell r="M494">
            <v>7376000</v>
          </cell>
          <cell r="N494">
            <v>0</v>
          </cell>
        </row>
        <row r="495">
          <cell r="B495" t="str">
            <v>H-488*300*11*18</v>
          </cell>
          <cell r="D495" t="str">
            <v>TON</v>
          </cell>
          <cell r="E495">
            <v>5.68</v>
          </cell>
          <cell r="F495">
            <v>400000</v>
          </cell>
          <cell r="G495">
            <v>2272000</v>
          </cell>
          <cell r="H495">
            <v>5.68</v>
          </cell>
          <cell r="I495">
            <v>400000</v>
          </cell>
          <cell r="J495">
            <v>2272000</v>
          </cell>
          <cell r="M495">
            <v>2272000</v>
          </cell>
          <cell r="N495">
            <v>0</v>
          </cell>
        </row>
        <row r="496">
          <cell r="B496" t="str">
            <v>I-250*125*7.5*12.5</v>
          </cell>
          <cell r="D496" t="str">
            <v>TON</v>
          </cell>
          <cell r="E496">
            <v>0.65</v>
          </cell>
          <cell r="F496">
            <v>470000</v>
          </cell>
          <cell r="G496">
            <v>305500</v>
          </cell>
          <cell r="H496">
            <v>0.65</v>
          </cell>
          <cell r="I496">
            <v>470000</v>
          </cell>
          <cell r="J496">
            <v>305500</v>
          </cell>
          <cell r="M496">
            <v>305500</v>
          </cell>
          <cell r="N496">
            <v>0</v>
          </cell>
        </row>
        <row r="497">
          <cell r="B497" t="str">
            <v>I-350*150*12*24</v>
          </cell>
          <cell r="D497" t="str">
            <v>TON</v>
          </cell>
          <cell r="E497">
            <v>0.73</v>
          </cell>
          <cell r="F497">
            <v>800000</v>
          </cell>
          <cell r="G497">
            <v>584000</v>
          </cell>
          <cell r="H497">
            <v>0.73</v>
          </cell>
          <cell r="I497">
            <v>800000</v>
          </cell>
          <cell r="J497">
            <v>584000</v>
          </cell>
          <cell r="M497">
            <v>584000</v>
          </cell>
          <cell r="N497">
            <v>0</v>
          </cell>
        </row>
        <row r="498">
          <cell r="B498" t="str">
            <v>I-400*150*12.5*25</v>
          </cell>
          <cell r="D498" t="str">
            <v>TON</v>
          </cell>
          <cell r="E498">
            <v>2.66</v>
          </cell>
          <cell r="F498">
            <v>780000</v>
          </cell>
          <cell r="G498">
            <v>2074800</v>
          </cell>
          <cell r="H498">
            <v>2.66</v>
          </cell>
          <cell r="I498">
            <v>780000</v>
          </cell>
          <cell r="J498">
            <v>2074800</v>
          </cell>
          <cell r="M498">
            <v>2074800</v>
          </cell>
          <cell r="N498">
            <v>0</v>
          </cell>
        </row>
        <row r="499">
          <cell r="B499" t="str">
            <v>ㄷ-200*90*8*13.5</v>
          </cell>
          <cell r="D499" t="str">
            <v>TON</v>
          </cell>
          <cell r="E499">
            <v>2.65</v>
          </cell>
          <cell r="F499">
            <v>430000</v>
          </cell>
          <cell r="G499">
            <v>1139500</v>
          </cell>
          <cell r="H499">
            <v>2.65</v>
          </cell>
          <cell r="I499">
            <v>430000</v>
          </cell>
          <cell r="J499">
            <v>1139500</v>
          </cell>
          <cell r="M499">
            <v>1139500</v>
          </cell>
          <cell r="N499">
            <v>0</v>
          </cell>
        </row>
        <row r="500">
          <cell r="B500" t="str">
            <v>L-75*75*6</v>
          </cell>
          <cell r="D500" t="str">
            <v>TON</v>
          </cell>
          <cell r="E500">
            <v>6.08</v>
          </cell>
          <cell r="F500">
            <v>360000</v>
          </cell>
          <cell r="G500">
            <v>2188800</v>
          </cell>
          <cell r="H500">
            <v>6.08</v>
          </cell>
          <cell r="I500">
            <v>360000</v>
          </cell>
          <cell r="J500">
            <v>2188800</v>
          </cell>
          <cell r="M500">
            <v>2188800</v>
          </cell>
          <cell r="N500">
            <v>0</v>
          </cell>
        </row>
        <row r="501">
          <cell r="B501" t="str">
            <v>L-90*90*9</v>
          </cell>
          <cell r="D501" t="str">
            <v>TON</v>
          </cell>
          <cell r="E501">
            <v>0.28999999999999998</v>
          </cell>
          <cell r="F501">
            <v>360000</v>
          </cell>
          <cell r="G501">
            <v>104400</v>
          </cell>
          <cell r="H501">
            <v>0.28999999999999998</v>
          </cell>
          <cell r="I501">
            <v>360000</v>
          </cell>
          <cell r="J501">
            <v>104400</v>
          </cell>
          <cell r="M501">
            <v>104400</v>
          </cell>
          <cell r="N501">
            <v>0</v>
          </cell>
        </row>
        <row r="502">
          <cell r="B502" t="str">
            <v>STEEL PLATE</v>
          </cell>
          <cell r="D502" t="str">
            <v>TON</v>
          </cell>
          <cell r="E502">
            <v>13.65</v>
          </cell>
          <cell r="F502">
            <v>380000</v>
          </cell>
          <cell r="G502">
            <v>5187000</v>
          </cell>
          <cell r="H502">
            <v>13.65</v>
          </cell>
          <cell r="I502">
            <v>380000</v>
          </cell>
          <cell r="J502">
            <v>5187000</v>
          </cell>
          <cell r="M502">
            <v>5187000</v>
          </cell>
          <cell r="N502">
            <v>0</v>
          </cell>
        </row>
        <row r="503">
          <cell r="B503" t="str">
            <v>CHK'D PLATE</v>
          </cell>
          <cell r="D503" t="str">
            <v>TON</v>
          </cell>
          <cell r="E503">
            <v>18.88</v>
          </cell>
          <cell r="F503">
            <v>400000</v>
          </cell>
          <cell r="G503">
            <v>7552000</v>
          </cell>
          <cell r="H503">
            <v>18.88</v>
          </cell>
          <cell r="I503">
            <v>400000</v>
          </cell>
          <cell r="J503">
            <v>7552000</v>
          </cell>
          <cell r="M503">
            <v>7552000</v>
          </cell>
          <cell r="N503">
            <v>0</v>
          </cell>
        </row>
        <row r="504">
          <cell r="B504" t="str">
            <v>HANDRAIL</v>
          </cell>
          <cell r="D504" t="str">
            <v>TON</v>
          </cell>
          <cell r="E504">
            <v>4.2300000000000004</v>
          </cell>
          <cell r="F504">
            <v>500000</v>
          </cell>
          <cell r="G504">
            <v>2115000</v>
          </cell>
          <cell r="H504">
            <v>4.2300000000000004</v>
          </cell>
          <cell r="I504">
            <v>500000</v>
          </cell>
          <cell r="J504">
            <v>2115000</v>
          </cell>
          <cell r="M504">
            <v>2115000</v>
          </cell>
          <cell r="N504">
            <v>0</v>
          </cell>
        </row>
        <row r="505">
          <cell r="B505" t="str">
            <v>STEEL FORMING</v>
          </cell>
          <cell r="D505" t="str">
            <v>TON</v>
          </cell>
          <cell r="E505">
            <v>172.48</v>
          </cell>
          <cell r="F505">
            <v>430000</v>
          </cell>
          <cell r="G505">
            <v>74166400</v>
          </cell>
          <cell r="H505">
            <v>172.48</v>
          </cell>
          <cell r="I505">
            <v>430000</v>
          </cell>
          <cell r="J505">
            <v>74166400</v>
          </cell>
          <cell r="M505">
            <v>5174400</v>
          </cell>
          <cell r="N505">
            <v>68992000</v>
          </cell>
        </row>
        <row r="506">
          <cell r="B506" t="str">
            <v>STEEL ERECTION</v>
          </cell>
          <cell r="D506" t="str">
            <v>TON</v>
          </cell>
          <cell r="E506">
            <v>172.48</v>
          </cell>
          <cell r="F506">
            <v>140000</v>
          </cell>
          <cell r="G506">
            <v>24147200</v>
          </cell>
          <cell r="H506">
            <v>172.48</v>
          </cell>
          <cell r="I506">
            <v>140000</v>
          </cell>
          <cell r="J506">
            <v>24147200</v>
          </cell>
          <cell r="M506">
            <v>6899200</v>
          </cell>
          <cell r="N506">
            <v>17248000</v>
          </cell>
        </row>
        <row r="507">
          <cell r="B507" t="str">
            <v>H.T.B</v>
          </cell>
          <cell r="D507" t="str">
            <v>TON</v>
          </cell>
          <cell r="E507">
            <v>8900</v>
          </cell>
          <cell r="F507">
            <v>470</v>
          </cell>
          <cell r="G507">
            <v>4183000</v>
          </cell>
          <cell r="H507">
            <v>8900</v>
          </cell>
          <cell r="I507">
            <v>470</v>
          </cell>
          <cell r="J507">
            <v>4183000</v>
          </cell>
          <cell r="M507">
            <v>4183000</v>
          </cell>
          <cell r="N507">
            <v>0</v>
          </cell>
        </row>
        <row r="508">
          <cell r="B508" t="str">
            <v>ANC. BOLT</v>
          </cell>
          <cell r="C508" t="str">
            <v>M22*700L</v>
          </cell>
          <cell r="D508" t="str">
            <v>EA</v>
          </cell>
          <cell r="E508">
            <v>12</v>
          </cell>
          <cell r="F508">
            <v>9500</v>
          </cell>
          <cell r="G508">
            <v>114000</v>
          </cell>
          <cell r="H508">
            <v>12</v>
          </cell>
          <cell r="I508">
            <v>9500</v>
          </cell>
          <cell r="J508">
            <v>114000</v>
          </cell>
          <cell r="M508">
            <v>18000</v>
          </cell>
          <cell r="N508">
            <v>96000</v>
          </cell>
        </row>
        <row r="509">
          <cell r="B509" t="str">
            <v>ANC. BOLT</v>
          </cell>
          <cell r="C509" t="str">
            <v>M24*700L</v>
          </cell>
          <cell r="D509" t="str">
            <v>EA</v>
          </cell>
          <cell r="E509">
            <v>45</v>
          </cell>
          <cell r="F509">
            <v>10000</v>
          </cell>
          <cell r="G509">
            <v>450000</v>
          </cell>
          <cell r="H509">
            <v>45</v>
          </cell>
          <cell r="I509">
            <v>10000</v>
          </cell>
          <cell r="J509">
            <v>450000</v>
          </cell>
          <cell r="M509">
            <v>90000</v>
          </cell>
          <cell r="N509">
            <v>360000</v>
          </cell>
        </row>
        <row r="511">
          <cell r="B511" t="str">
            <v>SUB-TOTAL</v>
          </cell>
          <cell r="G511">
            <v>162963600</v>
          </cell>
          <cell r="J511">
            <v>162963600</v>
          </cell>
          <cell r="M511">
            <v>76267600</v>
          </cell>
          <cell r="N511">
            <v>86696000</v>
          </cell>
        </row>
        <row r="513">
          <cell r="A513" t="str">
            <v xml:space="preserve">  6)</v>
          </cell>
          <cell r="B513" t="str">
            <v>도장공사</v>
          </cell>
        </row>
        <row r="514">
          <cell r="B514" t="str">
            <v>광명단</v>
          </cell>
          <cell r="C514" t="str">
            <v>2회</v>
          </cell>
          <cell r="D514" t="str">
            <v>M2</v>
          </cell>
          <cell r="E514">
            <v>5635</v>
          </cell>
          <cell r="F514">
            <v>4000</v>
          </cell>
          <cell r="G514">
            <v>22540000</v>
          </cell>
          <cell r="H514">
            <v>5635</v>
          </cell>
          <cell r="I514">
            <v>4000</v>
          </cell>
          <cell r="J514">
            <v>22540000</v>
          </cell>
          <cell r="M514">
            <v>8452500</v>
          </cell>
          <cell r="N514">
            <v>14087500</v>
          </cell>
        </row>
        <row r="515">
          <cell r="B515" t="str">
            <v>유성페인트</v>
          </cell>
          <cell r="C515" t="str">
            <v>2회(중도)</v>
          </cell>
          <cell r="D515" t="str">
            <v>M2</v>
          </cell>
          <cell r="E515">
            <v>5635</v>
          </cell>
          <cell r="F515">
            <v>4000</v>
          </cell>
          <cell r="G515">
            <v>22540000</v>
          </cell>
          <cell r="H515">
            <v>5635</v>
          </cell>
          <cell r="I515">
            <v>4000</v>
          </cell>
          <cell r="J515">
            <v>22540000</v>
          </cell>
          <cell r="M515">
            <v>8452500</v>
          </cell>
          <cell r="N515">
            <v>14087500</v>
          </cell>
        </row>
        <row r="516">
          <cell r="B516" t="str">
            <v>유성페인트</v>
          </cell>
          <cell r="C516" t="str">
            <v>2회(하도)</v>
          </cell>
          <cell r="D516" t="str">
            <v>M2</v>
          </cell>
          <cell r="E516">
            <v>5635</v>
          </cell>
          <cell r="F516">
            <v>4000</v>
          </cell>
          <cell r="G516">
            <v>22540000</v>
          </cell>
          <cell r="H516">
            <v>5635</v>
          </cell>
          <cell r="I516">
            <v>4000</v>
          </cell>
          <cell r="J516">
            <v>22540000</v>
          </cell>
          <cell r="M516">
            <v>8452500</v>
          </cell>
          <cell r="N516">
            <v>14087500</v>
          </cell>
        </row>
        <row r="518">
          <cell r="B518" t="str">
            <v>SUB-TOTAL</v>
          </cell>
          <cell r="G518">
            <v>67620000</v>
          </cell>
          <cell r="J518">
            <v>67620000</v>
          </cell>
          <cell r="M518">
            <v>25357500</v>
          </cell>
          <cell r="N518">
            <v>42262500</v>
          </cell>
        </row>
        <row r="520">
          <cell r="A520" t="str">
            <v xml:space="preserve">  7)</v>
          </cell>
          <cell r="B520" t="str">
            <v>지정공사</v>
          </cell>
        </row>
        <row r="521">
          <cell r="B521" t="str">
            <v>PILE 두부보강 및 속채움</v>
          </cell>
          <cell r="D521" t="str">
            <v>NOS</v>
          </cell>
          <cell r="E521">
            <v>59</v>
          </cell>
          <cell r="F521">
            <v>10000</v>
          </cell>
          <cell r="G521">
            <v>590000</v>
          </cell>
          <cell r="H521">
            <v>59</v>
          </cell>
          <cell r="I521">
            <v>10000</v>
          </cell>
          <cell r="J521">
            <v>590000</v>
          </cell>
          <cell r="M521">
            <v>177000</v>
          </cell>
          <cell r="N521">
            <v>413000</v>
          </cell>
        </row>
        <row r="522">
          <cell r="M522">
            <v>0</v>
          </cell>
          <cell r="N522">
            <v>0</v>
          </cell>
        </row>
        <row r="523">
          <cell r="B523" t="str">
            <v>SUB-TOTAL</v>
          </cell>
          <cell r="G523">
            <v>590000</v>
          </cell>
          <cell r="J523">
            <v>590000</v>
          </cell>
          <cell r="M523">
            <v>177000</v>
          </cell>
          <cell r="N523">
            <v>413000</v>
          </cell>
        </row>
        <row r="525">
          <cell r="B525" t="str">
            <v>T O T A L</v>
          </cell>
          <cell r="G525">
            <v>246944994</v>
          </cell>
          <cell r="J525">
            <v>246944994</v>
          </cell>
          <cell r="M525">
            <v>112085484</v>
          </cell>
          <cell r="N525">
            <v>134859510</v>
          </cell>
        </row>
        <row r="544">
          <cell r="A544" t="str">
            <v xml:space="preserve">  6.</v>
          </cell>
          <cell r="B544" t="str">
            <v>HOMOGENIZING STR. #400</v>
          </cell>
        </row>
        <row r="546">
          <cell r="A546" t="str">
            <v xml:space="preserve">  1)</v>
          </cell>
          <cell r="B546" t="str">
            <v>가설공사</v>
          </cell>
        </row>
        <row r="547">
          <cell r="B547" t="str">
            <v>먹메김</v>
          </cell>
          <cell r="D547" t="str">
            <v>M2</v>
          </cell>
          <cell r="E547">
            <v>33.5</v>
          </cell>
          <cell r="F547">
            <v>1080</v>
          </cell>
          <cell r="G547">
            <v>36180</v>
          </cell>
          <cell r="H547">
            <v>33.5</v>
          </cell>
          <cell r="I547">
            <v>1080</v>
          </cell>
          <cell r="J547">
            <v>36180</v>
          </cell>
          <cell r="M547">
            <v>0</v>
          </cell>
          <cell r="N547">
            <v>36180</v>
          </cell>
        </row>
        <row r="549">
          <cell r="B549" t="str">
            <v>SUB-TOTAL</v>
          </cell>
          <cell r="G549">
            <v>36180</v>
          </cell>
          <cell r="J549">
            <v>36180</v>
          </cell>
          <cell r="M549">
            <v>0</v>
          </cell>
          <cell r="N549">
            <v>36180</v>
          </cell>
        </row>
        <row r="551">
          <cell r="A551" t="str">
            <v xml:space="preserve">  2)</v>
          </cell>
          <cell r="B551" t="str">
            <v>토공사</v>
          </cell>
        </row>
        <row r="552">
          <cell r="B552" t="str">
            <v>터파기</v>
          </cell>
          <cell r="D552" t="str">
            <v>M3</v>
          </cell>
          <cell r="E552">
            <v>310.05</v>
          </cell>
          <cell r="F552">
            <v>0</v>
          </cell>
          <cell r="G552">
            <v>0</v>
          </cell>
          <cell r="H552">
            <v>310.05</v>
          </cell>
          <cell r="I552">
            <v>0</v>
          </cell>
          <cell r="J552">
            <v>0</v>
          </cell>
          <cell r="M552">
            <v>0</v>
          </cell>
          <cell r="N552">
            <v>0</v>
          </cell>
          <cell r="O552" t="str">
            <v xml:space="preserve"> 제외</v>
          </cell>
        </row>
        <row r="553">
          <cell r="B553" t="str">
            <v>잔토처리</v>
          </cell>
          <cell r="D553" t="str">
            <v>M3</v>
          </cell>
          <cell r="E553">
            <v>90.85</v>
          </cell>
          <cell r="F553">
            <v>0</v>
          </cell>
          <cell r="G553">
            <v>0</v>
          </cell>
          <cell r="H553">
            <v>90.85</v>
          </cell>
          <cell r="I553">
            <v>0</v>
          </cell>
          <cell r="J553">
            <v>0</v>
          </cell>
          <cell r="M553">
            <v>0</v>
          </cell>
          <cell r="N553">
            <v>0</v>
          </cell>
          <cell r="O553" t="str">
            <v xml:space="preserve"> 제외</v>
          </cell>
        </row>
        <row r="554">
          <cell r="B554" t="str">
            <v>되메우기</v>
          </cell>
          <cell r="D554" t="str">
            <v>M3</v>
          </cell>
          <cell r="E554">
            <v>400.9</v>
          </cell>
          <cell r="F554">
            <v>5700</v>
          </cell>
          <cell r="G554">
            <v>2285130</v>
          </cell>
          <cell r="H554">
            <v>400.9</v>
          </cell>
          <cell r="I554">
            <v>5700</v>
          </cell>
          <cell r="J554">
            <v>2285130</v>
          </cell>
          <cell r="M554">
            <v>1683780</v>
          </cell>
          <cell r="N554">
            <v>601350</v>
          </cell>
        </row>
        <row r="556">
          <cell r="B556" t="str">
            <v>SUB-TOTAL</v>
          </cell>
          <cell r="G556">
            <v>2285130</v>
          </cell>
          <cell r="J556">
            <v>2285130</v>
          </cell>
          <cell r="M556">
            <v>1683780</v>
          </cell>
          <cell r="N556">
            <v>601350</v>
          </cell>
        </row>
        <row r="558">
          <cell r="A558" t="str">
            <v xml:space="preserve">  3)</v>
          </cell>
          <cell r="B558" t="str">
            <v>지정공사</v>
          </cell>
        </row>
        <row r="559">
          <cell r="B559" t="str">
            <v>PC PILE</v>
          </cell>
          <cell r="C559" t="str">
            <v>φ350 L=15M</v>
          </cell>
          <cell r="D559" t="str">
            <v>NOS</v>
          </cell>
          <cell r="E559">
            <v>64</v>
          </cell>
          <cell r="F559">
            <v>0</v>
          </cell>
          <cell r="G559">
            <v>0</v>
          </cell>
          <cell r="H559">
            <v>64</v>
          </cell>
          <cell r="I559">
            <v>0</v>
          </cell>
          <cell r="J559">
            <v>0</v>
          </cell>
          <cell r="M559">
            <v>0</v>
          </cell>
          <cell r="N559">
            <v>0</v>
          </cell>
          <cell r="O559" t="str">
            <v xml:space="preserve"> 제외</v>
          </cell>
        </row>
        <row r="560">
          <cell r="B560" t="str">
            <v>PILE 두부보강 및 속채움</v>
          </cell>
          <cell r="D560" t="str">
            <v>NOS</v>
          </cell>
          <cell r="E560">
            <v>64</v>
          </cell>
          <cell r="F560">
            <v>10000</v>
          </cell>
          <cell r="G560">
            <v>640000</v>
          </cell>
          <cell r="H560">
            <v>64</v>
          </cell>
          <cell r="I560">
            <v>10000</v>
          </cell>
          <cell r="J560">
            <v>640000</v>
          </cell>
          <cell r="M560">
            <v>192000</v>
          </cell>
          <cell r="N560">
            <v>448000</v>
          </cell>
        </row>
        <row r="562">
          <cell r="B562" t="str">
            <v>SUB-TOTAL</v>
          </cell>
          <cell r="G562">
            <v>640000</v>
          </cell>
          <cell r="J562">
            <v>640000</v>
          </cell>
          <cell r="M562">
            <v>192000</v>
          </cell>
          <cell r="N562">
            <v>448000</v>
          </cell>
        </row>
        <row r="564">
          <cell r="A564" t="str">
            <v xml:space="preserve">  4)</v>
          </cell>
          <cell r="B564" t="str">
            <v>철근공사</v>
          </cell>
        </row>
        <row r="565">
          <cell r="B565" t="str">
            <v>RE-BAR</v>
          </cell>
          <cell r="C565" t="str">
            <v>D10</v>
          </cell>
          <cell r="D565" t="str">
            <v>TON</v>
          </cell>
          <cell r="E565">
            <v>0.25</v>
          </cell>
          <cell r="F565">
            <v>310000</v>
          </cell>
          <cell r="G565">
            <v>77500</v>
          </cell>
          <cell r="H565">
            <v>0.25</v>
          </cell>
          <cell r="I565">
            <v>310000</v>
          </cell>
          <cell r="J565">
            <v>77500</v>
          </cell>
          <cell r="M565">
            <v>77500</v>
          </cell>
          <cell r="N565">
            <v>0</v>
          </cell>
        </row>
        <row r="566">
          <cell r="C566" t="str">
            <v>D13</v>
          </cell>
          <cell r="D566" t="str">
            <v>TON</v>
          </cell>
          <cell r="E566">
            <v>1.19</v>
          </cell>
          <cell r="F566">
            <v>310000</v>
          </cell>
          <cell r="G566">
            <v>368900</v>
          </cell>
          <cell r="H566">
            <v>1.19</v>
          </cell>
          <cell r="I566">
            <v>310000</v>
          </cell>
          <cell r="J566">
            <v>368900</v>
          </cell>
          <cell r="M566">
            <v>368900</v>
          </cell>
          <cell r="N566">
            <v>0</v>
          </cell>
        </row>
        <row r="567">
          <cell r="C567" t="str">
            <v>D16</v>
          </cell>
          <cell r="D567" t="str">
            <v>TON</v>
          </cell>
          <cell r="E567">
            <v>3.97</v>
          </cell>
          <cell r="F567">
            <v>310000</v>
          </cell>
          <cell r="G567">
            <v>1230700</v>
          </cell>
          <cell r="H567">
            <v>3.97</v>
          </cell>
          <cell r="I567">
            <v>310000</v>
          </cell>
          <cell r="J567">
            <v>1230700</v>
          </cell>
          <cell r="M567">
            <v>1230700</v>
          </cell>
          <cell r="N567">
            <v>0</v>
          </cell>
        </row>
        <row r="568">
          <cell r="C568" t="str">
            <v>D19</v>
          </cell>
          <cell r="D568" t="str">
            <v>TON</v>
          </cell>
          <cell r="E568">
            <v>7.75</v>
          </cell>
          <cell r="F568">
            <v>310000</v>
          </cell>
          <cell r="G568">
            <v>2402500</v>
          </cell>
          <cell r="H568">
            <v>7.75</v>
          </cell>
          <cell r="I568">
            <v>310000</v>
          </cell>
          <cell r="J568">
            <v>2402500</v>
          </cell>
          <cell r="M568">
            <v>2402500</v>
          </cell>
          <cell r="N568">
            <v>0</v>
          </cell>
        </row>
        <row r="569">
          <cell r="C569" t="str">
            <v>D22</v>
          </cell>
          <cell r="D569" t="str">
            <v>TON</v>
          </cell>
          <cell r="E569">
            <v>0.91</v>
          </cell>
          <cell r="F569">
            <v>310000</v>
          </cell>
          <cell r="G569">
            <v>282100</v>
          </cell>
          <cell r="H569">
            <v>0.91</v>
          </cell>
          <cell r="I569">
            <v>310000</v>
          </cell>
          <cell r="J569">
            <v>282100</v>
          </cell>
          <cell r="M569">
            <v>282100</v>
          </cell>
          <cell r="N569">
            <v>0</v>
          </cell>
        </row>
        <row r="570">
          <cell r="B570" t="str">
            <v>RE-FORMING</v>
          </cell>
          <cell r="D570" t="str">
            <v>TON</v>
          </cell>
          <cell r="E570">
            <v>13.66</v>
          </cell>
          <cell r="F570">
            <v>227000</v>
          </cell>
          <cell r="G570">
            <v>3100820</v>
          </cell>
          <cell r="H570">
            <v>13.66</v>
          </cell>
          <cell r="I570">
            <v>227000</v>
          </cell>
          <cell r="J570">
            <v>3100820</v>
          </cell>
          <cell r="M570">
            <v>163920</v>
          </cell>
          <cell r="N570">
            <v>2936900</v>
          </cell>
        </row>
        <row r="572">
          <cell r="B572" t="str">
            <v>SUB-TOTAL</v>
          </cell>
          <cell r="G572">
            <v>7462520</v>
          </cell>
          <cell r="J572">
            <v>7462520</v>
          </cell>
          <cell r="M572">
            <v>4525620</v>
          </cell>
          <cell r="N572">
            <v>2936900</v>
          </cell>
        </row>
        <row r="574">
          <cell r="A574" t="str">
            <v xml:space="preserve">  5)</v>
          </cell>
          <cell r="B574" t="str">
            <v>콘크리트공사</v>
          </cell>
        </row>
        <row r="575">
          <cell r="B575" t="str">
            <v>CON'C</v>
          </cell>
          <cell r="C575" t="str">
            <v>FC=135KG/㎠</v>
          </cell>
          <cell r="D575" t="str">
            <v>M3</v>
          </cell>
          <cell r="E575">
            <v>13.94</v>
          </cell>
          <cell r="F575">
            <v>50950</v>
          </cell>
          <cell r="G575">
            <v>710243</v>
          </cell>
          <cell r="H575">
            <v>13.94</v>
          </cell>
          <cell r="I575">
            <v>50950</v>
          </cell>
          <cell r="J575">
            <v>710243</v>
          </cell>
          <cell r="M575">
            <v>710243</v>
          </cell>
          <cell r="N575">
            <v>0</v>
          </cell>
        </row>
        <row r="576">
          <cell r="B576" t="str">
            <v/>
          </cell>
          <cell r="C576" t="str">
            <v>FC=210KG/㎠</v>
          </cell>
          <cell r="D576" t="str">
            <v>M3</v>
          </cell>
          <cell r="E576">
            <v>148.97</v>
          </cell>
          <cell r="F576">
            <v>59770</v>
          </cell>
          <cell r="G576">
            <v>8903936</v>
          </cell>
          <cell r="H576">
            <v>148.97</v>
          </cell>
          <cell r="I576">
            <v>59770</v>
          </cell>
          <cell r="J576">
            <v>8903936</v>
          </cell>
          <cell r="M576">
            <v>8903936</v>
          </cell>
          <cell r="N576">
            <v>0</v>
          </cell>
        </row>
        <row r="577">
          <cell r="B577" t="str">
            <v>콘크리트 치기</v>
          </cell>
          <cell r="D577" t="str">
            <v>M3</v>
          </cell>
          <cell r="E577">
            <v>162.91</v>
          </cell>
          <cell r="F577">
            <v>11400</v>
          </cell>
          <cell r="G577">
            <v>1857174</v>
          </cell>
          <cell r="H577">
            <v>162.91</v>
          </cell>
          <cell r="I577">
            <v>11400</v>
          </cell>
          <cell r="J577">
            <v>1857174</v>
          </cell>
          <cell r="M577">
            <v>293238</v>
          </cell>
          <cell r="N577">
            <v>1563936</v>
          </cell>
        </row>
        <row r="578">
          <cell r="B578" t="str">
            <v>GROUT</v>
          </cell>
          <cell r="C578" t="str">
            <v>T=30</v>
          </cell>
          <cell r="D578" t="str">
            <v>M3</v>
          </cell>
          <cell r="E578">
            <v>0.56999999999999995</v>
          </cell>
          <cell r="F578">
            <v>1130800</v>
          </cell>
          <cell r="G578">
            <v>644556</v>
          </cell>
          <cell r="H578">
            <v>0.56999999999999995</v>
          </cell>
          <cell r="I578">
            <v>1130800</v>
          </cell>
          <cell r="J578">
            <v>644556</v>
          </cell>
          <cell r="M578">
            <v>381900</v>
          </cell>
          <cell r="N578">
            <v>262656</v>
          </cell>
        </row>
        <row r="579">
          <cell r="B579" t="str">
            <v>GROUT</v>
          </cell>
          <cell r="C579" t="str">
            <v>T=50</v>
          </cell>
          <cell r="F579">
            <v>0</v>
          </cell>
          <cell r="G579">
            <v>0</v>
          </cell>
          <cell r="I579">
            <v>0</v>
          </cell>
          <cell r="J579">
            <v>0</v>
          </cell>
          <cell r="M579">
            <v>0</v>
          </cell>
          <cell r="N579">
            <v>0</v>
          </cell>
        </row>
        <row r="581">
          <cell r="B581" t="str">
            <v>SUB-TOTAL</v>
          </cell>
          <cell r="G581">
            <v>12115909</v>
          </cell>
          <cell r="J581">
            <v>12115909</v>
          </cell>
          <cell r="M581">
            <v>10289317</v>
          </cell>
          <cell r="N581">
            <v>1826592</v>
          </cell>
        </row>
        <row r="583">
          <cell r="A583" t="str">
            <v xml:space="preserve">  6)</v>
          </cell>
          <cell r="B583" t="str">
            <v>거푸집 공사</v>
          </cell>
          <cell r="O583" t="str">
            <v xml:space="preserve"> 소운반,</v>
          </cell>
        </row>
        <row r="584">
          <cell r="B584" t="str">
            <v>거푸집</v>
          </cell>
          <cell r="C584" t="str">
            <v>4회</v>
          </cell>
          <cell r="D584" t="str">
            <v>M2</v>
          </cell>
          <cell r="E584">
            <v>554.20000000000005</v>
          </cell>
          <cell r="F584">
            <v>21360</v>
          </cell>
          <cell r="G584">
            <v>11837712</v>
          </cell>
          <cell r="H584">
            <v>554.20000000000005</v>
          </cell>
          <cell r="I584">
            <v>21360</v>
          </cell>
          <cell r="J584">
            <v>11837712</v>
          </cell>
          <cell r="M584">
            <v>3413872</v>
          </cell>
          <cell r="N584">
            <v>8423840</v>
          </cell>
          <cell r="O584" t="str">
            <v xml:space="preserve"> 정리비</v>
          </cell>
        </row>
        <row r="585">
          <cell r="O585" t="str">
            <v xml:space="preserve"> 포  함</v>
          </cell>
        </row>
        <row r="586">
          <cell r="B586" t="str">
            <v>SUB-TOTAL</v>
          </cell>
          <cell r="G586">
            <v>11837712</v>
          </cell>
          <cell r="J586">
            <v>11837712</v>
          </cell>
          <cell r="M586">
            <v>3413872</v>
          </cell>
          <cell r="N586">
            <v>8423840</v>
          </cell>
        </row>
        <row r="588">
          <cell r="A588" t="str">
            <v xml:space="preserve">  7)</v>
          </cell>
          <cell r="B588" t="str">
            <v>철골공사</v>
          </cell>
        </row>
        <row r="589">
          <cell r="B589" t="str">
            <v>H-194*150*6*9</v>
          </cell>
          <cell r="D589" t="str">
            <v>TON</v>
          </cell>
          <cell r="E589">
            <v>4.54</v>
          </cell>
          <cell r="F589">
            <v>400000</v>
          </cell>
          <cell r="G589">
            <v>1816000</v>
          </cell>
          <cell r="H589">
            <v>4.54</v>
          </cell>
          <cell r="I589">
            <v>400000</v>
          </cell>
          <cell r="J589">
            <v>1816000</v>
          </cell>
          <cell r="M589">
            <v>1816000</v>
          </cell>
          <cell r="N589">
            <v>0</v>
          </cell>
        </row>
        <row r="590">
          <cell r="B590" t="str">
            <v>H-200*100*5.5*8</v>
          </cell>
          <cell r="D590" t="str">
            <v>TON</v>
          </cell>
          <cell r="E590">
            <v>0.09</v>
          </cell>
          <cell r="F590">
            <v>400000</v>
          </cell>
          <cell r="G590">
            <v>36000</v>
          </cell>
          <cell r="H590">
            <v>0.09</v>
          </cell>
          <cell r="I590">
            <v>400000</v>
          </cell>
          <cell r="J590">
            <v>36000</v>
          </cell>
          <cell r="M590">
            <v>36000</v>
          </cell>
          <cell r="N590">
            <v>0</v>
          </cell>
        </row>
        <row r="591">
          <cell r="B591" t="str">
            <v>H-250*125*6*9</v>
          </cell>
          <cell r="D591" t="str">
            <v>TON</v>
          </cell>
          <cell r="E591">
            <v>0.7</v>
          </cell>
          <cell r="F591">
            <v>400000</v>
          </cell>
          <cell r="G591">
            <v>280000</v>
          </cell>
          <cell r="H591">
            <v>0.7</v>
          </cell>
          <cell r="I591">
            <v>400000</v>
          </cell>
          <cell r="J591">
            <v>280000</v>
          </cell>
          <cell r="M591">
            <v>280000</v>
          </cell>
          <cell r="N591">
            <v>0</v>
          </cell>
        </row>
        <row r="592">
          <cell r="B592" t="str">
            <v>ㄷ-125*65*6*8</v>
          </cell>
          <cell r="D592" t="str">
            <v>TON</v>
          </cell>
          <cell r="E592">
            <v>1.44</v>
          </cell>
          <cell r="F592">
            <v>385000</v>
          </cell>
          <cell r="G592">
            <v>554400</v>
          </cell>
          <cell r="H592">
            <v>1.44</v>
          </cell>
          <cell r="I592">
            <v>385000</v>
          </cell>
          <cell r="J592">
            <v>554400</v>
          </cell>
          <cell r="M592">
            <v>554400</v>
          </cell>
          <cell r="N592">
            <v>0</v>
          </cell>
        </row>
        <row r="593">
          <cell r="B593" t="str">
            <v>ㄷ-200*90*8*13.5</v>
          </cell>
          <cell r="D593" t="str">
            <v>TON</v>
          </cell>
          <cell r="E593">
            <v>2.0099999999999998</v>
          </cell>
          <cell r="F593">
            <v>430000</v>
          </cell>
          <cell r="G593">
            <v>864300</v>
          </cell>
          <cell r="H593">
            <v>2.0099999999999998</v>
          </cell>
          <cell r="I593">
            <v>430000</v>
          </cell>
          <cell r="J593">
            <v>864300</v>
          </cell>
          <cell r="M593">
            <v>864300</v>
          </cell>
          <cell r="N593">
            <v>0</v>
          </cell>
        </row>
        <row r="594">
          <cell r="B594" t="str">
            <v>ㄷ-150*75*6.5*10</v>
          </cell>
          <cell r="D594" t="str">
            <v>TON</v>
          </cell>
          <cell r="E594">
            <v>0.33</v>
          </cell>
          <cell r="F594">
            <v>390000</v>
          </cell>
          <cell r="G594">
            <v>128700</v>
          </cell>
          <cell r="H594">
            <v>0.33</v>
          </cell>
          <cell r="I594">
            <v>390000</v>
          </cell>
          <cell r="J594">
            <v>128700</v>
          </cell>
          <cell r="M594">
            <v>128700</v>
          </cell>
          <cell r="N594">
            <v>0</v>
          </cell>
        </row>
        <row r="595">
          <cell r="B595" t="str">
            <v>ㄷ-100*50*5*7.5</v>
          </cell>
          <cell r="D595" t="str">
            <v>TON</v>
          </cell>
          <cell r="E595">
            <v>0.05</v>
          </cell>
          <cell r="F595">
            <v>385000</v>
          </cell>
          <cell r="G595">
            <v>19250</v>
          </cell>
          <cell r="H595">
            <v>0.05</v>
          </cell>
          <cell r="I595">
            <v>385000</v>
          </cell>
          <cell r="J595">
            <v>19250</v>
          </cell>
          <cell r="M595">
            <v>19250</v>
          </cell>
          <cell r="N595">
            <v>0</v>
          </cell>
        </row>
        <row r="596">
          <cell r="B596" t="str">
            <v>L-50*50*6</v>
          </cell>
          <cell r="D596" t="str">
            <v>TON</v>
          </cell>
          <cell r="E596">
            <v>0.78</v>
          </cell>
          <cell r="F596">
            <v>360000</v>
          </cell>
          <cell r="G596">
            <v>280800</v>
          </cell>
          <cell r="H596">
            <v>0.78</v>
          </cell>
          <cell r="I596">
            <v>360000</v>
          </cell>
          <cell r="J596">
            <v>280800</v>
          </cell>
          <cell r="M596">
            <v>280800</v>
          </cell>
          <cell r="N596">
            <v>0</v>
          </cell>
        </row>
        <row r="597">
          <cell r="B597" t="str">
            <v>L-65*65*6</v>
          </cell>
          <cell r="D597" t="str">
            <v>TON</v>
          </cell>
          <cell r="E597">
            <v>0.24</v>
          </cell>
          <cell r="F597">
            <v>360000</v>
          </cell>
          <cell r="G597">
            <v>86400</v>
          </cell>
          <cell r="H597">
            <v>0.24</v>
          </cell>
          <cell r="I597">
            <v>360000</v>
          </cell>
          <cell r="J597">
            <v>86400</v>
          </cell>
          <cell r="M597">
            <v>86400</v>
          </cell>
          <cell r="N597">
            <v>0</v>
          </cell>
        </row>
        <row r="598">
          <cell r="B598" t="str">
            <v>L-75*75*6</v>
          </cell>
          <cell r="D598" t="str">
            <v>TON</v>
          </cell>
          <cell r="E598">
            <v>0.35</v>
          </cell>
          <cell r="F598">
            <v>360000</v>
          </cell>
          <cell r="G598">
            <v>126000</v>
          </cell>
          <cell r="H598">
            <v>0.35</v>
          </cell>
          <cell r="I598">
            <v>360000</v>
          </cell>
          <cell r="J598">
            <v>126000</v>
          </cell>
          <cell r="M598">
            <v>126000</v>
          </cell>
          <cell r="N598">
            <v>0</v>
          </cell>
        </row>
        <row r="599">
          <cell r="B599" t="str">
            <v>STEEL PLATE</v>
          </cell>
          <cell r="D599" t="str">
            <v>TON</v>
          </cell>
          <cell r="E599">
            <v>1.05</v>
          </cell>
          <cell r="F599">
            <v>380000</v>
          </cell>
          <cell r="G599">
            <v>399000</v>
          </cell>
          <cell r="H599">
            <v>1.05</v>
          </cell>
          <cell r="I599">
            <v>380000</v>
          </cell>
          <cell r="J599">
            <v>399000</v>
          </cell>
          <cell r="M599">
            <v>399000</v>
          </cell>
          <cell r="N599">
            <v>0</v>
          </cell>
        </row>
        <row r="600">
          <cell r="B600" t="str">
            <v>CHK'D PLATE</v>
          </cell>
          <cell r="D600" t="str">
            <v>TON</v>
          </cell>
          <cell r="E600">
            <v>4.3</v>
          </cell>
          <cell r="F600">
            <v>400000</v>
          </cell>
          <cell r="G600">
            <v>1720000</v>
          </cell>
          <cell r="H600">
            <v>4.3</v>
          </cell>
          <cell r="I600">
            <v>400000</v>
          </cell>
          <cell r="J600">
            <v>1720000</v>
          </cell>
          <cell r="M600">
            <v>1720000</v>
          </cell>
          <cell r="N600">
            <v>0</v>
          </cell>
        </row>
        <row r="601">
          <cell r="B601" t="str">
            <v>HANDRAIL</v>
          </cell>
          <cell r="D601" t="str">
            <v>TON</v>
          </cell>
          <cell r="E601">
            <v>1.95</v>
          </cell>
          <cell r="F601">
            <v>500000</v>
          </cell>
          <cell r="G601">
            <v>975000</v>
          </cell>
          <cell r="H601">
            <v>1.95</v>
          </cell>
          <cell r="I601">
            <v>500000</v>
          </cell>
          <cell r="J601">
            <v>975000</v>
          </cell>
          <cell r="M601">
            <v>975000</v>
          </cell>
          <cell r="N601">
            <v>0</v>
          </cell>
        </row>
        <row r="602">
          <cell r="B602" t="str">
            <v>STEEL LADDER</v>
          </cell>
          <cell r="D602" t="str">
            <v>TON</v>
          </cell>
          <cell r="E602">
            <v>0.02</v>
          </cell>
          <cell r="F602">
            <v>500000</v>
          </cell>
          <cell r="G602">
            <v>10000</v>
          </cell>
          <cell r="H602">
            <v>0.02</v>
          </cell>
          <cell r="I602">
            <v>500000</v>
          </cell>
          <cell r="J602">
            <v>10000</v>
          </cell>
          <cell r="M602">
            <v>10000</v>
          </cell>
          <cell r="N602">
            <v>0</v>
          </cell>
        </row>
        <row r="603">
          <cell r="B603" t="str">
            <v>H.T.B</v>
          </cell>
          <cell r="D603" t="str">
            <v>EA</v>
          </cell>
          <cell r="E603">
            <v>1150</v>
          </cell>
          <cell r="F603">
            <v>470</v>
          </cell>
          <cell r="G603">
            <v>540500</v>
          </cell>
          <cell r="H603">
            <v>1150</v>
          </cell>
          <cell r="I603">
            <v>470</v>
          </cell>
          <cell r="J603">
            <v>540500</v>
          </cell>
          <cell r="M603">
            <v>540500</v>
          </cell>
          <cell r="N603">
            <v>0</v>
          </cell>
        </row>
        <row r="604">
          <cell r="B604" t="str">
            <v>STEEL FORMING</v>
          </cell>
          <cell r="D604" t="str">
            <v>TON</v>
          </cell>
          <cell r="E604">
            <v>16.690000000000001</v>
          </cell>
          <cell r="F604">
            <v>430000</v>
          </cell>
          <cell r="G604">
            <v>7176700</v>
          </cell>
          <cell r="H604">
            <v>16.690000000000001</v>
          </cell>
          <cell r="I604">
            <v>430000</v>
          </cell>
          <cell r="J604">
            <v>7176700</v>
          </cell>
          <cell r="M604">
            <v>500700</v>
          </cell>
          <cell r="N604">
            <v>6676000</v>
          </cell>
        </row>
        <row r="605">
          <cell r="B605" t="str">
            <v>STEEL ERECTION</v>
          </cell>
          <cell r="D605" t="str">
            <v>TON</v>
          </cell>
          <cell r="E605">
            <v>16.690000000000001</v>
          </cell>
          <cell r="F605">
            <v>140000</v>
          </cell>
          <cell r="G605">
            <v>2336600</v>
          </cell>
          <cell r="H605">
            <v>16.690000000000001</v>
          </cell>
          <cell r="I605">
            <v>140000</v>
          </cell>
          <cell r="J605">
            <v>2336600</v>
          </cell>
          <cell r="M605">
            <v>667600</v>
          </cell>
          <cell r="N605">
            <v>1669000</v>
          </cell>
        </row>
        <row r="606">
          <cell r="B606" t="str">
            <v>ANCHOR BOLT</v>
          </cell>
          <cell r="D606" t="str">
            <v>NOS</v>
          </cell>
          <cell r="E606">
            <v>40</v>
          </cell>
          <cell r="F606">
            <v>9500</v>
          </cell>
          <cell r="G606">
            <v>380000</v>
          </cell>
          <cell r="H606">
            <v>40</v>
          </cell>
          <cell r="I606">
            <v>9500</v>
          </cell>
          <cell r="J606">
            <v>380000</v>
          </cell>
          <cell r="M606">
            <v>60000</v>
          </cell>
          <cell r="N606">
            <v>320000</v>
          </cell>
        </row>
        <row r="608">
          <cell r="B608" t="str">
            <v>SUB-TOTAL</v>
          </cell>
          <cell r="G608">
            <v>17729650</v>
          </cell>
          <cell r="J608">
            <v>17729650</v>
          </cell>
          <cell r="M608">
            <v>9064650</v>
          </cell>
          <cell r="N608">
            <v>8665000</v>
          </cell>
        </row>
        <row r="610">
          <cell r="A610" t="str">
            <v xml:space="preserve">  8)</v>
          </cell>
          <cell r="B610" t="str">
            <v>도장공사</v>
          </cell>
        </row>
        <row r="611">
          <cell r="B611" t="str">
            <v>광명단</v>
          </cell>
          <cell r="C611" t="str">
            <v>2회</v>
          </cell>
          <cell r="D611" t="str">
            <v>M2</v>
          </cell>
          <cell r="E611">
            <v>634.16</v>
          </cell>
          <cell r="F611">
            <v>4000</v>
          </cell>
          <cell r="G611">
            <v>2536640</v>
          </cell>
          <cell r="H611">
            <v>634.16</v>
          </cell>
          <cell r="I611">
            <v>4000</v>
          </cell>
          <cell r="J611">
            <v>2536640</v>
          </cell>
          <cell r="M611">
            <v>951240</v>
          </cell>
          <cell r="N611">
            <v>1585400</v>
          </cell>
        </row>
        <row r="612">
          <cell r="B612" t="str">
            <v>유성페인트</v>
          </cell>
          <cell r="C612" t="str">
            <v>2회(중도)</v>
          </cell>
          <cell r="D612" t="str">
            <v>M2</v>
          </cell>
          <cell r="E612">
            <v>634.16</v>
          </cell>
          <cell r="F612">
            <v>4000</v>
          </cell>
          <cell r="G612">
            <v>2536640</v>
          </cell>
          <cell r="H612">
            <v>634.16</v>
          </cell>
          <cell r="I612">
            <v>4000</v>
          </cell>
          <cell r="J612">
            <v>2536640</v>
          </cell>
          <cell r="M612">
            <v>951240</v>
          </cell>
          <cell r="N612">
            <v>1585400</v>
          </cell>
        </row>
        <row r="613">
          <cell r="B613" t="str">
            <v>유성페인트</v>
          </cell>
          <cell r="C613" t="str">
            <v>2회(하도)</v>
          </cell>
          <cell r="D613" t="str">
            <v>M2</v>
          </cell>
          <cell r="E613">
            <v>634.16</v>
          </cell>
          <cell r="F613">
            <v>4000</v>
          </cell>
          <cell r="G613">
            <v>2536640</v>
          </cell>
          <cell r="H613">
            <v>634.16</v>
          </cell>
          <cell r="I613">
            <v>4000</v>
          </cell>
          <cell r="J613">
            <v>2536640</v>
          </cell>
          <cell r="M613">
            <v>951240</v>
          </cell>
          <cell r="N613">
            <v>1585400</v>
          </cell>
        </row>
        <row r="615">
          <cell r="B615" t="str">
            <v>SUB-TOTAL</v>
          </cell>
          <cell r="G615">
            <v>7609920</v>
          </cell>
          <cell r="J615">
            <v>7609920</v>
          </cell>
          <cell r="M615">
            <v>2853720</v>
          </cell>
          <cell r="N615">
            <v>4756200</v>
          </cell>
        </row>
        <row r="617">
          <cell r="B617" t="str">
            <v>T O T A L</v>
          </cell>
          <cell r="G617">
            <v>59717021</v>
          </cell>
          <cell r="J617">
            <v>59717021</v>
          </cell>
          <cell r="M617">
            <v>32022959</v>
          </cell>
          <cell r="N617">
            <v>27694062</v>
          </cell>
        </row>
        <row r="634">
          <cell r="A634" t="str">
            <v xml:space="preserve">  7.</v>
          </cell>
          <cell r="B634" t="str">
            <v>SHOWER ROOM</v>
          </cell>
        </row>
        <row r="636">
          <cell r="A636" t="str">
            <v xml:space="preserve">  1)</v>
          </cell>
          <cell r="B636" t="str">
            <v>가설공사</v>
          </cell>
        </row>
        <row r="637">
          <cell r="B637" t="str">
            <v>규준틀</v>
          </cell>
          <cell r="D637" t="str">
            <v>M2</v>
          </cell>
          <cell r="E637">
            <v>35.4</v>
          </cell>
          <cell r="F637">
            <v>1550</v>
          </cell>
          <cell r="G637">
            <v>54870</v>
          </cell>
          <cell r="H637">
            <v>35.4</v>
          </cell>
          <cell r="I637">
            <v>1550</v>
          </cell>
          <cell r="J637">
            <v>54870</v>
          </cell>
          <cell r="M637">
            <v>12390</v>
          </cell>
          <cell r="N637">
            <v>42480</v>
          </cell>
        </row>
        <row r="638">
          <cell r="B638" t="str">
            <v>외부비계</v>
          </cell>
          <cell r="D638" t="str">
            <v>M2</v>
          </cell>
          <cell r="E638">
            <v>91.4</v>
          </cell>
          <cell r="F638">
            <v>5840</v>
          </cell>
          <cell r="G638">
            <v>533776</v>
          </cell>
          <cell r="H638">
            <v>91.4</v>
          </cell>
          <cell r="I638">
            <v>5840</v>
          </cell>
          <cell r="J638">
            <v>533776</v>
          </cell>
          <cell r="M638">
            <v>82260</v>
          </cell>
          <cell r="N638">
            <v>451516</v>
          </cell>
        </row>
        <row r="639">
          <cell r="B639" t="str">
            <v>내부비계</v>
          </cell>
          <cell r="D639" t="str">
            <v>M2</v>
          </cell>
          <cell r="E639">
            <v>70.8</v>
          </cell>
          <cell r="F639">
            <v>5360</v>
          </cell>
          <cell r="G639">
            <v>379488</v>
          </cell>
          <cell r="H639">
            <v>70.8</v>
          </cell>
          <cell r="I639">
            <v>5360</v>
          </cell>
          <cell r="J639">
            <v>379488</v>
          </cell>
          <cell r="M639">
            <v>60180</v>
          </cell>
          <cell r="N639">
            <v>319308</v>
          </cell>
        </row>
        <row r="640">
          <cell r="B640" t="str">
            <v>비계다리</v>
          </cell>
          <cell r="D640" t="str">
            <v>M2</v>
          </cell>
          <cell r="E640">
            <v>20.2</v>
          </cell>
          <cell r="F640">
            <v>50000</v>
          </cell>
          <cell r="G640">
            <v>1010000</v>
          </cell>
          <cell r="H640">
            <v>20.2</v>
          </cell>
          <cell r="I640">
            <v>50000</v>
          </cell>
          <cell r="J640">
            <v>1010000</v>
          </cell>
          <cell r="M640">
            <v>404000</v>
          </cell>
          <cell r="N640">
            <v>606000</v>
          </cell>
        </row>
        <row r="641">
          <cell r="B641" t="str">
            <v>동바리</v>
          </cell>
          <cell r="D641" t="str">
            <v>공/M3</v>
          </cell>
          <cell r="E641">
            <v>184</v>
          </cell>
          <cell r="F641">
            <v>3610</v>
          </cell>
          <cell r="G641">
            <v>664240</v>
          </cell>
          <cell r="H641">
            <v>184</v>
          </cell>
          <cell r="I641">
            <v>3610</v>
          </cell>
          <cell r="J641">
            <v>664240</v>
          </cell>
          <cell r="M641">
            <v>167440</v>
          </cell>
          <cell r="N641">
            <v>496800</v>
          </cell>
        </row>
        <row r="642">
          <cell r="B642" t="str">
            <v>현장정리</v>
          </cell>
          <cell r="D642" t="str">
            <v>M2</v>
          </cell>
          <cell r="E642">
            <v>70.8</v>
          </cell>
          <cell r="F642">
            <v>2000</v>
          </cell>
          <cell r="G642">
            <v>141600</v>
          </cell>
          <cell r="H642">
            <v>70.8</v>
          </cell>
          <cell r="I642">
            <v>2000</v>
          </cell>
          <cell r="J642">
            <v>141600</v>
          </cell>
          <cell r="M642">
            <v>0</v>
          </cell>
          <cell r="N642">
            <v>141600</v>
          </cell>
        </row>
        <row r="643">
          <cell r="B643" t="str">
            <v>타일양생</v>
          </cell>
          <cell r="D643" t="str">
            <v>M2</v>
          </cell>
          <cell r="E643">
            <v>22.1</v>
          </cell>
          <cell r="F643">
            <v>350</v>
          </cell>
          <cell r="G643">
            <v>7735</v>
          </cell>
          <cell r="H643">
            <v>22.1</v>
          </cell>
          <cell r="I643">
            <v>350</v>
          </cell>
          <cell r="J643">
            <v>7735</v>
          </cell>
          <cell r="M643">
            <v>1105</v>
          </cell>
          <cell r="N643">
            <v>6630</v>
          </cell>
        </row>
        <row r="644">
          <cell r="B644" t="str">
            <v>콘크리트 양생</v>
          </cell>
          <cell r="D644" t="str">
            <v>M2</v>
          </cell>
          <cell r="E644">
            <v>106.2</v>
          </cell>
          <cell r="F644">
            <v>300</v>
          </cell>
          <cell r="G644">
            <v>31860</v>
          </cell>
          <cell r="H644">
            <v>106.2</v>
          </cell>
          <cell r="I644">
            <v>300</v>
          </cell>
          <cell r="J644">
            <v>31860</v>
          </cell>
          <cell r="M644">
            <v>0</v>
          </cell>
          <cell r="N644">
            <v>31860</v>
          </cell>
        </row>
        <row r="645">
          <cell r="B645" t="str">
            <v>먹메김</v>
          </cell>
          <cell r="D645" t="str">
            <v>M2</v>
          </cell>
          <cell r="E645">
            <v>35.4</v>
          </cell>
          <cell r="F645">
            <v>1080</v>
          </cell>
          <cell r="G645">
            <v>38232</v>
          </cell>
          <cell r="H645">
            <v>35.4</v>
          </cell>
          <cell r="I645">
            <v>1080</v>
          </cell>
          <cell r="J645">
            <v>38232</v>
          </cell>
          <cell r="M645">
            <v>0</v>
          </cell>
          <cell r="N645">
            <v>38232</v>
          </cell>
        </row>
        <row r="647">
          <cell r="B647" t="str">
            <v>SUB-TOTAL</v>
          </cell>
          <cell r="G647">
            <v>2861801</v>
          </cell>
          <cell r="J647">
            <v>2861801</v>
          </cell>
          <cell r="M647">
            <v>727375</v>
          </cell>
          <cell r="N647">
            <v>2134426</v>
          </cell>
        </row>
        <row r="649">
          <cell r="A649" t="str">
            <v xml:space="preserve">  2)</v>
          </cell>
          <cell r="B649" t="str">
            <v>토공사</v>
          </cell>
        </row>
        <row r="650">
          <cell r="B650" t="str">
            <v>터파기</v>
          </cell>
          <cell r="C650" t="str">
            <v>HAND</v>
          </cell>
          <cell r="D650" t="str">
            <v>M3</v>
          </cell>
          <cell r="E650">
            <v>30.55</v>
          </cell>
          <cell r="F650">
            <v>16500</v>
          </cell>
          <cell r="G650">
            <v>504075</v>
          </cell>
          <cell r="H650">
            <v>30.55</v>
          </cell>
          <cell r="I650">
            <v>16500</v>
          </cell>
          <cell r="J650">
            <v>504075</v>
          </cell>
          <cell r="M650">
            <v>0</v>
          </cell>
          <cell r="N650">
            <v>504075</v>
          </cell>
        </row>
        <row r="651">
          <cell r="B651" t="str">
            <v>잔토처리</v>
          </cell>
          <cell r="C651" t="str">
            <v>HAND</v>
          </cell>
          <cell r="D651" t="str">
            <v>M3</v>
          </cell>
          <cell r="E651">
            <v>17.41</v>
          </cell>
          <cell r="F651">
            <v>11350</v>
          </cell>
          <cell r="G651">
            <v>197603</v>
          </cell>
          <cell r="H651">
            <v>17.41</v>
          </cell>
          <cell r="I651">
            <v>11350</v>
          </cell>
          <cell r="J651">
            <v>197603</v>
          </cell>
          <cell r="M651">
            <v>95755</v>
          </cell>
          <cell r="N651">
            <v>101848</v>
          </cell>
        </row>
        <row r="652">
          <cell r="B652" t="str">
            <v>되메우기</v>
          </cell>
          <cell r="C652" t="str">
            <v>HAND</v>
          </cell>
          <cell r="D652" t="str">
            <v>M3</v>
          </cell>
          <cell r="E652">
            <v>13.14</v>
          </cell>
          <cell r="F652">
            <v>11800</v>
          </cell>
          <cell r="G652">
            <v>155052</v>
          </cell>
          <cell r="H652">
            <v>13.14</v>
          </cell>
          <cell r="I652">
            <v>11800</v>
          </cell>
          <cell r="J652">
            <v>155052</v>
          </cell>
          <cell r="M652">
            <v>0</v>
          </cell>
          <cell r="N652">
            <v>155052</v>
          </cell>
        </row>
        <row r="654">
          <cell r="B654" t="str">
            <v>SUB-TOTAL</v>
          </cell>
          <cell r="G654">
            <v>856730</v>
          </cell>
          <cell r="J654">
            <v>856730</v>
          </cell>
          <cell r="M654">
            <v>95755</v>
          </cell>
          <cell r="N654">
            <v>760975</v>
          </cell>
        </row>
        <row r="656">
          <cell r="A656" t="str">
            <v xml:space="preserve">  3)</v>
          </cell>
          <cell r="B656" t="str">
            <v>철근공사</v>
          </cell>
        </row>
        <row r="657">
          <cell r="B657" t="str">
            <v>RE-BAR</v>
          </cell>
          <cell r="C657" t="str">
            <v>D10</v>
          </cell>
          <cell r="D657" t="str">
            <v>TON</v>
          </cell>
          <cell r="E657">
            <v>0.38</v>
          </cell>
          <cell r="F657">
            <v>310000</v>
          </cell>
          <cell r="G657">
            <v>117800</v>
          </cell>
          <cell r="H657">
            <v>0.38</v>
          </cell>
          <cell r="I657">
            <v>310000</v>
          </cell>
          <cell r="J657">
            <v>117800</v>
          </cell>
          <cell r="M657">
            <v>117800</v>
          </cell>
          <cell r="N657">
            <v>0</v>
          </cell>
        </row>
        <row r="658">
          <cell r="C658" t="str">
            <v>D13</v>
          </cell>
          <cell r="D658" t="str">
            <v>TON</v>
          </cell>
          <cell r="E658">
            <v>1.2</v>
          </cell>
          <cell r="F658">
            <v>310000</v>
          </cell>
          <cell r="G658">
            <v>372000</v>
          </cell>
          <cell r="H658">
            <v>1.2</v>
          </cell>
          <cell r="I658">
            <v>310000</v>
          </cell>
          <cell r="J658">
            <v>372000</v>
          </cell>
          <cell r="M658">
            <v>372000</v>
          </cell>
          <cell r="N658">
            <v>0</v>
          </cell>
        </row>
        <row r="659">
          <cell r="C659" t="str">
            <v>D16</v>
          </cell>
          <cell r="D659" t="str">
            <v>TON</v>
          </cell>
          <cell r="E659">
            <v>0.76</v>
          </cell>
          <cell r="F659">
            <v>310000</v>
          </cell>
          <cell r="G659">
            <v>235600</v>
          </cell>
          <cell r="H659">
            <v>0.76</v>
          </cell>
          <cell r="I659">
            <v>310000</v>
          </cell>
          <cell r="J659">
            <v>235600</v>
          </cell>
          <cell r="M659">
            <v>235600</v>
          </cell>
          <cell r="N659">
            <v>0</v>
          </cell>
        </row>
        <row r="660">
          <cell r="C660" t="str">
            <v>D19</v>
          </cell>
          <cell r="D660" t="str">
            <v>TON</v>
          </cell>
          <cell r="E660">
            <v>0.35</v>
          </cell>
          <cell r="F660">
            <v>310000</v>
          </cell>
          <cell r="G660">
            <v>108500</v>
          </cell>
          <cell r="H660">
            <v>0.35</v>
          </cell>
          <cell r="I660">
            <v>310000</v>
          </cell>
          <cell r="J660">
            <v>108500</v>
          </cell>
          <cell r="M660">
            <v>108500</v>
          </cell>
          <cell r="N660">
            <v>0</v>
          </cell>
        </row>
        <row r="661">
          <cell r="B661" t="str">
            <v>RE-BAR FORMING</v>
          </cell>
          <cell r="D661" t="str">
            <v>TON</v>
          </cell>
          <cell r="E661">
            <v>2.61</v>
          </cell>
          <cell r="F661">
            <v>227000</v>
          </cell>
          <cell r="G661">
            <v>592470</v>
          </cell>
          <cell r="H661">
            <v>2.61</v>
          </cell>
          <cell r="I661">
            <v>227000</v>
          </cell>
          <cell r="J661">
            <v>592470</v>
          </cell>
          <cell r="M661">
            <v>31320</v>
          </cell>
          <cell r="N661">
            <v>561150</v>
          </cell>
        </row>
        <row r="663">
          <cell r="B663" t="str">
            <v>SUB-TOTAL</v>
          </cell>
          <cell r="G663">
            <v>1426370</v>
          </cell>
          <cell r="J663">
            <v>1426370</v>
          </cell>
          <cell r="M663">
            <v>865220</v>
          </cell>
          <cell r="N663">
            <v>561150</v>
          </cell>
        </row>
        <row r="665">
          <cell r="A665" t="str">
            <v xml:space="preserve">  4)</v>
          </cell>
          <cell r="B665" t="str">
            <v>거푸집 공사</v>
          </cell>
        </row>
        <row r="666">
          <cell r="B666" t="str">
            <v>거푸집</v>
          </cell>
          <cell r="C666" t="str">
            <v>3회</v>
          </cell>
          <cell r="D666" t="str">
            <v>M2</v>
          </cell>
          <cell r="E666">
            <v>114.55</v>
          </cell>
          <cell r="F666">
            <v>21360</v>
          </cell>
          <cell r="G666">
            <v>2446788</v>
          </cell>
          <cell r="H666">
            <v>114.55</v>
          </cell>
          <cell r="I666">
            <v>21360</v>
          </cell>
          <cell r="J666">
            <v>2446788</v>
          </cell>
          <cell r="M666">
            <v>705628</v>
          </cell>
          <cell r="N666">
            <v>1741160</v>
          </cell>
        </row>
        <row r="668">
          <cell r="B668" t="str">
            <v>SUB-TOTAL</v>
          </cell>
          <cell r="G668">
            <v>2446788</v>
          </cell>
          <cell r="J668">
            <v>2446788</v>
          </cell>
          <cell r="M668">
            <v>705628</v>
          </cell>
          <cell r="N668">
            <v>1741160</v>
          </cell>
        </row>
        <row r="670">
          <cell r="A670" t="str">
            <v xml:space="preserve">  5)</v>
          </cell>
          <cell r="B670" t="str">
            <v>콘크리트 공사</v>
          </cell>
        </row>
        <row r="671">
          <cell r="B671" t="str">
            <v>콘크리트</v>
          </cell>
          <cell r="C671" t="str">
            <v>FC=135KG/㎠</v>
          </cell>
          <cell r="D671" t="str">
            <v>M3</v>
          </cell>
          <cell r="E671">
            <v>3.47</v>
          </cell>
          <cell r="F671">
            <v>50950</v>
          </cell>
          <cell r="G671">
            <v>176796</v>
          </cell>
          <cell r="H671">
            <v>3.47</v>
          </cell>
          <cell r="I671">
            <v>50950</v>
          </cell>
          <cell r="J671">
            <v>176796</v>
          </cell>
          <cell r="M671">
            <v>176796</v>
          </cell>
          <cell r="N671">
            <v>0</v>
          </cell>
        </row>
        <row r="672">
          <cell r="B672" t="str">
            <v>콘크리트</v>
          </cell>
          <cell r="C672" t="str">
            <v>FC=210KG/㎠</v>
          </cell>
          <cell r="D672" t="str">
            <v>M3</v>
          </cell>
          <cell r="E672">
            <v>39.15</v>
          </cell>
          <cell r="F672">
            <v>59770</v>
          </cell>
          <cell r="G672">
            <v>2339995</v>
          </cell>
          <cell r="H672">
            <v>39.15</v>
          </cell>
          <cell r="I672">
            <v>59770</v>
          </cell>
          <cell r="J672">
            <v>2339995</v>
          </cell>
          <cell r="M672">
            <v>2339995</v>
          </cell>
          <cell r="N672">
            <v>0</v>
          </cell>
        </row>
        <row r="673">
          <cell r="B673" t="str">
            <v>콘크리트 치기</v>
          </cell>
          <cell r="D673" t="str">
            <v>M3</v>
          </cell>
          <cell r="E673">
            <v>42.62</v>
          </cell>
          <cell r="F673">
            <v>29600</v>
          </cell>
          <cell r="G673">
            <v>1261552</v>
          </cell>
          <cell r="H673">
            <v>42.62</v>
          </cell>
          <cell r="I673">
            <v>29600</v>
          </cell>
          <cell r="J673">
            <v>1261552</v>
          </cell>
          <cell r="M673">
            <v>852400</v>
          </cell>
          <cell r="N673">
            <v>409152</v>
          </cell>
        </row>
        <row r="675">
          <cell r="B675" t="str">
            <v>SUB-TOTAL</v>
          </cell>
          <cell r="G675">
            <v>3778343</v>
          </cell>
          <cell r="J675">
            <v>3778343</v>
          </cell>
          <cell r="M675">
            <v>3369191</v>
          </cell>
          <cell r="N675">
            <v>409152</v>
          </cell>
        </row>
        <row r="677">
          <cell r="A677" t="str">
            <v xml:space="preserve">  6)</v>
          </cell>
          <cell r="B677" t="str">
            <v>JOINT 공사</v>
          </cell>
        </row>
        <row r="678">
          <cell r="B678" t="str">
            <v>EXP.JT(W/JOINT FILLER)</v>
          </cell>
          <cell r="C678" t="str">
            <v>T=20</v>
          </cell>
          <cell r="D678" t="str">
            <v>M</v>
          </cell>
          <cell r="E678">
            <v>11.35</v>
          </cell>
          <cell r="F678">
            <v>6130</v>
          </cell>
          <cell r="G678">
            <v>69575</v>
          </cell>
          <cell r="H678">
            <v>11.35</v>
          </cell>
          <cell r="I678">
            <v>6130</v>
          </cell>
          <cell r="J678">
            <v>69575</v>
          </cell>
          <cell r="M678">
            <v>35752</v>
          </cell>
          <cell r="N678">
            <v>33823</v>
          </cell>
        </row>
        <row r="679">
          <cell r="C679" t="str">
            <v>T=12</v>
          </cell>
          <cell r="D679" t="str">
            <v>M</v>
          </cell>
          <cell r="E679">
            <v>34</v>
          </cell>
          <cell r="F679">
            <v>5280</v>
          </cell>
          <cell r="G679">
            <v>179520</v>
          </cell>
          <cell r="H679">
            <v>34</v>
          </cell>
          <cell r="I679">
            <v>5280</v>
          </cell>
          <cell r="J679">
            <v>179520</v>
          </cell>
          <cell r="M679">
            <v>78200</v>
          </cell>
          <cell r="N679">
            <v>101320</v>
          </cell>
        </row>
        <row r="681">
          <cell r="B681" t="str">
            <v>SUB-TOTAL</v>
          </cell>
          <cell r="G681">
            <v>249095</v>
          </cell>
          <cell r="J681">
            <v>249095</v>
          </cell>
          <cell r="M681">
            <v>113952</v>
          </cell>
          <cell r="N681">
            <v>135143</v>
          </cell>
        </row>
        <row r="683">
          <cell r="A683" t="str">
            <v xml:space="preserve">  7)</v>
          </cell>
          <cell r="B683" t="str">
            <v>잡철물 공사</v>
          </cell>
        </row>
        <row r="684">
          <cell r="B684" t="str">
            <v>FLASHING(COLOR SHT 0.7T)</v>
          </cell>
          <cell r="D684" t="str">
            <v>M2</v>
          </cell>
          <cell r="E684">
            <v>3.09</v>
          </cell>
          <cell r="F684">
            <v>37160</v>
          </cell>
          <cell r="G684">
            <v>114824</v>
          </cell>
          <cell r="H684">
            <v>3.09</v>
          </cell>
          <cell r="I684">
            <v>37160</v>
          </cell>
          <cell r="J684">
            <v>114824</v>
          </cell>
          <cell r="M684">
            <v>85160</v>
          </cell>
          <cell r="N684">
            <v>29664</v>
          </cell>
        </row>
        <row r="686">
          <cell r="B686" t="str">
            <v>SUB-TOTAL</v>
          </cell>
          <cell r="G686">
            <v>114824</v>
          </cell>
          <cell r="J686">
            <v>114824</v>
          </cell>
          <cell r="M686">
            <v>85160</v>
          </cell>
          <cell r="N686">
            <v>29664</v>
          </cell>
        </row>
        <row r="688">
          <cell r="A688" t="str">
            <v xml:space="preserve">  8)</v>
          </cell>
          <cell r="B688" t="str">
            <v>조적공사</v>
          </cell>
        </row>
        <row r="689">
          <cell r="B689" t="str">
            <v>CEMENT BLOCK</v>
          </cell>
          <cell r="C689" t="str">
            <v>0.5B</v>
          </cell>
          <cell r="D689" t="str">
            <v>M2</v>
          </cell>
          <cell r="E689">
            <v>85.38</v>
          </cell>
          <cell r="F689">
            <v>14260</v>
          </cell>
          <cell r="G689">
            <v>1217518</v>
          </cell>
          <cell r="H689">
            <v>85.38</v>
          </cell>
          <cell r="I689">
            <v>14260</v>
          </cell>
          <cell r="J689">
            <v>1217518</v>
          </cell>
          <cell r="M689">
            <v>418362</v>
          </cell>
          <cell r="N689">
            <v>799156</v>
          </cell>
        </row>
        <row r="690">
          <cell r="B690" t="str">
            <v>CEMENT BLOCK</v>
          </cell>
          <cell r="C690" t="str">
            <v>1.0B</v>
          </cell>
          <cell r="D690" t="str">
            <v>M2</v>
          </cell>
          <cell r="E690">
            <v>116.13</v>
          </cell>
          <cell r="F690">
            <v>27900</v>
          </cell>
          <cell r="G690">
            <v>3240027</v>
          </cell>
          <cell r="H690">
            <v>116.13</v>
          </cell>
          <cell r="I690">
            <v>27900</v>
          </cell>
          <cell r="J690">
            <v>3240027</v>
          </cell>
          <cell r="M690">
            <v>1080009</v>
          </cell>
          <cell r="N690">
            <v>2160018</v>
          </cell>
        </row>
        <row r="692">
          <cell r="B692" t="str">
            <v>SUB-TOTAL</v>
          </cell>
          <cell r="G692">
            <v>4457545</v>
          </cell>
          <cell r="J692">
            <v>4457545</v>
          </cell>
          <cell r="M692">
            <v>1498371</v>
          </cell>
          <cell r="N692">
            <v>2959174</v>
          </cell>
        </row>
        <row r="694">
          <cell r="A694" t="str">
            <v xml:space="preserve">  9)</v>
          </cell>
          <cell r="B694" t="str">
            <v>방수공사</v>
          </cell>
        </row>
        <row r="695">
          <cell r="B695" t="str">
            <v>시트방수</v>
          </cell>
          <cell r="C695" t="str">
            <v>T=3</v>
          </cell>
          <cell r="D695" t="str">
            <v>M2</v>
          </cell>
          <cell r="E695">
            <v>43.79</v>
          </cell>
          <cell r="F695">
            <v>17900</v>
          </cell>
          <cell r="G695">
            <v>783841</v>
          </cell>
          <cell r="H695">
            <v>43.79</v>
          </cell>
          <cell r="I695">
            <v>17900</v>
          </cell>
          <cell r="J695">
            <v>783841</v>
          </cell>
          <cell r="M695">
            <v>437900</v>
          </cell>
          <cell r="N695">
            <v>345941</v>
          </cell>
        </row>
        <row r="696">
          <cell r="B696" t="str">
            <v>액체방수</v>
          </cell>
          <cell r="C696" t="str">
            <v>3회</v>
          </cell>
          <cell r="D696" t="str">
            <v>M2</v>
          </cell>
          <cell r="E696">
            <v>54.64</v>
          </cell>
          <cell r="F696">
            <v>9590</v>
          </cell>
          <cell r="G696">
            <v>523997</v>
          </cell>
          <cell r="H696">
            <v>54.64</v>
          </cell>
          <cell r="I696">
            <v>9590</v>
          </cell>
          <cell r="J696">
            <v>523997</v>
          </cell>
          <cell r="M696">
            <v>59557</v>
          </cell>
          <cell r="N696">
            <v>464440</v>
          </cell>
        </row>
        <row r="697">
          <cell r="B697" t="str">
            <v>PE FILM</v>
          </cell>
          <cell r="C697" t="str">
            <v>0.08T</v>
          </cell>
          <cell r="D697" t="str">
            <v>M2</v>
          </cell>
          <cell r="E697">
            <v>38</v>
          </cell>
          <cell r="F697">
            <v>372</v>
          </cell>
          <cell r="G697">
            <v>14136</v>
          </cell>
          <cell r="H697">
            <v>38</v>
          </cell>
          <cell r="I697">
            <v>372</v>
          </cell>
          <cell r="J697">
            <v>14136</v>
          </cell>
          <cell r="M697">
            <v>2736</v>
          </cell>
          <cell r="N697">
            <v>11400</v>
          </cell>
        </row>
        <row r="699">
          <cell r="B699" t="str">
            <v>SUB-TOTAL</v>
          </cell>
          <cell r="G699">
            <v>1321974</v>
          </cell>
          <cell r="J699">
            <v>1321974</v>
          </cell>
          <cell r="M699">
            <v>500193</v>
          </cell>
          <cell r="N699">
            <v>821781</v>
          </cell>
        </row>
        <row r="701">
          <cell r="A701" t="str">
            <v xml:space="preserve"> 10)</v>
          </cell>
          <cell r="B701" t="str">
            <v>TILE 공사</v>
          </cell>
        </row>
        <row r="702">
          <cell r="B702" t="str">
            <v>CERAMIC TILE</v>
          </cell>
          <cell r="C702" t="str">
            <v>200*200</v>
          </cell>
          <cell r="D702" t="str">
            <v>M2</v>
          </cell>
          <cell r="E702">
            <v>22</v>
          </cell>
          <cell r="F702">
            <v>40000</v>
          </cell>
          <cell r="G702">
            <v>880000</v>
          </cell>
          <cell r="H702">
            <v>22</v>
          </cell>
          <cell r="I702">
            <v>40000</v>
          </cell>
          <cell r="J702">
            <v>880000</v>
          </cell>
          <cell r="M702">
            <v>330000</v>
          </cell>
          <cell r="N702">
            <v>550000</v>
          </cell>
        </row>
        <row r="703">
          <cell r="B703" t="str">
            <v>CERAMIC TILE</v>
          </cell>
          <cell r="C703" t="str">
            <v>200*250</v>
          </cell>
          <cell r="D703" t="str">
            <v>M2</v>
          </cell>
          <cell r="E703">
            <v>49.26</v>
          </cell>
          <cell r="F703">
            <v>40000</v>
          </cell>
          <cell r="G703">
            <v>1970400</v>
          </cell>
          <cell r="H703">
            <v>49.26</v>
          </cell>
          <cell r="I703">
            <v>40000</v>
          </cell>
          <cell r="J703">
            <v>1970400</v>
          </cell>
          <cell r="M703">
            <v>738900</v>
          </cell>
          <cell r="N703">
            <v>1231500</v>
          </cell>
        </row>
        <row r="704">
          <cell r="B704" t="str">
            <v>DELUXE TILE</v>
          </cell>
          <cell r="C704" t="str">
            <v>T=3</v>
          </cell>
          <cell r="D704" t="str">
            <v>M2</v>
          </cell>
          <cell r="E704">
            <v>34.200000000000003</v>
          </cell>
          <cell r="F704">
            <v>7600</v>
          </cell>
          <cell r="G704">
            <v>259920</v>
          </cell>
          <cell r="H704">
            <v>34.200000000000003</v>
          </cell>
          <cell r="I704">
            <v>7600</v>
          </cell>
          <cell r="J704">
            <v>259920</v>
          </cell>
          <cell r="M704">
            <v>102600</v>
          </cell>
          <cell r="N704">
            <v>157320</v>
          </cell>
        </row>
        <row r="706">
          <cell r="B706" t="str">
            <v>SUB-TOTAL</v>
          </cell>
          <cell r="G706">
            <v>3110320</v>
          </cell>
          <cell r="J706">
            <v>3110320</v>
          </cell>
          <cell r="M706">
            <v>1171500</v>
          </cell>
          <cell r="N706">
            <v>1938820</v>
          </cell>
        </row>
        <row r="708">
          <cell r="A708" t="str">
            <v xml:space="preserve"> 11)</v>
          </cell>
          <cell r="B708" t="str">
            <v>지붕,벽체공사</v>
          </cell>
        </row>
        <row r="709">
          <cell r="B709" t="str">
            <v>FLOOR DRAIN</v>
          </cell>
          <cell r="C709" t="str">
            <v>50A</v>
          </cell>
          <cell r="D709" t="str">
            <v>EA</v>
          </cell>
          <cell r="E709">
            <v>2</v>
          </cell>
          <cell r="F709">
            <v>7000</v>
          </cell>
          <cell r="G709">
            <v>14000</v>
          </cell>
          <cell r="H709">
            <v>2</v>
          </cell>
          <cell r="I709">
            <v>7000</v>
          </cell>
          <cell r="J709">
            <v>14000</v>
          </cell>
          <cell r="M709">
            <v>2000</v>
          </cell>
          <cell r="N709">
            <v>12000</v>
          </cell>
        </row>
        <row r="710">
          <cell r="B710" t="str">
            <v>ROOF DRAIN(ST'L)</v>
          </cell>
          <cell r="C710" t="str">
            <v>100A</v>
          </cell>
          <cell r="D710" t="str">
            <v>EA</v>
          </cell>
          <cell r="E710">
            <v>1</v>
          </cell>
          <cell r="F710">
            <v>16200</v>
          </cell>
          <cell r="G710">
            <v>16200</v>
          </cell>
          <cell r="H710">
            <v>1</v>
          </cell>
          <cell r="I710">
            <v>16200</v>
          </cell>
          <cell r="J710">
            <v>16200</v>
          </cell>
          <cell r="M710">
            <v>3000</v>
          </cell>
          <cell r="N710">
            <v>13200</v>
          </cell>
        </row>
        <row r="711">
          <cell r="B711" t="str">
            <v>선홈통(ST'L)</v>
          </cell>
          <cell r="C711" t="str">
            <v>100A</v>
          </cell>
          <cell r="D711" t="str">
            <v>M</v>
          </cell>
          <cell r="E711">
            <v>5.7</v>
          </cell>
          <cell r="F711">
            <v>31200</v>
          </cell>
          <cell r="G711">
            <v>177840</v>
          </cell>
          <cell r="H711">
            <v>5.7</v>
          </cell>
          <cell r="I711">
            <v>31200</v>
          </cell>
          <cell r="J711">
            <v>177840</v>
          </cell>
          <cell r="M711">
            <v>63840</v>
          </cell>
          <cell r="N711">
            <v>114000</v>
          </cell>
        </row>
        <row r="712">
          <cell r="B712" t="str">
            <v>장식홈통 1.2T*250*250</v>
          </cell>
          <cell r="D712" t="str">
            <v>EA</v>
          </cell>
          <cell r="E712">
            <v>1</v>
          </cell>
          <cell r="F712">
            <v>23000</v>
          </cell>
          <cell r="G712">
            <v>23000</v>
          </cell>
          <cell r="H712">
            <v>1</v>
          </cell>
          <cell r="I712">
            <v>23000</v>
          </cell>
          <cell r="J712">
            <v>23000</v>
          </cell>
          <cell r="M712">
            <v>18000</v>
          </cell>
          <cell r="N712">
            <v>5000</v>
          </cell>
        </row>
        <row r="714">
          <cell r="B714" t="str">
            <v>SUB-TOTAL</v>
          </cell>
          <cell r="G714">
            <v>231040</v>
          </cell>
          <cell r="J714">
            <v>231040</v>
          </cell>
          <cell r="M714">
            <v>86840</v>
          </cell>
          <cell r="N714">
            <v>144200</v>
          </cell>
        </row>
        <row r="716">
          <cell r="A716" t="str">
            <v xml:space="preserve"> 12)</v>
          </cell>
          <cell r="B716" t="str">
            <v>PARTITION 공사</v>
          </cell>
        </row>
        <row r="717">
          <cell r="B717" t="str">
            <v>PTN. T=50</v>
          </cell>
          <cell r="D717" t="str">
            <v>M2</v>
          </cell>
          <cell r="E717">
            <v>8.3000000000000007</v>
          </cell>
          <cell r="F717">
            <v>35000</v>
          </cell>
          <cell r="G717">
            <v>290500</v>
          </cell>
          <cell r="H717">
            <v>8.3000000000000007</v>
          </cell>
          <cell r="I717">
            <v>35000</v>
          </cell>
          <cell r="J717">
            <v>290500</v>
          </cell>
          <cell r="M717">
            <v>207500</v>
          </cell>
          <cell r="N717">
            <v>83000</v>
          </cell>
        </row>
        <row r="718">
          <cell r="B718" t="str">
            <v>GYP.BD.T=12 W/METAL</v>
          </cell>
          <cell r="D718" t="str">
            <v>M2</v>
          </cell>
          <cell r="E718">
            <v>18.2</v>
          </cell>
          <cell r="F718">
            <v>39000</v>
          </cell>
          <cell r="G718">
            <v>709800</v>
          </cell>
          <cell r="H718">
            <v>18.2</v>
          </cell>
          <cell r="I718">
            <v>39000</v>
          </cell>
          <cell r="J718">
            <v>709800</v>
          </cell>
          <cell r="M718">
            <v>491400</v>
          </cell>
          <cell r="N718">
            <v>218400</v>
          </cell>
        </row>
        <row r="719">
          <cell r="B719" t="str">
            <v>STYROFOAM</v>
          </cell>
          <cell r="C719" t="str">
            <v>T=50</v>
          </cell>
          <cell r="D719" t="str">
            <v>M2</v>
          </cell>
          <cell r="E719">
            <v>116.1</v>
          </cell>
          <cell r="F719">
            <v>3800</v>
          </cell>
          <cell r="G719">
            <v>441180</v>
          </cell>
          <cell r="H719">
            <v>116.1</v>
          </cell>
          <cell r="I719">
            <v>3800</v>
          </cell>
          <cell r="J719">
            <v>441180</v>
          </cell>
          <cell r="M719">
            <v>336690</v>
          </cell>
          <cell r="N719">
            <v>104490</v>
          </cell>
        </row>
        <row r="720">
          <cell r="B720" t="str">
            <v>STYROFOAM(비중0.03)</v>
          </cell>
          <cell r="C720" t="str">
            <v>T=60</v>
          </cell>
          <cell r="D720" t="str">
            <v>M2</v>
          </cell>
          <cell r="E720">
            <v>68.400000000000006</v>
          </cell>
          <cell r="F720">
            <v>4400</v>
          </cell>
          <cell r="G720">
            <v>300960</v>
          </cell>
          <cell r="H720">
            <v>68.400000000000006</v>
          </cell>
          <cell r="I720">
            <v>4400</v>
          </cell>
          <cell r="J720">
            <v>300960</v>
          </cell>
          <cell r="M720">
            <v>239400</v>
          </cell>
          <cell r="N720">
            <v>61560</v>
          </cell>
        </row>
        <row r="722">
          <cell r="B722" t="str">
            <v>SUB-TOTAL</v>
          </cell>
          <cell r="G722">
            <v>1742440</v>
          </cell>
          <cell r="J722">
            <v>1742440</v>
          </cell>
          <cell r="M722">
            <v>1274990</v>
          </cell>
          <cell r="N722">
            <v>467450</v>
          </cell>
        </row>
        <row r="724">
          <cell r="A724" t="str">
            <v xml:space="preserve"> 13)</v>
          </cell>
          <cell r="B724" t="str">
            <v>천정공사</v>
          </cell>
        </row>
        <row r="725">
          <cell r="B725" t="str">
            <v>NEW ASCALTEX T=6 W/</v>
          </cell>
          <cell r="D725" t="str">
            <v>M2</v>
          </cell>
          <cell r="E725">
            <v>46.32</v>
          </cell>
          <cell r="F725">
            <v>9000</v>
          </cell>
          <cell r="G725">
            <v>416880</v>
          </cell>
          <cell r="H725">
            <v>46.32</v>
          </cell>
          <cell r="I725">
            <v>9000</v>
          </cell>
          <cell r="J725">
            <v>416880</v>
          </cell>
          <cell r="M725">
            <v>277920</v>
          </cell>
          <cell r="N725">
            <v>138960</v>
          </cell>
        </row>
        <row r="726">
          <cell r="B726" t="str">
            <v>CEILING FRAME</v>
          </cell>
          <cell r="D726" t="str">
            <v>M2</v>
          </cell>
          <cell r="E726">
            <v>46.32</v>
          </cell>
          <cell r="F726">
            <v>22700</v>
          </cell>
          <cell r="G726">
            <v>1051464</v>
          </cell>
          <cell r="H726">
            <v>46.32</v>
          </cell>
          <cell r="I726">
            <v>22700</v>
          </cell>
          <cell r="J726">
            <v>1051464</v>
          </cell>
          <cell r="M726">
            <v>125064</v>
          </cell>
          <cell r="N726">
            <v>926400</v>
          </cell>
        </row>
        <row r="727">
          <cell r="B727" t="str">
            <v>PVC BOARD</v>
          </cell>
          <cell r="D727" t="str">
            <v>M2</v>
          </cell>
          <cell r="E727">
            <v>22.1</v>
          </cell>
          <cell r="F727">
            <v>27000</v>
          </cell>
          <cell r="G727">
            <v>596700</v>
          </cell>
          <cell r="H727">
            <v>22.1</v>
          </cell>
          <cell r="I727">
            <v>27000</v>
          </cell>
          <cell r="J727">
            <v>596700</v>
          </cell>
          <cell r="M727">
            <v>442000</v>
          </cell>
          <cell r="N727">
            <v>154700</v>
          </cell>
        </row>
        <row r="728">
          <cell r="B728" t="str">
            <v>AL. MOULDING</v>
          </cell>
          <cell r="D728" t="str">
            <v>M</v>
          </cell>
          <cell r="E728">
            <v>56.8</v>
          </cell>
          <cell r="F728">
            <v>2900</v>
          </cell>
          <cell r="G728">
            <v>164720</v>
          </cell>
          <cell r="H728">
            <v>56.8</v>
          </cell>
          <cell r="I728">
            <v>2900</v>
          </cell>
          <cell r="J728">
            <v>164720</v>
          </cell>
          <cell r="M728">
            <v>51120</v>
          </cell>
          <cell r="N728">
            <v>113600</v>
          </cell>
        </row>
        <row r="730">
          <cell r="B730" t="str">
            <v>SUB-TOTAL</v>
          </cell>
          <cell r="G730">
            <v>2229764</v>
          </cell>
          <cell r="J730">
            <v>2229764</v>
          </cell>
          <cell r="M730">
            <v>896104</v>
          </cell>
          <cell r="N730">
            <v>1333660</v>
          </cell>
        </row>
        <row r="732">
          <cell r="A732" t="str">
            <v xml:space="preserve"> 14)</v>
          </cell>
          <cell r="B732" t="str">
            <v>수장공사</v>
          </cell>
        </row>
        <row r="733">
          <cell r="B733" t="str">
            <v>CURTAIN BOX</v>
          </cell>
          <cell r="C733" t="str">
            <v>0.1*0.15</v>
          </cell>
          <cell r="D733" t="str">
            <v>M</v>
          </cell>
          <cell r="E733">
            <v>2.8</v>
          </cell>
          <cell r="F733">
            <v>32000</v>
          </cell>
          <cell r="G733">
            <v>89600</v>
          </cell>
          <cell r="H733">
            <v>2.8</v>
          </cell>
          <cell r="I733">
            <v>32000</v>
          </cell>
          <cell r="J733">
            <v>89600</v>
          </cell>
          <cell r="M733">
            <v>70000</v>
          </cell>
          <cell r="N733">
            <v>19600</v>
          </cell>
        </row>
        <row r="734">
          <cell r="B734" t="str">
            <v>SUS FRAME         0.9*2.1*0.5*1.6T</v>
          </cell>
          <cell r="D734" t="str">
            <v>NOS</v>
          </cell>
          <cell r="E734">
            <v>3</v>
          </cell>
          <cell r="F734">
            <v>250000</v>
          </cell>
          <cell r="G734">
            <v>750000</v>
          </cell>
          <cell r="H734">
            <v>3</v>
          </cell>
          <cell r="I734">
            <v>250000</v>
          </cell>
          <cell r="J734">
            <v>750000</v>
          </cell>
          <cell r="M734">
            <v>450000</v>
          </cell>
          <cell r="N734">
            <v>300000</v>
          </cell>
        </row>
        <row r="735">
          <cell r="B735" t="str">
            <v>RUX STRONG</v>
          </cell>
          <cell r="D735" t="str">
            <v>M2</v>
          </cell>
          <cell r="E735">
            <v>12.1</v>
          </cell>
          <cell r="F735">
            <v>18000</v>
          </cell>
          <cell r="G735">
            <v>217800</v>
          </cell>
          <cell r="H735">
            <v>12.1</v>
          </cell>
          <cell r="I735">
            <v>18000</v>
          </cell>
          <cell r="J735">
            <v>217800</v>
          </cell>
          <cell r="M735">
            <v>181500</v>
          </cell>
          <cell r="N735">
            <v>36300</v>
          </cell>
        </row>
        <row r="736">
          <cell r="B736" t="str">
            <v>PVC BASE</v>
          </cell>
          <cell r="D736" t="str">
            <v>M</v>
          </cell>
          <cell r="E736">
            <v>39</v>
          </cell>
          <cell r="F736">
            <v>1700</v>
          </cell>
          <cell r="G736">
            <v>66300</v>
          </cell>
          <cell r="H736">
            <v>39</v>
          </cell>
          <cell r="I736">
            <v>1700</v>
          </cell>
          <cell r="J736">
            <v>66300</v>
          </cell>
          <cell r="M736">
            <v>27300</v>
          </cell>
          <cell r="N736">
            <v>39000</v>
          </cell>
        </row>
        <row r="738">
          <cell r="B738" t="str">
            <v>SUB-TOTAL</v>
          </cell>
          <cell r="G738">
            <v>1123700</v>
          </cell>
          <cell r="J738">
            <v>1123700</v>
          </cell>
          <cell r="M738">
            <v>728800</v>
          </cell>
          <cell r="N738">
            <v>394900</v>
          </cell>
        </row>
        <row r="740">
          <cell r="A740" t="str">
            <v xml:space="preserve"> 15)</v>
          </cell>
          <cell r="B740" t="str">
            <v>미장공사</v>
          </cell>
        </row>
        <row r="741">
          <cell r="B741" t="str">
            <v>STEEL TROWEL FINISH</v>
          </cell>
          <cell r="D741" t="str">
            <v>M2</v>
          </cell>
          <cell r="E741">
            <v>5.3</v>
          </cell>
          <cell r="F741">
            <v>1500</v>
          </cell>
          <cell r="G741">
            <v>7950</v>
          </cell>
          <cell r="H741">
            <v>5.3</v>
          </cell>
          <cell r="I741">
            <v>1500</v>
          </cell>
          <cell r="J741">
            <v>7950</v>
          </cell>
          <cell r="M741">
            <v>0</v>
          </cell>
          <cell r="N741">
            <v>7950</v>
          </cell>
        </row>
        <row r="742">
          <cell r="B742" t="str">
            <v>바닥미장</v>
          </cell>
          <cell r="C742" t="str">
            <v>T=30</v>
          </cell>
          <cell r="D742" t="str">
            <v>M2</v>
          </cell>
          <cell r="E742">
            <v>102.6</v>
          </cell>
          <cell r="F742">
            <v>5800</v>
          </cell>
          <cell r="G742">
            <v>595080</v>
          </cell>
          <cell r="H742">
            <v>102.6</v>
          </cell>
          <cell r="I742">
            <v>5800</v>
          </cell>
          <cell r="J742">
            <v>595080</v>
          </cell>
          <cell r="M742">
            <v>92340</v>
          </cell>
          <cell r="N742">
            <v>502740</v>
          </cell>
        </row>
        <row r="743">
          <cell r="B743" t="str">
            <v>외부미장</v>
          </cell>
          <cell r="C743" t="str">
            <v>T=24</v>
          </cell>
          <cell r="D743" t="str">
            <v>M2</v>
          </cell>
          <cell r="E743">
            <v>46.15</v>
          </cell>
          <cell r="F743">
            <v>8500</v>
          </cell>
          <cell r="G743">
            <v>392275</v>
          </cell>
          <cell r="H743">
            <v>46.15</v>
          </cell>
          <cell r="I743">
            <v>8500</v>
          </cell>
          <cell r="J743">
            <v>392275</v>
          </cell>
          <cell r="M743">
            <v>41535</v>
          </cell>
          <cell r="N743">
            <v>350740</v>
          </cell>
        </row>
        <row r="744">
          <cell r="B744" t="str">
            <v>내부미장</v>
          </cell>
          <cell r="C744" t="str">
            <v>T=18</v>
          </cell>
          <cell r="D744" t="str">
            <v>M2</v>
          </cell>
          <cell r="E744">
            <v>260.45</v>
          </cell>
          <cell r="F744">
            <v>8500</v>
          </cell>
          <cell r="G744">
            <v>2213825</v>
          </cell>
          <cell r="H744">
            <v>260.45</v>
          </cell>
          <cell r="I744">
            <v>8500</v>
          </cell>
          <cell r="J744">
            <v>2213825</v>
          </cell>
          <cell r="M744">
            <v>234405</v>
          </cell>
          <cell r="N744">
            <v>1979420</v>
          </cell>
        </row>
        <row r="746">
          <cell r="B746" t="str">
            <v>SUB-TOTAL</v>
          </cell>
          <cell r="G746">
            <v>3209130</v>
          </cell>
          <cell r="J746">
            <v>3209130</v>
          </cell>
          <cell r="M746">
            <v>368280</v>
          </cell>
          <cell r="N746">
            <v>2840850</v>
          </cell>
        </row>
        <row r="748">
          <cell r="A748" t="str">
            <v xml:space="preserve"> 16)</v>
          </cell>
          <cell r="B748" t="str">
            <v>창호공사</v>
          </cell>
        </row>
        <row r="749">
          <cell r="B749" t="str">
            <v>WOOD DOOR</v>
          </cell>
          <cell r="D749" t="str">
            <v>M2</v>
          </cell>
          <cell r="E749">
            <v>1.68</v>
          </cell>
          <cell r="F749">
            <v>230000</v>
          </cell>
          <cell r="G749">
            <v>386400</v>
          </cell>
          <cell r="H749">
            <v>1.68</v>
          </cell>
          <cell r="I749">
            <v>230000</v>
          </cell>
          <cell r="J749">
            <v>386400</v>
          </cell>
          <cell r="M749">
            <v>218400</v>
          </cell>
          <cell r="N749">
            <v>168000</v>
          </cell>
        </row>
        <row r="750">
          <cell r="B750" t="str">
            <v>STEEL DOOR</v>
          </cell>
          <cell r="D750" t="str">
            <v>M2</v>
          </cell>
          <cell r="E750">
            <v>9.8699999999999992</v>
          </cell>
          <cell r="F750">
            <v>114000</v>
          </cell>
          <cell r="G750">
            <v>1125180</v>
          </cell>
          <cell r="H750">
            <v>9.8699999999999992</v>
          </cell>
          <cell r="I750">
            <v>114000</v>
          </cell>
          <cell r="J750">
            <v>1125180</v>
          </cell>
          <cell r="M750">
            <v>730380</v>
          </cell>
          <cell r="N750">
            <v>394800</v>
          </cell>
        </row>
        <row r="751">
          <cell r="B751" t="str">
            <v>PVC DOOR</v>
          </cell>
          <cell r="D751" t="str">
            <v>M2</v>
          </cell>
          <cell r="E751">
            <v>3.15</v>
          </cell>
          <cell r="F751">
            <v>114000</v>
          </cell>
          <cell r="G751">
            <v>359100</v>
          </cell>
          <cell r="H751">
            <v>3.15</v>
          </cell>
          <cell r="I751">
            <v>114000</v>
          </cell>
          <cell r="J751">
            <v>359100</v>
          </cell>
          <cell r="M751">
            <v>233100</v>
          </cell>
          <cell r="N751">
            <v>126000</v>
          </cell>
        </row>
        <row r="752">
          <cell r="B752" t="str">
            <v>PVC WINDOW</v>
          </cell>
          <cell r="D752" t="str">
            <v>M2</v>
          </cell>
          <cell r="E752">
            <v>5.04</v>
          </cell>
          <cell r="F752">
            <v>1705000</v>
          </cell>
          <cell r="G752">
            <v>8593200</v>
          </cell>
          <cell r="H752">
            <v>5.04</v>
          </cell>
          <cell r="I752">
            <v>1705000</v>
          </cell>
          <cell r="J752">
            <v>8593200</v>
          </cell>
          <cell r="M752">
            <v>8510040</v>
          </cell>
          <cell r="N752">
            <v>83160</v>
          </cell>
        </row>
        <row r="754">
          <cell r="B754" t="str">
            <v>SUB-TOTAL</v>
          </cell>
          <cell r="G754">
            <v>10463880</v>
          </cell>
          <cell r="J754">
            <v>10463880</v>
          </cell>
          <cell r="M754">
            <v>9691920</v>
          </cell>
          <cell r="N754">
            <v>771960</v>
          </cell>
        </row>
        <row r="756">
          <cell r="A756" t="str">
            <v xml:space="preserve"> 17)</v>
          </cell>
          <cell r="B756" t="str">
            <v>유리공사</v>
          </cell>
        </row>
        <row r="757">
          <cell r="B757" t="str">
            <v>복층유리</v>
          </cell>
          <cell r="C757" t="str">
            <v>T=12</v>
          </cell>
          <cell r="D757" t="str">
            <v>M2</v>
          </cell>
          <cell r="E757">
            <v>5.04</v>
          </cell>
          <cell r="F757">
            <v>28460</v>
          </cell>
          <cell r="G757">
            <v>143438</v>
          </cell>
          <cell r="H757">
            <v>5.04</v>
          </cell>
          <cell r="I757">
            <v>28460</v>
          </cell>
          <cell r="J757">
            <v>143438</v>
          </cell>
          <cell r="M757">
            <v>67838</v>
          </cell>
          <cell r="N757">
            <v>75600</v>
          </cell>
        </row>
        <row r="758">
          <cell r="B758" t="str">
            <v>불투명유리</v>
          </cell>
          <cell r="C758" t="str">
            <v>T=5</v>
          </cell>
          <cell r="D758" t="str">
            <v>M2</v>
          </cell>
          <cell r="E758">
            <v>1.58</v>
          </cell>
          <cell r="F758">
            <v>17700</v>
          </cell>
          <cell r="G758">
            <v>27966</v>
          </cell>
          <cell r="H758">
            <v>1.58</v>
          </cell>
          <cell r="I758">
            <v>17700</v>
          </cell>
          <cell r="J758">
            <v>27966</v>
          </cell>
          <cell r="M758">
            <v>10586</v>
          </cell>
          <cell r="N758">
            <v>17380</v>
          </cell>
        </row>
        <row r="760">
          <cell r="B760" t="str">
            <v>SUB-TOTAL</v>
          </cell>
          <cell r="G760">
            <v>171404</v>
          </cell>
          <cell r="J760">
            <v>171404</v>
          </cell>
          <cell r="M760">
            <v>78424</v>
          </cell>
          <cell r="N760">
            <v>92980</v>
          </cell>
        </row>
        <row r="762">
          <cell r="A762" t="str">
            <v xml:space="preserve"> 18)</v>
          </cell>
          <cell r="B762" t="str">
            <v>도장공사</v>
          </cell>
        </row>
        <row r="763">
          <cell r="B763" t="str">
            <v>수성페인트</v>
          </cell>
          <cell r="C763" t="str">
            <v>3회</v>
          </cell>
          <cell r="D763" t="str">
            <v>M2</v>
          </cell>
          <cell r="E763">
            <v>746.3</v>
          </cell>
          <cell r="F763">
            <v>5500</v>
          </cell>
          <cell r="G763">
            <v>4104650</v>
          </cell>
          <cell r="H763">
            <v>746.3</v>
          </cell>
          <cell r="I763">
            <v>5500</v>
          </cell>
          <cell r="J763">
            <v>4104650</v>
          </cell>
          <cell r="M763">
            <v>1119450</v>
          </cell>
          <cell r="N763">
            <v>2985200</v>
          </cell>
        </row>
        <row r="764">
          <cell r="B764" t="str">
            <v>유성페인트</v>
          </cell>
          <cell r="C764" t="str">
            <v>3회</v>
          </cell>
          <cell r="D764" t="str">
            <v>M2</v>
          </cell>
          <cell r="E764">
            <v>24.7</v>
          </cell>
          <cell r="F764">
            <v>5500</v>
          </cell>
          <cell r="G764">
            <v>135850</v>
          </cell>
          <cell r="H764">
            <v>24.7</v>
          </cell>
          <cell r="I764">
            <v>5500</v>
          </cell>
          <cell r="J764">
            <v>135850</v>
          </cell>
          <cell r="M764">
            <v>37050</v>
          </cell>
          <cell r="N764">
            <v>98800</v>
          </cell>
        </row>
        <row r="765">
          <cell r="B765" t="str">
            <v>클리어락카</v>
          </cell>
          <cell r="C765" t="str">
            <v>3회</v>
          </cell>
          <cell r="D765" t="str">
            <v>M2</v>
          </cell>
          <cell r="E765">
            <v>4.2</v>
          </cell>
          <cell r="F765">
            <v>4000</v>
          </cell>
          <cell r="G765">
            <v>16800</v>
          </cell>
          <cell r="H765">
            <v>4.2</v>
          </cell>
          <cell r="I765">
            <v>4000</v>
          </cell>
          <cell r="J765">
            <v>16800</v>
          </cell>
          <cell r="M765">
            <v>6300</v>
          </cell>
          <cell r="N765">
            <v>10500</v>
          </cell>
        </row>
        <row r="767">
          <cell r="B767" t="str">
            <v>SUB-TOTAL</v>
          </cell>
          <cell r="G767">
            <v>4257300</v>
          </cell>
          <cell r="J767">
            <v>4257300</v>
          </cell>
          <cell r="M767">
            <v>1162800</v>
          </cell>
          <cell r="N767">
            <v>3094500</v>
          </cell>
        </row>
        <row r="769">
          <cell r="A769" t="str">
            <v xml:space="preserve"> 19)</v>
          </cell>
          <cell r="B769" t="str">
            <v>부대공사</v>
          </cell>
        </row>
        <row r="770">
          <cell r="B770" t="str">
            <v>FRP정화조철거 및 신설</v>
          </cell>
          <cell r="C770" t="str">
            <v>2인용</v>
          </cell>
          <cell r="D770" t="str">
            <v>개소</v>
          </cell>
          <cell r="E770">
            <v>1</v>
          </cell>
          <cell r="F770">
            <v>1500000</v>
          </cell>
          <cell r="G770">
            <v>1500000</v>
          </cell>
          <cell r="H770">
            <v>1</v>
          </cell>
          <cell r="I770">
            <v>1500000</v>
          </cell>
          <cell r="J770">
            <v>1500000</v>
          </cell>
          <cell r="M770">
            <v>500000</v>
          </cell>
          <cell r="N770">
            <v>1000000</v>
          </cell>
        </row>
        <row r="771">
          <cell r="B771" t="str">
            <v>주변시설 철거</v>
          </cell>
          <cell r="C771" t="str">
            <v>HAND</v>
          </cell>
          <cell r="D771" t="str">
            <v>식</v>
          </cell>
          <cell r="E771">
            <v>1</v>
          </cell>
          <cell r="F771">
            <v>13000000</v>
          </cell>
          <cell r="G771">
            <v>13000000</v>
          </cell>
          <cell r="H771">
            <v>1</v>
          </cell>
          <cell r="I771">
            <v>13000000</v>
          </cell>
          <cell r="J771">
            <v>13000000</v>
          </cell>
          <cell r="M771">
            <v>3000000</v>
          </cell>
          <cell r="N771">
            <v>10000000</v>
          </cell>
        </row>
        <row r="773">
          <cell r="B773" t="str">
            <v>SUB-TOTAL</v>
          </cell>
          <cell r="G773">
            <v>14500000</v>
          </cell>
          <cell r="J773">
            <v>14500000</v>
          </cell>
          <cell r="M773">
            <v>3500000</v>
          </cell>
          <cell r="N773">
            <v>11000000</v>
          </cell>
        </row>
        <row r="775">
          <cell r="A775" t="str">
            <v xml:space="preserve"> 20)</v>
          </cell>
          <cell r="B775" t="str">
            <v>W. W. F.</v>
          </cell>
          <cell r="C775" t="str">
            <v>#8</v>
          </cell>
          <cell r="D775" t="str">
            <v>M2</v>
          </cell>
          <cell r="E775">
            <v>37</v>
          </cell>
          <cell r="F775">
            <v>1400</v>
          </cell>
          <cell r="G775">
            <v>51800</v>
          </cell>
          <cell r="H775">
            <v>37</v>
          </cell>
          <cell r="I775">
            <v>1400</v>
          </cell>
          <cell r="J775">
            <v>51800</v>
          </cell>
          <cell r="M775">
            <v>29600</v>
          </cell>
          <cell r="N775">
            <v>22200</v>
          </cell>
        </row>
        <row r="777">
          <cell r="A777" t="str">
            <v xml:space="preserve"> 21)</v>
          </cell>
          <cell r="B777" t="str">
            <v>PROTECTION CON'C</v>
          </cell>
          <cell r="C777" t="str">
            <v>TH'K=60</v>
          </cell>
          <cell r="D777" t="str">
            <v>M2</v>
          </cell>
          <cell r="E777">
            <v>35</v>
          </cell>
          <cell r="F777">
            <v>16900</v>
          </cell>
          <cell r="G777">
            <v>591500</v>
          </cell>
          <cell r="H777">
            <v>35</v>
          </cell>
          <cell r="I777">
            <v>16900</v>
          </cell>
          <cell r="J777">
            <v>591500</v>
          </cell>
          <cell r="M777">
            <v>416500</v>
          </cell>
          <cell r="N777">
            <v>175000</v>
          </cell>
        </row>
        <row r="779">
          <cell r="A779" t="str">
            <v xml:space="preserve"> 22)</v>
          </cell>
          <cell r="B779" t="str">
            <v>기존건물 철거 및 위생기구설치</v>
          </cell>
          <cell r="D779" t="str">
            <v>LOT</v>
          </cell>
          <cell r="E779">
            <v>1</v>
          </cell>
          <cell r="F779">
            <v>5000000</v>
          </cell>
          <cell r="G779">
            <v>5000000</v>
          </cell>
          <cell r="H779">
            <v>1</v>
          </cell>
          <cell r="I779">
            <v>5000000</v>
          </cell>
          <cell r="J779">
            <v>5000000</v>
          </cell>
          <cell r="M779">
            <v>3000000</v>
          </cell>
          <cell r="N779">
            <v>2000000</v>
          </cell>
        </row>
        <row r="781">
          <cell r="B781" t="str">
            <v>T O T A L</v>
          </cell>
          <cell r="G781">
            <v>64195748</v>
          </cell>
          <cell r="J781">
            <v>64195748</v>
          </cell>
          <cell r="M781">
            <v>30366603</v>
          </cell>
          <cell r="N781">
            <v>33829145</v>
          </cell>
        </row>
        <row r="784">
          <cell r="A784" t="str">
            <v xml:space="preserve">  8.</v>
          </cell>
          <cell r="B784" t="str">
            <v>PIPE RACK</v>
          </cell>
        </row>
        <row r="786">
          <cell r="A786" t="str">
            <v xml:space="preserve">  1)</v>
          </cell>
          <cell r="B786" t="str">
            <v>토공사</v>
          </cell>
        </row>
        <row r="787">
          <cell r="B787" t="str">
            <v>터파기</v>
          </cell>
          <cell r="D787" t="str">
            <v>M3</v>
          </cell>
          <cell r="E787">
            <v>70.7</v>
          </cell>
          <cell r="F787">
            <v>2760</v>
          </cell>
          <cell r="G787">
            <v>195132</v>
          </cell>
          <cell r="H787">
            <v>70.7</v>
          </cell>
          <cell r="I787">
            <v>2760</v>
          </cell>
          <cell r="J787">
            <v>195132</v>
          </cell>
          <cell r="M787">
            <v>159782</v>
          </cell>
          <cell r="N787">
            <v>35350</v>
          </cell>
        </row>
        <row r="788">
          <cell r="B788" t="str">
            <v>잔토처리</v>
          </cell>
          <cell r="D788" t="str">
            <v>M3</v>
          </cell>
          <cell r="E788">
            <v>13.93</v>
          </cell>
          <cell r="F788">
            <v>5500</v>
          </cell>
          <cell r="G788">
            <v>76615</v>
          </cell>
          <cell r="H788">
            <v>13.93</v>
          </cell>
          <cell r="I788">
            <v>5500</v>
          </cell>
          <cell r="J788">
            <v>76615</v>
          </cell>
          <cell r="M788">
            <v>76615</v>
          </cell>
          <cell r="N788">
            <v>0</v>
          </cell>
        </row>
        <row r="789">
          <cell r="B789" t="str">
            <v>되메우기</v>
          </cell>
          <cell r="D789" t="str">
            <v>M3</v>
          </cell>
          <cell r="E789">
            <v>56.77</v>
          </cell>
          <cell r="F789">
            <v>6500</v>
          </cell>
          <cell r="G789">
            <v>369005</v>
          </cell>
          <cell r="H789">
            <v>56.77</v>
          </cell>
          <cell r="I789">
            <v>6500</v>
          </cell>
          <cell r="J789">
            <v>369005</v>
          </cell>
          <cell r="M789">
            <v>283850</v>
          </cell>
          <cell r="N789">
            <v>85155</v>
          </cell>
        </row>
        <row r="791">
          <cell r="B791" t="str">
            <v>SUB-TOTAL</v>
          </cell>
          <cell r="G791">
            <v>640752</v>
          </cell>
          <cell r="J791">
            <v>640752</v>
          </cell>
          <cell r="M791">
            <v>520247</v>
          </cell>
          <cell r="N791">
            <v>120505</v>
          </cell>
        </row>
        <row r="793">
          <cell r="A793" t="str">
            <v xml:space="preserve">  2)</v>
          </cell>
          <cell r="B793" t="str">
            <v>지정공사</v>
          </cell>
        </row>
        <row r="794">
          <cell r="B794" t="str">
            <v>PC PILE         350A,L=15M</v>
          </cell>
          <cell r="D794" t="str">
            <v>NOS</v>
          </cell>
          <cell r="E794">
            <v>8</v>
          </cell>
          <cell r="F794">
            <v>0</v>
          </cell>
          <cell r="G794">
            <v>0</v>
          </cell>
          <cell r="H794">
            <v>8</v>
          </cell>
          <cell r="I794">
            <v>0</v>
          </cell>
          <cell r="J794">
            <v>0</v>
          </cell>
          <cell r="M794">
            <v>0</v>
          </cell>
          <cell r="N794">
            <v>0</v>
          </cell>
          <cell r="O794" t="str">
            <v xml:space="preserve"> 제외</v>
          </cell>
        </row>
        <row r="795">
          <cell r="B795" t="str">
            <v>PILE두부보강 및 속채움</v>
          </cell>
          <cell r="D795" t="str">
            <v>NOS</v>
          </cell>
          <cell r="E795">
            <v>8</v>
          </cell>
          <cell r="F795">
            <v>10000</v>
          </cell>
          <cell r="G795">
            <v>80000</v>
          </cell>
          <cell r="H795">
            <v>8</v>
          </cell>
          <cell r="I795">
            <v>10000</v>
          </cell>
          <cell r="J795">
            <v>80000</v>
          </cell>
          <cell r="M795">
            <v>24000</v>
          </cell>
          <cell r="N795">
            <v>56000</v>
          </cell>
        </row>
        <row r="797">
          <cell r="B797" t="str">
            <v>SUB-TOTAL</v>
          </cell>
          <cell r="G797">
            <v>80000</v>
          </cell>
          <cell r="J797">
            <v>80000</v>
          </cell>
          <cell r="M797">
            <v>24000</v>
          </cell>
          <cell r="N797">
            <v>56000</v>
          </cell>
        </row>
        <row r="799">
          <cell r="A799" t="str">
            <v xml:space="preserve">  3)</v>
          </cell>
          <cell r="B799" t="str">
            <v>철근공사</v>
          </cell>
        </row>
        <row r="800">
          <cell r="B800" t="str">
            <v>RE-BAR</v>
          </cell>
          <cell r="C800" t="str">
            <v>D10</v>
          </cell>
          <cell r="D800" t="str">
            <v>TON</v>
          </cell>
          <cell r="E800">
            <v>0.27</v>
          </cell>
          <cell r="F800">
            <v>310000</v>
          </cell>
          <cell r="G800">
            <v>83700</v>
          </cell>
          <cell r="H800">
            <v>0.27</v>
          </cell>
          <cell r="I800">
            <v>310000</v>
          </cell>
          <cell r="J800">
            <v>83700</v>
          </cell>
          <cell r="M800">
            <v>83700</v>
          </cell>
          <cell r="N800">
            <v>0</v>
          </cell>
        </row>
        <row r="801">
          <cell r="C801" t="str">
            <v>D16</v>
          </cell>
          <cell r="D801" t="str">
            <v>TON</v>
          </cell>
          <cell r="E801">
            <v>0.17</v>
          </cell>
          <cell r="F801">
            <v>310000</v>
          </cell>
          <cell r="G801">
            <v>52700</v>
          </cell>
          <cell r="H801">
            <v>0.17</v>
          </cell>
          <cell r="I801">
            <v>310000</v>
          </cell>
          <cell r="J801">
            <v>52700</v>
          </cell>
          <cell r="M801">
            <v>52700</v>
          </cell>
          <cell r="N801">
            <v>0</v>
          </cell>
        </row>
        <row r="802">
          <cell r="C802" t="str">
            <v>D19</v>
          </cell>
          <cell r="D802" t="str">
            <v>TON</v>
          </cell>
          <cell r="E802">
            <v>0.95</v>
          </cell>
          <cell r="F802">
            <v>310000</v>
          </cell>
          <cell r="G802">
            <v>294500</v>
          </cell>
          <cell r="H802">
            <v>0.95</v>
          </cell>
          <cell r="I802">
            <v>310000</v>
          </cell>
          <cell r="J802">
            <v>294500</v>
          </cell>
          <cell r="M802">
            <v>294500</v>
          </cell>
          <cell r="N802">
            <v>0</v>
          </cell>
        </row>
        <row r="803">
          <cell r="B803" t="str">
            <v>RE-BAR FORMING</v>
          </cell>
          <cell r="D803" t="str">
            <v>TON</v>
          </cell>
          <cell r="E803">
            <v>1.35</v>
          </cell>
          <cell r="F803">
            <v>227000</v>
          </cell>
          <cell r="G803">
            <v>306450</v>
          </cell>
          <cell r="H803">
            <v>1.35</v>
          </cell>
          <cell r="I803">
            <v>227000</v>
          </cell>
          <cell r="J803">
            <v>306450</v>
          </cell>
          <cell r="M803">
            <v>16200</v>
          </cell>
          <cell r="N803">
            <v>290250</v>
          </cell>
        </row>
        <row r="805">
          <cell r="B805" t="str">
            <v>SUB-TOTAL</v>
          </cell>
          <cell r="G805">
            <v>737350</v>
          </cell>
          <cell r="J805">
            <v>737350</v>
          </cell>
          <cell r="M805">
            <v>447100</v>
          </cell>
          <cell r="N805">
            <v>290250</v>
          </cell>
        </row>
        <row r="807">
          <cell r="A807" t="str">
            <v xml:space="preserve">  4)</v>
          </cell>
          <cell r="B807" t="str">
            <v>거푸집공사</v>
          </cell>
          <cell r="O807" t="str">
            <v xml:space="preserve"> 소운반,</v>
          </cell>
        </row>
        <row r="808">
          <cell r="B808" t="str">
            <v>거푸집</v>
          </cell>
          <cell r="C808" t="str">
            <v>4회</v>
          </cell>
          <cell r="D808" t="str">
            <v>M2</v>
          </cell>
          <cell r="E808">
            <v>127.9</v>
          </cell>
          <cell r="F808">
            <v>21360</v>
          </cell>
          <cell r="G808">
            <v>2731944</v>
          </cell>
          <cell r="H808">
            <v>127.9</v>
          </cell>
          <cell r="I808">
            <v>21360</v>
          </cell>
          <cell r="J808">
            <v>2731944</v>
          </cell>
          <cell r="M808">
            <v>787864</v>
          </cell>
          <cell r="N808">
            <v>1944080</v>
          </cell>
          <cell r="O808" t="str">
            <v xml:space="preserve"> 정리비</v>
          </cell>
        </row>
        <row r="809">
          <cell r="O809" t="str">
            <v xml:space="preserve"> 포  함</v>
          </cell>
        </row>
        <row r="810">
          <cell r="B810" t="str">
            <v>SUB-TOTAL</v>
          </cell>
          <cell r="G810">
            <v>2731944</v>
          </cell>
          <cell r="J810">
            <v>2731944</v>
          </cell>
          <cell r="M810">
            <v>787864</v>
          </cell>
          <cell r="N810">
            <v>1944080</v>
          </cell>
        </row>
        <row r="812">
          <cell r="A812" t="str">
            <v xml:space="preserve">  5)</v>
          </cell>
          <cell r="B812" t="str">
            <v>콘크리트 공사</v>
          </cell>
        </row>
        <row r="813">
          <cell r="B813" t="str">
            <v>콘크리트</v>
          </cell>
          <cell r="C813" t="str">
            <v>FC=135KG/㎠</v>
          </cell>
          <cell r="D813" t="str">
            <v>M3</v>
          </cell>
          <cell r="E813">
            <v>1.45</v>
          </cell>
          <cell r="F813">
            <v>50950</v>
          </cell>
          <cell r="G813">
            <v>73877</v>
          </cell>
          <cell r="H813">
            <v>1.45</v>
          </cell>
          <cell r="I813">
            <v>50950</v>
          </cell>
          <cell r="J813">
            <v>73877</v>
          </cell>
          <cell r="M813">
            <v>73877</v>
          </cell>
          <cell r="N813">
            <v>0</v>
          </cell>
        </row>
        <row r="814">
          <cell r="B814" t="str">
            <v>콘크리트</v>
          </cell>
          <cell r="C814" t="str">
            <v>FC=210KG/㎠</v>
          </cell>
          <cell r="D814" t="str">
            <v>M3</v>
          </cell>
          <cell r="E814">
            <v>15.97</v>
          </cell>
          <cell r="F814">
            <v>59770</v>
          </cell>
          <cell r="G814">
            <v>954526</v>
          </cell>
          <cell r="H814">
            <v>15.97</v>
          </cell>
          <cell r="I814">
            <v>59770</v>
          </cell>
          <cell r="J814">
            <v>954526</v>
          </cell>
          <cell r="M814">
            <v>954526</v>
          </cell>
          <cell r="N814">
            <v>0</v>
          </cell>
        </row>
        <row r="815">
          <cell r="B815" t="str">
            <v>콘크리트 치기</v>
          </cell>
          <cell r="D815" t="str">
            <v>M3</v>
          </cell>
          <cell r="E815">
            <v>17.420000000000002</v>
          </cell>
          <cell r="F815">
            <v>11400</v>
          </cell>
          <cell r="G815">
            <v>198588</v>
          </cell>
          <cell r="H815">
            <v>17.420000000000002</v>
          </cell>
          <cell r="I815">
            <v>11400</v>
          </cell>
          <cell r="J815">
            <v>198588</v>
          </cell>
          <cell r="M815">
            <v>31356</v>
          </cell>
          <cell r="N815">
            <v>167232</v>
          </cell>
        </row>
        <row r="816">
          <cell r="B816" t="str">
            <v>GROUT</v>
          </cell>
          <cell r="D816" t="str">
            <v>M3</v>
          </cell>
          <cell r="E816">
            <v>0.05</v>
          </cell>
          <cell r="F816">
            <v>1130800</v>
          </cell>
          <cell r="G816">
            <v>56540</v>
          </cell>
          <cell r="H816">
            <v>0.05</v>
          </cell>
          <cell r="I816">
            <v>1130800</v>
          </cell>
          <cell r="J816">
            <v>56540</v>
          </cell>
          <cell r="M816">
            <v>33500</v>
          </cell>
          <cell r="N816">
            <v>23040</v>
          </cell>
        </row>
        <row r="818">
          <cell r="B818" t="str">
            <v>SUB-TOTAL</v>
          </cell>
          <cell r="G818">
            <v>1283531</v>
          </cell>
          <cell r="J818">
            <v>1283531</v>
          </cell>
          <cell r="M818">
            <v>1093259</v>
          </cell>
          <cell r="N818">
            <v>190272</v>
          </cell>
        </row>
        <row r="820">
          <cell r="A820" t="str">
            <v xml:space="preserve">  6)</v>
          </cell>
          <cell r="B820" t="str">
            <v>철골공사</v>
          </cell>
        </row>
        <row r="821">
          <cell r="B821" t="str">
            <v>H-194*150*6*9</v>
          </cell>
          <cell r="D821" t="str">
            <v>TON</v>
          </cell>
          <cell r="E821">
            <v>2.85</v>
          </cell>
          <cell r="F821">
            <v>400000</v>
          </cell>
          <cell r="G821">
            <v>1140000</v>
          </cell>
          <cell r="H821">
            <v>2.85</v>
          </cell>
          <cell r="I821">
            <v>400000</v>
          </cell>
          <cell r="J821">
            <v>1140000</v>
          </cell>
          <cell r="M821">
            <v>1140000</v>
          </cell>
          <cell r="N821">
            <v>0</v>
          </cell>
        </row>
        <row r="822">
          <cell r="B822" t="str">
            <v>H-244*175*7*11</v>
          </cell>
          <cell r="D822" t="str">
            <v>TON</v>
          </cell>
          <cell r="E822">
            <v>3.82</v>
          </cell>
          <cell r="F822">
            <v>400000</v>
          </cell>
          <cell r="G822">
            <v>1528000</v>
          </cell>
          <cell r="H822">
            <v>3.82</v>
          </cell>
          <cell r="I822">
            <v>400000</v>
          </cell>
          <cell r="J822">
            <v>1528000</v>
          </cell>
          <cell r="M822">
            <v>1528000</v>
          </cell>
          <cell r="N822">
            <v>0</v>
          </cell>
        </row>
        <row r="823">
          <cell r="B823" t="str">
            <v>H-250*125*6*9</v>
          </cell>
          <cell r="D823" t="str">
            <v>TON</v>
          </cell>
          <cell r="E823">
            <v>1.05</v>
          </cell>
          <cell r="F823">
            <v>400000</v>
          </cell>
          <cell r="G823">
            <v>420000</v>
          </cell>
          <cell r="H823">
            <v>1.05</v>
          </cell>
          <cell r="I823">
            <v>400000</v>
          </cell>
          <cell r="J823">
            <v>420000</v>
          </cell>
          <cell r="M823">
            <v>420000</v>
          </cell>
          <cell r="N823">
            <v>0</v>
          </cell>
        </row>
        <row r="824">
          <cell r="B824" t="str">
            <v>H-350*175*7*11</v>
          </cell>
          <cell r="D824" t="str">
            <v>TON</v>
          </cell>
          <cell r="E824">
            <v>0.8</v>
          </cell>
          <cell r="F824">
            <v>400000</v>
          </cell>
          <cell r="G824">
            <v>320000</v>
          </cell>
          <cell r="H824">
            <v>0.8</v>
          </cell>
          <cell r="I824">
            <v>400000</v>
          </cell>
          <cell r="J824">
            <v>320000</v>
          </cell>
          <cell r="M824">
            <v>320000</v>
          </cell>
          <cell r="N824">
            <v>0</v>
          </cell>
        </row>
        <row r="825">
          <cell r="B825" t="str">
            <v>ㄷ-150*75*6.5*10</v>
          </cell>
          <cell r="D825" t="str">
            <v>TON</v>
          </cell>
          <cell r="E825">
            <v>0.21</v>
          </cell>
          <cell r="F825">
            <v>390000</v>
          </cell>
          <cell r="G825">
            <v>81900</v>
          </cell>
          <cell r="H825">
            <v>0.21</v>
          </cell>
          <cell r="I825">
            <v>390000</v>
          </cell>
          <cell r="J825">
            <v>81900</v>
          </cell>
          <cell r="M825">
            <v>81900</v>
          </cell>
          <cell r="N825">
            <v>0</v>
          </cell>
        </row>
        <row r="826">
          <cell r="B826" t="str">
            <v>ㄷ-100*50*5*7.5</v>
          </cell>
          <cell r="D826" t="str">
            <v>TON</v>
          </cell>
          <cell r="E826">
            <v>0.18</v>
          </cell>
          <cell r="F826">
            <v>385000</v>
          </cell>
          <cell r="G826">
            <v>69300</v>
          </cell>
          <cell r="H826">
            <v>0.18</v>
          </cell>
          <cell r="I826">
            <v>385000</v>
          </cell>
          <cell r="J826">
            <v>69300</v>
          </cell>
          <cell r="M826">
            <v>69300</v>
          </cell>
          <cell r="N826">
            <v>0</v>
          </cell>
        </row>
        <row r="827">
          <cell r="B827" t="str">
            <v>ㄴ-50*50*6</v>
          </cell>
          <cell r="D827" t="str">
            <v>TON</v>
          </cell>
          <cell r="E827">
            <v>0.33</v>
          </cell>
          <cell r="F827">
            <v>360000</v>
          </cell>
          <cell r="G827">
            <v>118800</v>
          </cell>
          <cell r="H827">
            <v>0.33</v>
          </cell>
          <cell r="I827">
            <v>360000</v>
          </cell>
          <cell r="J827">
            <v>118800</v>
          </cell>
          <cell r="M827">
            <v>118800</v>
          </cell>
          <cell r="N827">
            <v>0</v>
          </cell>
        </row>
        <row r="828">
          <cell r="B828" t="str">
            <v>ㄴ-75*75*6</v>
          </cell>
          <cell r="D828" t="str">
            <v>TON</v>
          </cell>
          <cell r="E828">
            <v>0.25</v>
          </cell>
          <cell r="F828">
            <v>360000</v>
          </cell>
          <cell r="G828">
            <v>90000</v>
          </cell>
          <cell r="H828">
            <v>0.25</v>
          </cell>
          <cell r="I828">
            <v>360000</v>
          </cell>
          <cell r="J828">
            <v>90000</v>
          </cell>
          <cell r="M828">
            <v>90000</v>
          </cell>
          <cell r="N828">
            <v>0</v>
          </cell>
        </row>
        <row r="829">
          <cell r="B829" t="str">
            <v>STEEL PLATE</v>
          </cell>
          <cell r="D829" t="str">
            <v>TON</v>
          </cell>
          <cell r="E829">
            <v>0.95</v>
          </cell>
          <cell r="F829">
            <v>380000</v>
          </cell>
          <cell r="G829">
            <v>361000</v>
          </cell>
          <cell r="H829">
            <v>0.95</v>
          </cell>
          <cell r="I829">
            <v>380000</v>
          </cell>
          <cell r="J829">
            <v>361000</v>
          </cell>
          <cell r="M829">
            <v>361000</v>
          </cell>
          <cell r="N829">
            <v>0</v>
          </cell>
        </row>
        <row r="830">
          <cell r="B830" t="str">
            <v>CHK'D PLATE</v>
          </cell>
          <cell r="C830" t="str">
            <v>4.5T</v>
          </cell>
          <cell r="D830" t="str">
            <v>TON</v>
          </cell>
          <cell r="E830">
            <v>1.04</v>
          </cell>
          <cell r="F830">
            <v>400000</v>
          </cell>
          <cell r="G830">
            <v>416000</v>
          </cell>
          <cell r="H830">
            <v>1.04</v>
          </cell>
          <cell r="I830">
            <v>400000</v>
          </cell>
          <cell r="J830">
            <v>416000</v>
          </cell>
          <cell r="M830">
            <v>416000</v>
          </cell>
          <cell r="N830">
            <v>0</v>
          </cell>
        </row>
        <row r="831">
          <cell r="B831" t="str">
            <v>HAND RAIL</v>
          </cell>
          <cell r="D831" t="str">
            <v>TON</v>
          </cell>
          <cell r="E831">
            <v>0.3</v>
          </cell>
          <cell r="F831">
            <v>500000</v>
          </cell>
          <cell r="G831">
            <v>150000</v>
          </cell>
          <cell r="H831">
            <v>0.3</v>
          </cell>
          <cell r="I831">
            <v>500000</v>
          </cell>
          <cell r="J831">
            <v>150000</v>
          </cell>
          <cell r="M831">
            <v>150000</v>
          </cell>
          <cell r="N831">
            <v>0</v>
          </cell>
        </row>
        <row r="832">
          <cell r="B832" t="str">
            <v>STEEL LADDER</v>
          </cell>
          <cell r="D832" t="str">
            <v>TON</v>
          </cell>
          <cell r="E832">
            <v>0.24</v>
          </cell>
          <cell r="F832">
            <v>500000</v>
          </cell>
          <cell r="G832">
            <v>120000</v>
          </cell>
          <cell r="H832">
            <v>0.24</v>
          </cell>
          <cell r="I832">
            <v>500000</v>
          </cell>
          <cell r="J832">
            <v>120000</v>
          </cell>
          <cell r="M832">
            <v>120000</v>
          </cell>
          <cell r="N832">
            <v>0</v>
          </cell>
        </row>
        <row r="833">
          <cell r="B833" t="str">
            <v>STEEL FORMING</v>
          </cell>
          <cell r="D833" t="str">
            <v>TON</v>
          </cell>
          <cell r="E833">
            <v>11.23</v>
          </cell>
          <cell r="F833">
            <v>430000</v>
          </cell>
          <cell r="G833">
            <v>4828900</v>
          </cell>
          <cell r="H833">
            <v>11.23</v>
          </cell>
          <cell r="I833">
            <v>430000</v>
          </cell>
          <cell r="J833">
            <v>4828900</v>
          </cell>
          <cell r="M833">
            <v>336900</v>
          </cell>
          <cell r="N833">
            <v>4492000</v>
          </cell>
        </row>
        <row r="834">
          <cell r="B834" t="str">
            <v>STEEL ERECTION</v>
          </cell>
          <cell r="D834" t="str">
            <v>TON</v>
          </cell>
          <cell r="E834">
            <v>11.23</v>
          </cell>
          <cell r="F834">
            <v>140000</v>
          </cell>
          <cell r="G834">
            <v>1572200</v>
          </cell>
          <cell r="H834">
            <v>11.23</v>
          </cell>
          <cell r="I834">
            <v>140000</v>
          </cell>
          <cell r="J834">
            <v>1572200</v>
          </cell>
          <cell r="M834">
            <v>449200</v>
          </cell>
          <cell r="N834">
            <v>1123000</v>
          </cell>
        </row>
        <row r="835">
          <cell r="B835" t="str">
            <v>H.T.B.</v>
          </cell>
          <cell r="C835" t="str">
            <v>M20</v>
          </cell>
          <cell r="D835" t="str">
            <v>EA</v>
          </cell>
          <cell r="E835">
            <v>610</v>
          </cell>
          <cell r="F835">
            <v>470</v>
          </cell>
          <cell r="G835">
            <v>286700</v>
          </cell>
          <cell r="H835">
            <v>610</v>
          </cell>
          <cell r="I835">
            <v>470</v>
          </cell>
          <cell r="J835">
            <v>286700</v>
          </cell>
          <cell r="M835">
            <v>286700</v>
          </cell>
          <cell r="N835">
            <v>0</v>
          </cell>
        </row>
        <row r="837">
          <cell r="B837" t="str">
            <v>SUB-TOTAL</v>
          </cell>
          <cell r="G837">
            <v>11502800</v>
          </cell>
          <cell r="J837">
            <v>11502800</v>
          </cell>
          <cell r="M837">
            <v>5887800</v>
          </cell>
          <cell r="N837">
            <v>5615000</v>
          </cell>
        </row>
        <row r="839">
          <cell r="A839" t="str">
            <v xml:space="preserve">  7)</v>
          </cell>
          <cell r="B839" t="str">
            <v>도장공사</v>
          </cell>
        </row>
        <row r="840">
          <cell r="B840" t="str">
            <v>광명단</v>
          </cell>
          <cell r="C840" t="str">
            <v>2회</v>
          </cell>
          <cell r="D840" t="str">
            <v>M2</v>
          </cell>
          <cell r="E840">
            <v>380.04</v>
          </cell>
          <cell r="F840">
            <v>4000</v>
          </cell>
          <cell r="G840">
            <v>1520160</v>
          </cell>
          <cell r="H840">
            <v>380.04</v>
          </cell>
          <cell r="I840">
            <v>4000</v>
          </cell>
          <cell r="J840">
            <v>1520160</v>
          </cell>
          <cell r="M840">
            <v>570060</v>
          </cell>
          <cell r="N840">
            <v>950100</v>
          </cell>
        </row>
        <row r="841">
          <cell r="B841" t="str">
            <v>유성페인트</v>
          </cell>
          <cell r="C841" t="str">
            <v>2회(중도)</v>
          </cell>
          <cell r="D841" t="str">
            <v>M2</v>
          </cell>
          <cell r="E841">
            <v>380.04</v>
          </cell>
          <cell r="F841">
            <v>4000</v>
          </cell>
          <cell r="G841">
            <v>1520160</v>
          </cell>
          <cell r="H841">
            <v>380.04</v>
          </cell>
          <cell r="I841">
            <v>4000</v>
          </cell>
          <cell r="J841">
            <v>1520160</v>
          </cell>
          <cell r="M841">
            <v>570060</v>
          </cell>
          <cell r="N841">
            <v>950100</v>
          </cell>
        </row>
        <row r="842">
          <cell r="B842" t="str">
            <v>유성페인트</v>
          </cell>
          <cell r="C842" t="str">
            <v>2회(상도)</v>
          </cell>
          <cell r="D842" t="str">
            <v>M2</v>
          </cell>
          <cell r="E842">
            <v>380.04</v>
          </cell>
          <cell r="F842">
            <v>4000</v>
          </cell>
          <cell r="G842">
            <v>1520160</v>
          </cell>
          <cell r="H842">
            <v>380.04</v>
          </cell>
          <cell r="I842">
            <v>4000</v>
          </cell>
          <cell r="J842">
            <v>1520160</v>
          </cell>
          <cell r="M842">
            <v>570060</v>
          </cell>
          <cell r="N842">
            <v>950100</v>
          </cell>
        </row>
        <row r="844">
          <cell r="B844" t="str">
            <v>SUB-TOTAL</v>
          </cell>
          <cell r="G844">
            <v>4560480</v>
          </cell>
          <cell r="J844">
            <v>4560480</v>
          </cell>
          <cell r="M844">
            <v>1710180</v>
          </cell>
          <cell r="N844">
            <v>2850300</v>
          </cell>
        </row>
        <row r="846">
          <cell r="B846" t="str">
            <v>T O T A L</v>
          </cell>
          <cell r="G846">
            <v>21536857</v>
          </cell>
          <cell r="J846">
            <v>21536857</v>
          </cell>
          <cell r="M846">
            <v>10470450</v>
          </cell>
          <cell r="N846">
            <v>11066407</v>
          </cell>
        </row>
        <row r="874">
          <cell r="A874" t="str">
            <v xml:space="preserve">  9.</v>
          </cell>
          <cell r="B874" t="str">
            <v>STRAINER HOUSE</v>
          </cell>
        </row>
        <row r="876">
          <cell r="A876" t="str">
            <v xml:space="preserve">  1)</v>
          </cell>
          <cell r="B876" t="str">
            <v>가설공사</v>
          </cell>
        </row>
        <row r="877">
          <cell r="B877" t="str">
            <v>먹메김</v>
          </cell>
          <cell r="D877" t="str">
            <v>M2</v>
          </cell>
          <cell r="E877">
            <v>20</v>
          </cell>
          <cell r="F877">
            <v>1080</v>
          </cell>
          <cell r="G877">
            <v>21600</v>
          </cell>
          <cell r="H877">
            <v>20</v>
          </cell>
          <cell r="I877">
            <v>1080</v>
          </cell>
          <cell r="J877">
            <v>21600</v>
          </cell>
          <cell r="M877">
            <v>0</v>
          </cell>
          <cell r="N877">
            <v>21600</v>
          </cell>
        </row>
        <row r="878">
          <cell r="B878" t="str">
            <v>규준틀</v>
          </cell>
          <cell r="D878" t="str">
            <v>M2</v>
          </cell>
          <cell r="E878">
            <v>20</v>
          </cell>
          <cell r="F878">
            <v>1550</v>
          </cell>
          <cell r="G878">
            <v>31000</v>
          </cell>
          <cell r="H878">
            <v>20</v>
          </cell>
          <cell r="I878">
            <v>1550</v>
          </cell>
          <cell r="J878">
            <v>31000</v>
          </cell>
          <cell r="M878">
            <v>7000</v>
          </cell>
          <cell r="N878">
            <v>24000</v>
          </cell>
        </row>
        <row r="880">
          <cell r="B880" t="str">
            <v>SUB-TOTAL</v>
          </cell>
          <cell r="G880">
            <v>52600</v>
          </cell>
          <cell r="J880">
            <v>52600</v>
          </cell>
          <cell r="M880">
            <v>7000</v>
          </cell>
          <cell r="N880">
            <v>45600</v>
          </cell>
        </row>
        <row r="882">
          <cell r="A882" t="str">
            <v xml:space="preserve">  2)</v>
          </cell>
          <cell r="B882" t="str">
            <v>토공사</v>
          </cell>
        </row>
        <row r="883">
          <cell r="B883" t="str">
            <v>터파기</v>
          </cell>
          <cell r="D883" t="str">
            <v>M3</v>
          </cell>
          <cell r="E883">
            <v>26.44</v>
          </cell>
          <cell r="F883">
            <v>2760</v>
          </cell>
          <cell r="G883">
            <v>72974</v>
          </cell>
          <cell r="H883">
            <v>26.44</v>
          </cell>
          <cell r="I883">
            <v>2760</v>
          </cell>
          <cell r="J883">
            <v>72974</v>
          </cell>
          <cell r="M883">
            <v>59754</v>
          </cell>
          <cell r="N883">
            <v>13220</v>
          </cell>
        </row>
        <row r="884">
          <cell r="B884" t="str">
            <v>잔토처리</v>
          </cell>
          <cell r="D884" t="str">
            <v>M3</v>
          </cell>
          <cell r="E884">
            <v>6.14</v>
          </cell>
          <cell r="F884">
            <v>5500</v>
          </cell>
          <cell r="G884">
            <v>33770</v>
          </cell>
          <cell r="H884">
            <v>6.14</v>
          </cell>
          <cell r="I884">
            <v>5500</v>
          </cell>
          <cell r="J884">
            <v>33770</v>
          </cell>
          <cell r="M884">
            <v>33770</v>
          </cell>
          <cell r="N884">
            <v>0</v>
          </cell>
        </row>
        <row r="885">
          <cell r="B885" t="str">
            <v>되메우기</v>
          </cell>
          <cell r="D885" t="str">
            <v>M3</v>
          </cell>
          <cell r="E885">
            <v>20.3</v>
          </cell>
          <cell r="F885">
            <v>6500</v>
          </cell>
          <cell r="G885">
            <v>131950</v>
          </cell>
          <cell r="H885">
            <v>20.3</v>
          </cell>
          <cell r="I885">
            <v>6500</v>
          </cell>
          <cell r="J885">
            <v>131950</v>
          </cell>
          <cell r="M885">
            <v>101500</v>
          </cell>
          <cell r="N885">
            <v>30450</v>
          </cell>
        </row>
        <row r="886">
          <cell r="M886">
            <v>0</v>
          </cell>
          <cell r="N886">
            <v>0</v>
          </cell>
        </row>
        <row r="887">
          <cell r="B887" t="str">
            <v>SUB-TOTAL</v>
          </cell>
          <cell r="G887">
            <v>238694</v>
          </cell>
          <cell r="J887">
            <v>238694</v>
          </cell>
          <cell r="M887">
            <v>195024</v>
          </cell>
          <cell r="N887">
            <v>43670</v>
          </cell>
        </row>
        <row r="889">
          <cell r="A889" t="str">
            <v xml:space="preserve">  3)</v>
          </cell>
          <cell r="B889" t="str">
            <v>지정공사</v>
          </cell>
        </row>
        <row r="890">
          <cell r="B890" t="str">
            <v>PC PILE      350A, L=15M</v>
          </cell>
          <cell r="D890" t="str">
            <v>NOS</v>
          </cell>
          <cell r="E890">
            <v>4</v>
          </cell>
          <cell r="F890">
            <v>0</v>
          </cell>
          <cell r="G890">
            <v>0</v>
          </cell>
          <cell r="H890">
            <v>4</v>
          </cell>
          <cell r="I890">
            <v>0</v>
          </cell>
          <cell r="J890">
            <v>0</v>
          </cell>
          <cell r="M890">
            <v>0</v>
          </cell>
          <cell r="N890">
            <v>0</v>
          </cell>
          <cell r="O890" t="str">
            <v xml:space="preserve"> 제외</v>
          </cell>
        </row>
        <row r="891">
          <cell r="B891" t="str">
            <v>PILE 두부보강 및 속채움</v>
          </cell>
          <cell r="D891" t="str">
            <v>NOS</v>
          </cell>
          <cell r="E891">
            <v>4</v>
          </cell>
          <cell r="F891">
            <v>10000</v>
          </cell>
          <cell r="G891">
            <v>40000</v>
          </cell>
          <cell r="H891">
            <v>4</v>
          </cell>
          <cell r="I891">
            <v>10000</v>
          </cell>
          <cell r="J891">
            <v>40000</v>
          </cell>
          <cell r="M891">
            <v>12000</v>
          </cell>
          <cell r="N891">
            <v>28000</v>
          </cell>
        </row>
        <row r="893">
          <cell r="B893" t="str">
            <v>SUB-TOTAL</v>
          </cell>
          <cell r="G893">
            <v>40000</v>
          </cell>
          <cell r="J893">
            <v>40000</v>
          </cell>
          <cell r="M893">
            <v>12000</v>
          </cell>
          <cell r="N893">
            <v>28000</v>
          </cell>
        </row>
        <row r="895">
          <cell r="A895" t="str">
            <v xml:space="preserve">  4)</v>
          </cell>
          <cell r="B895" t="str">
            <v>철근공사</v>
          </cell>
        </row>
        <row r="896">
          <cell r="B896" t="str">
            <v>RE-BAR</v>
          </cell>
          <cell r="C896" t="str">
            <v>D10</v>
          </cell>
          <cell r="D896" t="str">
            <v>TON</v>
          </cell>
          <cell r="E896">
            <v>0.11</v>
          </cell>
          <cell r="F896">
            <v>310000</v>
          </cell>
          <cell r="G896">
            <v>34100</v>
          </cell>
          <cell r="H896">
            <v>0.11</v>
          </cell>
          <cell r="I896">
            <v>310000</v>
          </cell>
          <cell r="J896">
            <v>34100</v>
          </cell>
          <cell r="M896">
            <v>34100</v>
          </cell>
          <cell r="N896">
            <v>0</v>
          </cell>
        </row>
        <row r="897">
          <cell r="C897" t="str">
            <v>D16</v>
          </cell>
          <cell r="D897" t="str">
            <v>TON</v>
          </cell>
          <cell r="E897">
            <v>0.28999999999999998</v>
          </cell>
          <cell r="F897">
            <v>310000</v>
          </cell>
          <cell r="G897">
            <v>89900</v>
          </cell>
          <cell r="H897">
            <v>0.28999999999999998</v>
          </cell>
          <cell r="I897">
            <v>310000</v>
          </cell>
          <cell r="J897">
            <v>89900</v>
          </cell>
          <cell r="M897">
            <v>89900</v>
          </cell>
          <cell r="N897">
            <v>0</v>
          </cell>
        </row>
        <row r="898">
          <cell r="C898" t="str">
            <v>D19</v>
          </cell>
          <cell r="D898" t="str">
            <v>TON</v>
          </cell>
          <cell r="E898">
            <v>0.09</v>
          </cell>
          <cell r="F898">
            <v>310000</v>
          </cell>
          <cell r="G898">
            <v>27900</v>
          </cell>
          <cell r="H898">
            <v>0.09</v>
          </cell>
          <cell r="I898">
            <v>310000</v>
          </cell>
          <cell r="J898">
            <v>27900</v>
          </cell>
          <cell r="M898">
            <v>27900</v>
          </cell>
          <cell r="N898">
            <v>0</v>
          </cell>
        </row>
        <row r="899">
          <cell r="B899" t="str">
            <v>RE-BAR FORMING</v>
          </cell>
          <cell r="D899" t="str">
            <v>TON</v>
          </cell>
          <cell r="E899">
            <v>0.47</v>
          </cell>
          <cell r="F899">
            <v>227000</v>
          </cell>
          <cell r="G899">
            <v>106690</v>
          </cell>
          <cell r="H899">
            <v>0.47</v>
          </cell>
          <cell r="I899">
            <v>227000</v>
          </cell>
          <cell r="J899">
            <v>106690</v>
          </cell>
          <cell r="M899">
            <v>5640</v>
          </cell>
          <cell r="N899">
            <v>101050</v>
          </cell>
        </row>
        <row r="901">
          <cell r="B901" t="str">
            <v>SUB-TOTAL</v>
          </cell>
          <cell r="G901">
            <v>258590</v>
          </cell>
          <cell r="J901">
            <v>258590</v>
          </cell>
          <cell r="M901">
            <v>157540</v>
          </cell>
          <cell r="N901">
            <v>101050</v>
          </cell>
        </row>
        <row r="903">
          <cell r="A903" t="str">
            <v xml:space="preserve">  5)</v>
          </cell>
          <cell r="B903" t="str">
            <v>거푸집 공사</v>
          </cell>
          <cell r="O903" t="str">
            <v xml:space="preserve"> 소운반,</v>
          </cell>
        </row>
        <row r="904">
          <cell r="B904" t="str">
            <v>거푸집</v>
          </cell>
          <cell r="C904" t="str">
            <v>4회</v>
          </cell>
          <cell r="D904" t="str">
            <v>M2</v>
          </cell>
          <cell r="E904">
            <v>32.5</v>
          </cell>
          <cell r="F904">
            <v>21360</v>
          </cell>
          <cell r="G904">
            <v>694200</v>
          </cell>
          <cell r="H904">
            <v>32.5</v>
          </cell>
          <cell r="I904">
            <v>21360</v>
          </cell>
          <cell r="J904">
            <v>694200</v>
          </cell>
          <cell r="M904">
            <v>200200</v>
          </cell>
          <cell r="N904">
            <v>494000</v>
          </cell>
          <cell r="O904" t="str">
            <v xml:space="preserve"> 정리비</v>
          </cell>
        </row>
        <row r="905">
          <cell r="O905" t="str">
            <v xml:space="preserve"> 포  함</v>
          </cell>
        </row>
        <row r="906">
          <cell r="B906" t="str">
            <v>SUB-TOTAL</v>
          </cell>
          <cell r="G906">
            <v>694200</v>
          </cell>
          <cell r="J906">
            <v>694200</v>
          </cell>
          <cell r="M906">
            <v>200200</v>
          </cell>
          <cell r="N906">
            <v>494000</v>
          </cell>
        </row>
        <row r="908">
          <cell r="A908" t="str">
            <v xml:space="preserve">  6)</v>
          </cell>
          <cell r="B908" t="str">
            <v>콘크리트 공사</v>
          </cell>
        </row>
        <row r="909">
          <cell r="B909" t="str">
            <v>콘크리트</v>
          </cell>
          <cell r="C909" t="str">
            <v>FC=135KG/㎠</v>
          </cell>
          <cell r="D909" t="str">
            <v>M3</v>
          </cell>
          <cell r="E909">
            <v>0.64</v>
          </cell>
          <cell r="F909">
            <v>50950</v>
          </cell>
          <cell r="G909">
            <v>32608</v>
          </cell>
          <cell r="H909">
            <v>0.64</v>
          </cell>
          <cell r="I909">
            <v>50950</v>
          </cell>
          <cell r="J909">
            <v>32608</v>
          </cell>
          <cell r="M909">
            <v>32608</v>
          </cell>
          <cell r="N909">
            <v>0</v>
          </cell>
        </row>
        <row r="910">
          <cell r="B910" t="str">
            <v>콘크리트</v>
          </cell>
          <cell r="C910" t="str">
            <v>FC=210KG/㎠</v>
          </cell>
          <cell r="D910" t="str">
            <v>M3</v>
          </cell>
          <cell r="E910">
            <v>5.26</v>
          </cell>
          <cell r="F910">
            <v>59770</v>
          </cell>
          <cell r="G910">
            <v>314390</v>
          </cell>
          <cell r="H910">
            <v>5.26</v>
          </cell>
          <cell r="I910">
            <v>59770</v>
          </cell>
          <cell r="J910">
            <v>314390</v>
          </cell>
          <cell r="M910">
            <v>314390</v>
          </cell>
          <cell r="N910">
            <v>0</v>
          </cell>
        </row>
        <row r="911">
          <cell r="B911" t="str">
            <v>콘크리트 치기</v>
          </cell>
          <cell r="D911" t="str">
            <v>M3</v>
          </cell>
          <cell r="E911">
            <v>5.9</v>
          </cell>
          <cell r="F911">
            <v>11400</v>
          </cell>
          <cell r="G911">
            <v>67260</v>
          </cell>
          <cell r="H911">
            <v>5.9</v>
          </cell>
          <cell r="I911">
            <v>11400</v>
          </cell>
          <cell r="J911">
            <v>67260</v>
          </cell>
          <cell r="M911">
            <v>10620</v>
          </cell>
          <cell r="N911">
            <v>56640</v>
          </cell>
        </row>
        <row r="912">
          <cell r="B912" t="str">
            <v>GROUT</v>
          </cell>
          <cell r="D912" t="str">
            <v>M3</v>
          </cell>
          <cell r="E912">
            <v>0.02</v>
          </cell>
          <cell r="F912">
            <v>1130800</v>
          </cell>
          <cell r="G912">
            <v>22616</v>
          </cell>
          <cell r="H912">
            <v>0.02</v>
          </cell>
          <cell r="I912">
            <v>1130800</v>
          </cell>
          <cell r="J912">
            <v>22616</v>
          </cell>
          <cell r="M912">
            <v>13400</v>
          </cell>
          <cell r="N912">
            <v>9216</v>
          </cell>
        </row>
        <row r="914">
          <cell r="B914" t="str">
            <v>SUB-TOTAL</v>
          </cell>
          <cell r="G914">
            <v>436874</v>
          </cell>
          <cell r="J914">
            <v>436874</v>
          </cell>
          <cell r="M914">
            <v>371018</v>
          </cell>
          <cell r="N914">
            <v>65856</v>
          </cell>
        </row>
        <row r="916">
          <cell r="A916" t="str">
            <v xml:space="preserve">  7)</v>
          </cell>
          <cell r="B916" t="str">
            <v>철골공사</v>
          </cell>
        </row>
        <row r="917">
          <cell r="B917" t="str">
            <v>H-200*200*8*12</v>
          </cell>
          <cell r="D917" t="str">
            <v>TON</v>
          </cell>
          <cell r="E917">
            <v>1.23</v>
          </cell>
          <cell r="F917">
            <v>400000</v>
          </cell>
          <cell r="G917">
            <v>492000</v>
          </cell>
          <cell r="H917">
            <v>1.23</v>
          </cell>
          <cell r="I917">
            <v>400000</v>
          </cell>
          <cell r="J917">
            <v>492000</v>
          </cell>
          <cell r="M917">
            <v>492000</v>
          </cell>
          <cell r="N917">
            <v>0</v>
          </cell>
        </row>
        <row r="918">
          <cell r="B918" t="str">
            <v>H-194*150*6*9</v>
          </cell>
          <cell r="D918" t="str">
            <v>TON</v>
          </cell>
          <cell r="E918">
            <v>2</v>
          </cell>
          <cell r="F918">
            <v>400000</v>
          </cell>
          <cell r="G918">
            <v>800000</v>
          </cell>
          <cell r="H918">
            <v>2</v>
          </cell>
          <cell r="I918">
            <v>400000</v>
          </cell>
          <cell r="J918">
            <v>800000</v>
          </cell>
          <cell r="M918">
            <v>800000</v>
          </cell>
          <cell r="N918">
            <v>0</v>
          </cell>
        </row>
        <row r="919">
          <cell r="B919" t="str">
            <v>H-244*175*7*11</v>
          </cell>
          <cell r="D919" t="str">
            <v>TON</v>
          </cell>
          <cell r="E919">
            <v>0.06</v>
          </cell>
          <cell r="F919">
            <v>400000</v>
          </cell>
          <cell r="G919">
            <v>24000</v>
          </cell>
          <cell r="H919">
            <v>0.06</v>
          </cell>
          <cell r="I919">
            <v>400000</v>
          </cell>
          <cell r="J919">
            <v>24000</v>
          </cell>
          <cell r="M919">
            <v>24000</v>
          </cell>
          <cell r="N919">
            <v>0</v>
          </cell>
        </row>
        <row r="920">
          <cell r="B920" t="str">
            <v>ㄷ-200*90*8*13.5</v>
          </cell>
          <cell r="D920" t="str">
            <v>TON</v>
          </cell>
          <cell r="E920">
            <v>0.34</v>
          </cell>
          <cell r="F920">
            <v>430000</v>
          </cell>
          <cell r="G920">
            <v>146200</v>
          </cell>
          <cell r="H920">
            <v>0.34</v>
          </cell>
          <cell r="I920">
            <v>430000</v>
          </cell>
          <cell r="J920">
            <v>146200</v>
          </cell>
          <cell r="M920">
            <v>146200</v>
          </cell>
          <cell r="N920">
            <v>0</v>
          </cell>
        </row>
        <row r="921">
          <cell r="B921" t="str">
            <v>ㄷ-125*65*6*8</v>
          </cell>
          <cell r="D921" t="str">
            <v>TON</v>
          </cell>
          <cell r="E921">
            <v>0.48</v>
          </cell>
          <cell r="F921">
            <v>385000</v>
          </cell>
          <cell r="G921">
            <v>184800</v>
          </cell>
          <cell r="H921">
            <v>0.48</v>
          </cell>
          <cell r="I921">
            <v>385000</v>
          </cell>
          <cell r="J921">
            <v>184800</v>
          </cell>
          <cell r="M921">
            <v>184800</v>
          </cell>
          <cell r="N921">
            <v>0</v>
          </cell>
        </row>
        <row r="922">
          <cell r="B922" t="str">
            <v>ㄴ-65*65*6</v>
          </cell>
          <cell r="D922" t="str">
            <v>TON</v>
          </cell>
          <cell r="E922">
            <v>0.25</v>
          </cell>
          <cell r="F922">
            <v>360000</v>
          </cell>
          <cell r="G922">
            <v>90000</v>
          </cell>
          <cell r="H922">
            <v>0.25</v>
          </cell>
          <cell r="I922">
            <v>360000</v>
          </cell>
          <cell r="J922">
            <v>90000</v>
          </cell>
          <cell r="M922">
            <v>90000</v>
          </cell>
          <cell r="N922">
            <v>0</v>
          </cell>
        </row>
        <row r="923">
          <cell r="B923" t="str">
            <v>ㄴ-50*50*6</v>
          </cell>
          <cell r="D923" t="str">
            <v>TON</v>
          </cell>
          <cell r="E923">
            <v>0.19</v>
          </cell>
          <cell r="F923">
            <v>360000</v>
          </cell>
          <cell r="G923">
            <v>68400</v>
          </cell>
          <cell r="H923">
            <v>0.19</v>
          </cell>
          <cell r="I923">
            <v>360000</v>
          </cell>
          <cell r="J923">
            <v>68400</v>
          </cell>
          <cell r="M923">
            <v>68400</v>
          </cell>
          <cell r="N923">
            <v>0</v>
          </cell>
        </row>
        <row r="924">
          <cell r="B924" t="str">
            <v>ㄴ-40*40*5</v>
          </cell>
          <cell r="D924" t="str">
            <v>TON</v>
          </cell>
          <cell r="E924">
            <v>0.02</v>
          </cell>
          <cell r="F924">
            <v>360000</v>
          </cell>
          <cell r="G924">
            <v>7200</v>
          </cell>
          <cell r="H924">
            <v>0.02</v>
          </cell>
          <cell r="I924">
            <v>360000</v>
          </cell>
          <cell r="J924">
            <v>7200</v>
          </cell>
          <cell r="M924">
            <v>7200</v>
          </cell>
          <cell r="N924">
            <v>0</v>
          </cell>
        </row>
        <row r="925">
          <cell r="B925" t="str">
            <v>I-200*100*7*10</v>
          </cell>
          <cell r="D925" t="str">
            <v>TON</v>
          </cell>
          <cell r="E925">
            <v>0.11</v>
          </cell>
          <cell r="F925">
            <v>470000</v>
          </cell>
          <cell r="G925">
            <v>51700</v>
          </cell>
          <cell r="H925">
            <v>0.11</v>
          </cell>
          <cell r="I925">
            <v>470000</v>
          </cell>
          <cell r="J925">
            <v>51700</v>
          </cell>
          <cell r="M925">
            <v>51700</v>
          </cell>
          <cell r="N925">
            <v>0</v>
          </cell>
        </row>
        <row r="926">
          <cell r="B926" t="str">
            <v>STEEL PLATE</v>
          </cell>
          <cell r="D926" t="str">
            <v>TON</v>
          </cell>
          <cell r="E926">
            <v>0.47</v>
          </cell>
          <cell r="F926">
            <v>380000</v>
          </cell>
          <cell r="G926">
            <v>178600</v>
          </cell>
          <cell r="H926">
            <v>0.47</v>
          </cell>
          <cell r="I926">
            <v>380000</v>
          </cell>
          <cell r="J926">
            <v>178600</v>
          </cell>
          <cell r="M926">
            <v>178600</v>
          </cell>
          <cell r="N926">
            <v>0</v>
          </cell>
        </row>
        <row r="927">
          <cell r="B927" t="str">
            <v>CHK'D PLATE</v>
          </cell>
          <cell r="C927" t="str">
            <v>4.5T</v>
          </cell>
          <cell r="D927" t="str">
            <v>TON</v>
          </cell>
          <cell r="E927">
            <v>0.77</v>
          </cell>
          <cell r="F927">
            <v>400000</v>
          </cell>
          <cell r="G927">
            <v>308000</v>
          </cell>
          <cell r="H927">
            <v>0.77</v>
          </cell>
          <cell r="I927">
            <v>400000</v>
          </cell>
          <cell r="J927">
            <v>308000</v>
          </cell>
          <cell r="M927">
            <v>308000</v>
          </cell>
          <cell r="N927">
            <v>0</v>
          </cell>
        </row>
        <row r="928">
          <cell r="B928" t="str">
            <v xml:space="preserve">HANDRAIL </v>
          </cell>
          <cell r="D928" t="str">
            <v>TON</v>
          </cell>
          <cell r="E928">
            <v>0.36</v>
          </cell>
          <cell r="F928">
            <v>500000</v>
          </cell>
          <cell r="G928">
            <v>180000</v>
          </cell>
          <cell r="H928">
            <v>0.36</v>
          </cell>
          <cell r="I928">
            <v>500000</v>
          </cell>
          <cell r="J928">
            <v>180000</v>
          </cell>
          <cell r="M928">
            <v>180000</v>
          </cell>
          <cell r="N928">
            <v>0</v>
          </cell>
        </row>
        <row r="929">
          <cell r="B929" t="str">
            <v>STEEL FORMING</v>
          </cell>
          <cell r="D929" t="str">
            <v>TON</v>
          </cell>
          <cell r="E929">
            <v>5.9</v>
          </cell>
          <cell r="F929">
            <v>430000</v>
          </cell>
          <cell r="G929">
            <v>2537000</v>
          </cell>
          <cell r="H929">
            <v>5.9</v>
          </cell>
          <cell r="I929">
            <v>430000</v>
          </cell>
          <cell r="J929">
            <v>2537000</v>
          </cell>
          <cell r="M929">
            <v>177000</v>
          </cell>
          <cell r="N929">
            <v>2360000</v>
          </cell>
        </row>
        <row r="930">
          <cell r="B930" t="str">
            <v>STEEL ERECTION</v>
          </cell>
          <cell r="D930" t="str">
            <v>TON</v>
          </cell>
          <cell r="E930">
            <v>5.9</v>
          </cell>
          <cell r="F930">
            <v>140000</v>
          </cell>
          <cell r="G930">
            <v>826000</v>
          </cell>
          <cell r="H930">
            <v>5.9</v>
          </cell>
          <cell r="I930">
            <v>140000</v>
          </cell>
          <cell r="J930">
            <v>826000</v>
          </cell>
          <cell r="M930">
            <v>236000</v>
          </cell>
          <cell r="N930">
            <v>590000</v>
          </cell>
        </row>
        <row r="931">
          <cell r="B931" t="str">
            <v>H.T.B.</v>
          </cell>
          <cell r="C931" t="str">
            <v>M20</v>
          </cell>
          <cell r="D931" t="str">
            <v>EA</v>
          </cell>
          <cell r="E931">
            <v>300</v>
          </cell>
          <cell r="F931">
            <v>470</v>
          </cell>
          <cell r="G931">
            <v>141000</v>
          </cell>
          <cell r="H931">
            <v>300</v>
          </cell>
          <cell r="I931">
            <v>470</v>
          </cell>
          <cell r="J931">
            <v>141000</v>
          </cell>
          <cell r="M931">
            <v>141000</v>
          </cell>
          <cell r="N931">
            <v>0</v>
          </cell>
        </row>
        <row r="932">
          <cell r="B932" t="str">
            <v>COMMON BOLT</v>
          </cell>
          <cell r="C932" t="str">
            <v>M20</v>
          </cell>
          <cell r="D932" t="str">
            <v>EA</v>
          </cell>
          <cell r="E932">
            <v>53</v>
          </cell>
          <cell r="F932">
            <v>470</v>
          </cell>
          <cell r="G932">
            <v>24910</v>
          </cell>
          <cell r="H932">
            <v>53</v>
          </cell>
          <cell r="I932">
            <v>470</v>
          </cell>
          <cell r="J932">
            <v>24910</v>
          </cell>
          <cell r="M932">
            <v>24910</v>
          </cell>
          <cell r="N932">
            <v>0</v>
          </cell>
        </row>
        <row r="933">
          <cell r="B933" t="str">
            <v>ANCHOR BOLT</v>
          </cell>
          <cell r="C933" t="str">
            <v>M24</v>
          </cell>
          <cell r="D933" t="str">
            <v>EA</v>
          </cell>
          <cell r="E933">
            <v>8</v>
          </cell>
          <cell r="F933">
            <v>10000</v>
          </cell>
          <cell r="G933">
            <v>80000</v>
          </cell>
          <cell r="H933">
            <v>8</v>
          </cell>
          <cell r="I933">
            <v>10000</v>
          </cell>
          <cell r="J933">
            <v>80000</v>
          </cell>
          <cell r="M933">
            <v>16000</v>
          </cell>
          <cell r="N933">
            <v>64000</v>
          </cell>
        </row>
        <row r="935">
          <cell r="B935" t="str">
            <v>SUB-TOTAL</v>
          </cell>
          <cell r="G935">
            <v>6139810</v>
          </cell>
          <cell r="J935">
            <v>6139810</v>
          </cell>
          <cell r="M935">
            <v>3125810</v>
          </cell>
          <cell r="N935">
            <v>3014000</v>
          </cell>
        </row>
        <row r="937">
          <cell r="A937" t="str">
            <v xml:space="preserve">  8)</v>
          </cell>
          <cell r="B937" t="str">
            <v>도장공사</v>
          </cell>
        </row>
        <row r="938">
          <cell r="B938" t="str">
            <v>광명단</v>
          </cell>
          <cell r="C938" t="str">
            <v>2회</v>
          </cell>
          <cell r="D938" t="str">
            <v>M2</v>
          </cell>
          <cell r="E938">
            <v>203</v>
          </cell>
          <cell r="F938">
            <v>4000</v>
          </cell>
          <cell r="G938">
            <v>812000</v>
          </cell>
          <cell r="H938">
            <v>203</v>
          </cell>
          <cell r="I938">
            <v>4000</v>
          </cell>
          <cell r="J938">
            <v>812000</v>
          </cell>
          <cell r="M938">
            <v>304500</v>
          </cell>
          <cell r="N938">
            <v>507500</v>
          </cell>
        </row>
        <row r="939">
          <cell r="B939" t="str">
            <v>유성페인트</v>
          </cell>
          <cell r="C939" t="str">
            <v>2회(중도)</v>
          </cell>
          <cell r="D939" t="str">
            <v>M2</v>
          </cell>
          <cell r="E939">
            <v>203</v>
          </cell>
          <cell r="F939">
            <v>4000</v>
          </cell>
          <cell r="G939">
            <v>812000</v>
          </cell>
          <cell r="H939">
            <v>203</v>
          </cell>
          <cell r="I939">
            <v>4000</v>
          </cell>
          <cell r="J939">
            <v>812000</v>
          </cell>
          <cell r="M939">
            <v>304500</v>
          </cell>
          <cell r="N939">
            <v>507500</v>
          </cell>
        </row>
        <row r="940">
          <cell r="B940" t="str">
            <v>유성페인트</v>
          </cell>
          <cell r="C940" t="str">
            <v>2회(상도)</v>
          </cell>
          <cell r="D940" t="str">
            <v>M2</v>
          </cell>
          <cell r="E940">
            <v>203</v>
          </cell>
          <cell r="F940">
            <v>4000</v>
          </cell>
          <cell r="G940">
            <v>812000</v>
          </cell>
          <cell r="H940">
            <v>203</v>
          </cell>
          <cell r="I940">
            <v>4000</v>
          </cell>
          <cell r="J940">
            <v>812000</v>
          </cell>
          <cell r="M940">
            <v>304500</v>
          </cell>
          <cell r="N940">
            <v>507500</v>
          </cell>
        </row>
        <row r="942">
          <cell r="B942" t="str">
            <v>SUB-TOTAL</v>
          </cell>
          <cell r="G942">
            <v>2436000</v>
          </cell>
          <cell r="J942">
            <v>2436000</v>
          </cell>
          <cell r="M942">
            <v>913500</v>
          </cell>
          <cell r="N942">
            <v>1522500</v>
          </cell>
        </row>
        <row r="944">
          <cell r="A944" t="str">
            <v xml:space="preserve">  9)</v>
          </cell>
          <cell r="B944" t="str">
            <v>지붕공사</v>
          </cell>
        </row>
        <row r="945">
          <cell r="B945" t="str">
            <v>A.P.M 0.7T V-115</v>
          </cell>
          <cell r="D945" t="str">
            <v>M2</v>
          </cell>
          <cell r="E945">
            <v>30.7</v>
          </cell>
          <cell r="F945">
            <v>37160</v>
          </cell>
          <cell r="G945">
            <v>1140812</v>
          </cell>
          <cell r="H945">
            <v>30.7</v>
          </cell>
          <cell r="I945">
            <v>37160</v>
          </cell>
          <cell r="J945">
            <v>1140812</v>
          </cell>
          <cell r="M945">
            <v>846092</v>
          </cell>
          <cell r="N945">
            <v>294720</v>
          </cell>
        </row>
        <row r="946">
          <cell r="B946" t="str">
            <v>GUTTER A.P.M 0.7T</v>
          </cell>
          <cell r="D946" t="str">
            <v>M2</v>
          </cell>
          <cell r="E946">
            <v>3.78</v>
          </cell>
          <cell r="F946">
            <v>47560</v>
          </cell>
          <cell r="G946">
            <v>179776</v>
          </cell>
          <cell r="H946">
            <v>3.78</v>
          </cell>
          <cell r="I946">
            <v>47560</v>
          </cell>
          <cell r="J946">
            <v>179776</v>
          </cell>
          <cell r="M946">
            <v>104176</v>
          </cell>
          <cell r="N946">
            <v>75600</v>
          </cell>
        </row>
        <row r="947">
          <cell r="B947" t="str">
            <v>ROOF DRAIN (ST'L)</v>
          </cell>
          <cell r="C947" t="str">
            <v>100A</v>
          </cell>
          <cell r="D947" t="str">
            <v>EA</v>
          </cell>
          <cell r="E947">
            <v>1</v>
          </cell>
          <cell r="F947">
            <v>16000</v>
          </cell>
          <cell r="G947">
            <v>16000</v>
          </cell>
          <cell r="H947">
            <v>1</v>
          </cell>
          <cell r="I947">
            <v>16000</v>
          </cell>
          <cell r="J947">
            <v>16000</v>
          </cell>
          <cell r="M947">
            <v>3000</v>
          </cell>
          <cell r="N947">
            <v>13000</v>
          </cell>
        </row>
        <row r="948">
          <cell r="B948" t="str">
            <v>STEEL PIPE</v>
          </cell>
          <cell r="C948" t="str">
            <v>100A</v>
          </cell>
          <cell r="D948" t="str">
            <v>M</v>
          </cell>
          <cell r="E948">
            <v>5.2</v>
          </cell>
          <cell r="F948">
            <v>31200</v>
          </cell>
          <cell r="G948">
            <v>162240</v>
          </cell>
          <cell r="H948">
            <v>5.2</v>
          </cell>
          <cell r="I948">
            <v>31200</v>
          </cell>
          <cell r="J948">
            <v>162240</v>
          </cell>
          <cell r="M948">
            <v>58240</v>
          </cell>
          <cell r="N948">
            <v>104000</v>
          </cell>
        </row>
        <row r="950">
          <cell r="B950" t="str">
            <v>SUB-TOTAL</v>
          </cell>
          <cell r="G950">
            <v>1498828</v>
          </cell>
          <cell r="J950">
            <v>1498828</v>
          </cell>
          <cell r="M950">
            <v>1011508</v>
          </cell>
          <cell r="N950">
            <v>487320</v>
          </cell>
        </row>
        <row r="952">
          <cell r="B952" t="str">
            <v>T O T A L</v>
          </cell>
          <cell r="G952">
            <v>11795596</v>
          </cell>
          <cell r="J952">
            <v>11795596</v>
          </cell>
          <cell r="M952">
            <v>5993600</v>
          </cell>
          <cell r="N952">
            <v>5801996</v>
          </cell>
        </row>
        <row r="964">
          <cell r="A964" t="str">
            <v xml:space="preserve"> 10.</v>
          </cell>
          <cell r="B964" t="str">
            <v>OIL SEPARATION (NEAR SHOWER ROOM)</v>
          </cell>
        </row>
        <row r="966">
          <cell r="A966" t="str">
            <v xml:space="preserve">  1)</v>
          </cell>
          <cell r="B966" t="str">
            <v>토공사</v>
          </cell>
        </row>
        <row r="967">
          <cell r="B967" t="str">
            <v>터파기</v>
          </cell>
          <cell r="C967" t="str">
            <v>HAND</v>
          </cell>
          <cell r="D967" t="str">
            <v>M3</v>
          </cell>
          <cell r="E967">
            <v>31.17</v>
          </cell>
          <cell r="F967">
            <v>18760</v>
          </cell>
          <cell r="G967">
            <v>584749</v>
          </cell>
          <cell r="H967">
            <v>31.17</v>
          </cell>
          <cell r="I967">
            <v>18760</v>
          </cell>
          <cell r="J967">
            <v>584749</v>
          </cell>
          <cell r="M967">
            <v>70444</v>
          </cell>
          <cell r="N967">
            <v>514305</v>
          </cell>
        </row>
        <row r="968">
          <cell r="B968" t="str">
            <v>잔토처리</v>
          </cell>
          <cell r="C968" t="str">
            <v>HAND</v>
          </cell>
          <cell r="D968" t="str">
            <v>M3</v>
          </cell>
          <cell r="E968">
            <v>16.239999999999998</v>
          </cell>
          <cell r="F968">
            <v>11350</v>
          </cell>
          <cell r="G968">
            <v>184324</v>
          </cell>
          <cell r="H968">
            <v>16.239999999999998</v>
          </cell>
          <cell r="I968">
            <v>11350</v>
          </cell>
          <cell r="J968">
            <v>184324</v>
          </cell>
          <cell r="M968">
            <v>89320</v>
          </cell>
          <cell r="N968">
            <v>95004</v>
          </cell>
        </row>
        <row r="969">
          <cell r="B969" t="str">
            <v>되메우기</v>
          </cell>
          <cell r="C969" t="str">
            <v>HAND</v>
          </cell>
          <cell r="D969" t="str">
            <v>M3</v>
          </cell>
          <cell r="E969">
            <v>14.93</v>
          </cell>
          <cell r="F969">
            <v>16800</v>
          </cell>
          <cell r="G969">
            <v>250824</v>
          </cell>
          <cell r="H969">
            <v>14.93</v>
          </cell>
          <cell r="I969">
            <v>16800</v>
          </cell>
          <cell r="J969">
            <v>250824</v>
          </cell>
          <cell r="M969">
            <v>74650</v>
          </cell>
          <cell r="N969">
            <v>176174</v>
          </cell>
        </row>
        <row r="971">
          <cell r="B971" t="str">
            <v>SUB-TOTAL</v>
          </cell>
          <cell r="G971">
            <v>1019897</v>
          </cell>
          <cell r="J971">
            <v>1019897</v>
          </cell>
          <cell r="M971">
            <v>234414</v>
          </cell>
          <cell r="N971">
            <v>785483</v>
          </cell>
        </row>
        <row r="973">
          <cell r="A973" t="str">
            <v xml:space="preserve">  2)</v>
          </cell>
          <cell r="B973" t="str">
            <v>지정공사</v>
          </cell>
        </row>
        <row r="974">
          <cell r="B974" t="str">
            <v>잡석지정</v>
          </cell>
          <cell r="D974" t="str">
            <v>M3</v>
          </cell>
          <cell r="E974">
            <v>2.52</v>
          </cell>
          <cell r="F974">
            <v>13500</v>
          </cell>
          <cell r="G974">
            <v>34020</v>
          </cell>
          <cell r="H974">
            <v>2.52</v>
          </cell>
          <cell r="I974">
            <v>13500</v>
          </cell>
          <cell r="J974">
            <v>34020</v>
          </cell>
          <cell r="M974">
            <v>22680</v>
          </cell>
          <cell r="N974">
            <v>11340</v>
          </cell>
        </row>
        <row r="976">
          <cell r="B976" t="str">
            <v>SUB-TOTAL</v>
          </cell>
          <cell r="G976">
            <v>34020</v>
          </cell>
          <cell r="J976">
            <v>34020</v>
          </cell>
          <cell r="M976">
            <v>22680</v>
          </cell>
          <cell r="N976">
            <v>11340</v>
          </cell>
        </row>
        <row r="978">
          <cell r="A978" t="str">
            <v xml:space="preserve">  3)</v>
          </cell>
          <cell r="B978" t="str">
            <v>철근공사</v>
          </cell>
        </row>
        <row r="979">
          <cell r="B979" t="str">
            <v>RE-BAR</v>
          </cell>
          <cell r="C979" t="str">
            <v>D10</v>
          </cell>
          <cell r="D979" t="str">
            <v>TON</v>
          </cell>
          <cell r="E979">
            <v>0.01</v>
          </cell>
          <cell r="F979">
            <v>310000</v>
          </cell>
          <cell r="G979">
            <v>3100</v>
          </cell>
          <cell r="H979">
            <v>0.01</v>
          </cell>
          <cell r="I979">
            <v>310000</v>
          </cell>
          <cell r="J979">
            <v>3100</v>
          </cell>
          <cell r="M979">
            <v>3100</v>
          </cell>
          <cell r="N979">
            <v>0</v>
          </cell>
        </row>
        <row r="980">
          <cell r="C980" t="str">
            <v>D13</v>
          </cell>
          <cell r="D980" t="str">
            <v>TON</v>
          </cell>
          <cell r="E980">
            <v>0.43</v>
          </cell>
          <cell r="F980">
            <v>310000</v>
          </cell>
          <cell r="G980">
            <v>133300</v>
          </cell>
          <cell r="H980">
            <v>0.43</v>
          </cell>
          <cell r="I980">
            <v>310000</v>
          </cell>
          <cell r="J980">
            <v>133300</v>
          </cell>
          <cell r="M980">
            <v>133300</v>
          </cell>
          <cell r="N980">
            <v>0</v>
          </cell>
        </row>
        <row r="981">
          <cell r="B981" t="str">
            <v>RE-BAR FORMING</v>
          </cell>
          <cell r="D981" t="str">
            <v>TON</v>
          </cell>
          <cell r="E981">
            <v>0.43</v>
          </cell>
          <cell r="F981">
            <v>227000</v>
          </cell>
          <cell r="G981">
            <v>97610</v>
          </cell>
          <cell r="H981">
            <v>0.43</v>
          </cell>
          <cell r="I981">
            <v>227000</v>
          </cell>
          <cell r="J981">
            <v>97610</v>
          </cell>
          <cell r="M981">
            <v>5160</v>
          </cell>
          <cell r="N981">
            <v>92450</v>
          </cell>
        </row>
        <row r="983">
          <cell r="B983" t="str">
            <v>SUB-TOTAL</v>
          </cell>
          <cell r="G983">
            <v>234010</v>
          </cell>
          <cell r="J983">
            <v>234010</v>
          </cell>
          <cell r="M983">
            <v>141560</v>
          </cell>
          <cell r="N983">
            <v>92450</v>
          </cell>
        </row>
        <row r="985">
          <cell r="A985" t="str">
            <v xml:space="preserve">  4)</v>
          </cell>
          <cell r="B985" t="str">
            <v>거푸집 공사</v>
          </cell>
          <cell r="O985" t="str">
            <v xml:space="preserve"> 소운반,</v>
          </cell>
        </row>
        <row r="986">
          <cell r="B986" t="str">
            <v>거푸집</v>
          </cell>
          <cell r="C986" t="str">
            <v>4회</v>
          </cell>
          <cell r="D986" t="str">
            <v>M2</v>
          </cell>
          <cell r="E986">
            <v>60.2</v>
          </cell>
          <cell r="F986">
            <v>21360</v>
          </cell>
          <cell r="G986">
            <v>1285872</v>
          </cell>
          <cell r="H986">
            <v>60.2</v>
          </cell>
          <cell r="I986">
            <v>21360</v>
          </cell>
          <cell r="J986">
            <v>1285872</v>
          </cell>
          <cell r="M986">
            <v>370832</v>
          </cell>
          <cell r="N986">
            <v>915040</v>
          </cell>
          <cell r="O986" t="str">
            <v xml:space="preserve"> 정리비</v>
          </cell>
        </row>
        <row r="987">
          <cell r="O987" t="str">
            <v xml:space="preserve"> 포  함</v>
          </cell>
        </row>
        <row r="988">
          <cell r="B988" t="str">
            <v>SUB-TOTAL</v>
          </cell>
          <cell r="G988">
            <v>1285872</v>
          </cell>
          <cell r="J988">
            <v>1285872</v>
          </cell>
          <cell r="M988">
            <v>370832</v>
          </cell>
          <cell r="N988">
            <v>915040</v>
          </cell>
        </row>
        <row r="990">
          <cell r="A990" t="str">
            <v xml:space="preserve">  5)</v>
          </cell>
          <cell r="B990" t="str">
            <v xml:space="preserve">콘크리트 공사 </v>
          </cell>
        </row>
        <row r="991">
          <cell r="B991" t="str">
            <v>LEAN CON'C</v>
          </cell>
          <cell r="C991" t="str">
            <v>FC=135KG/㎠</v>
          </cell>
          <cell r="D991" t="str">
            <v>M3</v>
          </cell>
          <cell r="E991">
            <v>0.81</v>
          </cell>
          <cell r="F991">
            <v>50950</v>
          </cell>
          <cell r="G991">
            <v>41269</v>
          </cell>
          <cell r="H991">
            <v>0.81</v>
          </cell>
          <cell r="I991">
            <v>50950</v>
          </cell>
          <cell r="J991">
            <v>41269</v>
          </cell>
          <cell r="M991">
            <v>41269</v>
          </cell>
          <cell r="N991">
            <v>0</v>
          </cell>
        </row>
        <row r="992">
          <cell r="B992" t="str">
            <v>CON'C</v>
          </cell>
          <cell r="C992" t="str">
            <v>FC=210KG/㎠</v>
          </cell>
          <cell r="D992" t="str">
            <v>M3</v>
          </cell>
          <cell r="E992">
            <v>6.6</v>
          </cell>
          <cell r="F992">
            <v>59770</v>
          </cell>
          <cell r="G992">
            <v>394482</v>
          </cell>
          <cell r="H992">
            <v>6.6</v>
          </cell>
          <cell r="I992">
            <v>59770</v>
          </cell>
          <cell r="J992">
            <v>394482</v>
          </cell>
          <cell r="M992">
            <v>394482</v>
          </cell>
          <cell r="N992">
            <v>0</v>
          </cell>
        </row>
        <row r="993">
          <cell r="B993" t="str">
            <v>콘크리트 치기</v>
          </cell>
          <cell r="D993" t="str">
            <v>M3</v>
          </cell>
          <cell r="E993">
            <v>7.41</v>
          </cell>
          <cell r="F993">
            <v>12600</v>
          </cell>
          <cell r="G993">
            <v>93366</v>
          </cell>
          <cell r="H993">
            <v>7.41</v>
          </cell>
          <cell r="I993">
            <v>12600</v>
          </cell>
          <cell r="J993">
            <v>93366</v>
          </cell>
          <cell r="M993">
            <v>22230</v>
          </cell>
          <cell r="N993">
            <v>71136</v>
          </cell>
        </row>
        <row r="994">
          <cell r="B994" t="str">
            <v>SUB-TOTAL</v>
          </cell>
          <cell r="G994">
            <v>529117</v>
          </cell>
          <cell r="J994">
            <v>529117</v>
          </cell>
          <cell r="M994">
            <v>457981</v>
          </cell>
          <cell r="N994">
            <v>71136</v>
          </cell>
        </row>
        <row r="996">
          <cell r="A996" t="str">
            <v xml:space="preserve">  6)</v>
          </cell>
          <cell r="B996" t="str">
            <v>철골공사</v>
          </cell>
        </row>
        <row r="997">
          <cell r="B997" t="str">
            <v>ㄷ-100*50*5*7.5</v>
          </cell>
          <cell r="D997" t="str">
            <v>TON</v>
          </cell>
          <cell r="E997">
            <v>0.03</v>
          </cell>
          <cell r="F997">
            <v>385000</v>
          </cell>
          <cell r="G997">
            <v>11550</v>
          </cell>
          <cell r="H997">
            <v>0.03</v>
          </cell>
          <cell r="I997">
            <v>385000</v>
          </cell>
          <cell r="J997">
            <v>11550</v>
          </cell>
          <cell r="M997">
            <v>11550</v>
          </cell>
          <cell r="N997">
            <v>0</v>
          </cell>
        </row>
        <row r="998">
          <cell r="B998" t="str">
            <v>ㄷ-75*40*5*7</v>
          </cell>
          <cell r="D998" t="str">
            <v>TON</v>
          </cell>
          <cell r="E998">
            <v>0.01</v>
          </cell>
          <cell r="F998">
            <v>385000</v>
          </cell>
          <cell r="G998">
            <v>3850</v>
          </cell>
          <cell r="H998">
            <v>0.01</v>
          </cell>
          <cell r="I998">
            <v>385000</v>
          </cell>
          <cell r="J998">
            <v>3850</v>
          </cell>
          <cell r="M998">
            <v>3850</v>
          </cell>
          <cell r="N998">
            <v>0</v>
          </cell>
        </row>
        <row r="999">
          <cell r="B999" t="str">
            <v>ㄴ-50*50*6</v>
          </cell>
          <cell r="D999" t="str">
            <v>TON</v>
          </cell>
          <cell r="E999">
            <v>0.03</v>
          </cell>
          <cell r="F999">
            <v>360000</v>
          </cell>
          <cell r="G999">
            <v>10800</v>
          </cell>
          <cell r="H999">
            <v>0.03</v>
          </cell>
          <cell r="I999">
            <v>360000</v>
          </cell>
          <cell r="J999">
            <v>10800</v>
          </cell>
          <cell r="M999">
            <v>10800</v>
          </cell>
          <cell r="N999">
            <v>0</v>
          </cell>
        </row>
        <row r="1000">
          <cell r="B1000" t="str">
            <v>ㄴ-30*30*4</v>
          </cell>
          <cell r="D1000" t="str">
            <v>TON</v>
          </cell>
          <cell r="E1000">
            <v>0.02</v>
          </cell>
          <cell r="F1000">
            <v>360000</v>
          </cell>
          <cell r="G1000">
            <v>7200</v>
          </cell>
          <cell r="H1000">
            <v>0.02</v>
          </cell>
          <cell r="I1000">
            <v>360000</v>
          </cell>
          <cell r="J1000">
            <v>7200</v>
          </cell>
          <cell r="M1000">
            <v>7200</v>
          </cell>
          <cell r="N1000">
            <v>0</v>
          </cell>
        </row>
        <row r="1001">
          <cell r="B1001" t="str">
            <v>FB-50*9</v>
          </cell>
          <cell r="F1001">
            <v>380000</v>
          </cell>
          <cell r="G1001">
            <v>0</v>
          </cell>
          <cell r="I1001">
            <v>380000</v>
          </cell>
          <cell r="J1001">
            <v>0</v>
          </cell>
          <cell r="M1001">
            <v>0</v>
          </cell>
          <cell r="N1001">
            <v>0</v>
          </cell>
        </row>
        <row r="1002">
          <cell r="B1002" t="str">
            <v>CHK'D PLATE</v>
          </cell>
          <cell r="C1002" t="str">
            <v>4.5T</v>
          </cell>
          <cell r="D1002" t="str">
            <v>TON</v>
          </cell>
          <cell r="E1002">
            <v>0.06</v>
          </cell>
          <cell r="F1002">
            <v>400000</v>
          </cell>
          <cell r="G1002">
            <v>24000</v>
          </cell>
          <cell r="H1002">
            <v>0.06</v>
          </cell>
          <cell r="I1002">
            <v>400000</v>
          </cell>
          <cell r="J1002">
            <v>24000</v>
          </cell>
          <cell r="M1002">
            <v>24000</v>
          </cell>
          <cell r="N1002">
            <v>0</v>
          </cell>
        </row>
        <row r="1003">
          <cell r="B1003" t="str">
            <v>GRATING</v>
          </cell>
          <cell r="C1003" t="str">
            <v>T=25</v>
          </cell>
          <cell r="D1003" t="str">
            <v>M2</v>
          </cell>
          <cell r="E1003">
            <v>3.63</v>
          </cell>
          <cell r="F1003">
            <v>60000</v>
          </cell>
          <cell r="G1003">
            <v>217800</v>
          </cell>
          <cell r="H1003">
            <v>3.63</v>
          </cell>
          <cell r="I1003">
            <v>60000</v>
          </cell>
          <cell r="J1003">
            <v>217800</v>
          </cell>
          <cell r="M1003">
            <v>181500</v>
          </cell>
          <cell r="N1003">
            <v>36300</v>
          </cell>
        </row>
        <row r="1004">
          <cell r="B1004" t="str">
            <v>SUS SCREEN #10</v>
          </cell>
          <cell r="D1004" t="str">
            <v>M2</v>
          </cell>
          <cell r="E1004">
            <v>0.16</v>
          </cell>
          <cell r="F1004">
            <v>800000</v>
          </cell>
          <cell r="G1004">
            <v>128000</v>
          </cell>
          <cell r="H1004">
            <v>0.16</v>
          </cell>
          <cell r="I1004">
            <v>800000</v>
          </cell>
          <cell r="J1004">
            <v>128000</v>
          </cell>
          <cell r="M1004">
            <v>48000</v>
          </cell>
          <cell r="N1004">
            <v>80000</v>
          </cell>
        </row>
        <row r="1005">
          <cell r="B1005" t="str">
            <v>STEEL FORMING</v>
          </cell>
          <cell r="D1005" t="str">
            <v>TON</v>
          </cell>
          <cell r="E1005">
            <v>0.15</v>
          </cell>
          <cell r="F1005">
            <v>1250000</v>
          </cell>
          <cell r="G1005">
            <v>187500</v>
          </cell>
          <cell r="H1005">
            <v>0.15</v>
          </cell>
          <cell r="I1005">
            <v>1250000</v>
          </cell>
          <cell r="J1005">
            <v>187500</v>
          </cell>
          <cell r="M1005">
            <v>0</v>
          </cell>
          <cell r="N1005">
            <v>187500</v>
          </cell>
        </row>
        <row r="1007">
          <cell r="B1007" t="str">
            <v>SUB-TOTAL</v>
          </cell>
          <cell r="G1007">
            <v>590700</v>
          </cell>
          <cell r="J1007">
            <v>590700</v>
          </cell>
          <cell r="M1007">
            <v>286900</v>
          </cell>
          <cell r="N1007">
            <v>303800</v>
          </cell>
        </row>
        <row r="1009">
          <cell r="A1009" t="str">
            <v xml:space="preserve">  7)</v>
          </cell>
          <cell r="B1009" t="str">
            <v>잡철물 공사</v>
          </cell>
        </row>
        <row r="1010">
          <cell r="B1010" t="str">
            <v>SUS SCREEN #10</v>
          </cell>
          <cell r="D1010" t="str">
            <v>M2</v>
          </cell>
          <cell r="E1010">
            <v>0.16</v>
          </cell>
          <cell r="F1010">
            <v>800000</v>
          </cell>
          <cell r="G1010">
            <v>128000</v>
          </cell>
          <cell r="H1010">
            <v>0.16</v>
          </cell>
          <cell r="I1010">
            <v>800000</v>
          </cell>
          <cell r="J1010">
            <v>128000</v>
          </cell>
          <cell r="M1010">
            <v>48000</v>
          </cell>
          <cell r="N1010">
            <v>80000</v>
          </cell>
        </row>
        <row r="1011">
          <cell r="B1011" t="str">
            <v>FB-4.5*50</v>
          </cell>
          <cell r="D1011" t="str">
            <v>TON</v>
          </cell>
          <cell r="E1011">
            <v>0.01</v>
          </cell>
          <cell r="F1011">
            <v>1630000</v>
          </cell>
          <cell r="G1011">
            <v>16300</v>
          </cell>
          <cell r="H1011">
            <v>0.01</v>
          </cell>
          <cell r="I1011">
            <v>1630000</v>
          </cell>
          <cell r="J1011">
            <v>16300</v>
          </cell>
          <cell r="M1011">
            <v>3800</v>
          </cell>
          <cell r="N1011">
            <v>12500</v>
          </cell>
        </row>
        <row r="1012">
          <cell r="B1012" t="str">
            <v>ST'L PIPE</v>
          </cell>
          <cell r="C1012" t="str">
            <v>250A</v>
          </cell>
          <cell r="D1012" t="str">
            <v>M</v>
          </cell>
          <cell r="E1012">
            <v>1.45</v>
          </cell>
          <cell r="F1012">
            <v>45000</v>
          </cell>
          <cell r="G1012">
            <v>65250</v>
          </cell>
          <cell r="H1012">
            <v>1.45</v>
          </cell>
          <cell r="I1012">
            <v>45000</v>
          </cell>
          <cell r="J1012">
            <v>65250</v>
          </cell>
          <cell r="M1012">
            <v>36250</v>
          </cell>
          <cell r="N1012">
            <v>29000</v>
          </cell>
        </row>
        <row r="1013">
          <cell r="B1013" t="str">
            <v>ST'L PIPE</v>
          </cell>
          <cell r="C1013" t="str">
            <v>300A</v>
          </cell>
          <cell r="D1013" t="str">
            <v>M</v>
          </cell>
          <cell r="E1013">
            <v>0.45</v>
          </cell>
          <cell r="F1013">
            <v>50000</v>
          </cell>
          <cell r="G1013">
            <v>22500</v>
          </cell>
          <cell r="H1013">
            <v>0.45</v>
          </cell>
          <cell r="I1013">
            <v>50000</v>
          </cell>
          <cell r="J1013">
            <v>22500</v>
          </cell>
          <cell r="M1013">
            <v>13500</v>
          </cell>
          <cell r="N1013">
            <v>9000</v>
          </cell>
        </row>
        <row r="1014">
          <cell r="B1014" t="str">
            <v>L-보</v>
          </cell>
          <cell r="C1014" t="str">
            <v>250A</v>
          </cell>
          <cell r="D1014" t="str">
            <v>EA</v>
          </cell>
          <cell r="E1014">
            <v>1</v>
          </cell>
          <cell r="F1014">
            <v>40000</v>
          </cell>
          <cell r="G1014">
            <v>40000</v>
          </cell>
          <cell r="H1014">
            <v>1</v>
          </cell>
          <cell r="I1014">
            <v>40000</v>
          </cell>
          <cell r="J1014">
            <v>40000</v>
          </cell>
          <cell r="M1014">
            <v>20000</v>
          </cell>
          <cell r="N1014">
            <v>20000</v>
          </cell>
        </row>
        <row r="1016">
          <cell r="B1016" t="str">
            <v>SUB-TOTAL</v>
          </cell>
          <cell r="G1016">
            <v>272050</v>
          </cell>
          <cell r="J1016">
            <v>272050</v>
          </cell>
          <cell r="M1016">
            <v>121550</v>
          </cell>
          <cell r="N1016">
            <v>150500</v>
          </cell>
        </row>
        <row r="1018">
          <cell r="A1018" t="str">
            <v xml:space="preserve">  8)</v>
          </cell>
          <cell r="B1018" t="str">
            <v>방수공사</v>
          </cell>
        </row>
        <row r="1019">
          <cell r="B1019" t="str">
            <v>액체방수</v>
          </cell>
          <cell r="C1019" t="str">
            <v>2회</v>
          </cell>
          <cell r="D1019" t="str">
            <v>M2</v>
          </cell>
          <cell r="E1019">
            <v>27</v>
          </cell>
          <cell r="F1019">
            <v>9590</v>
          </cell>
          <cell r="G1019">
            <v>258930</v>
          </cell>
          <cell r="H1019">
            <v>27</v>
          </cell>
          <cell r="I1019">
            <v>9590</v>
          </cell>
          <cell r="J1019">
            <v>258930</v>
          </cell>
          <cell r="M1019">
            <v>29430</v>
          </cell>
          <cell r="N1019">
            <v>229500</v>
          </cell>
        </row>
        <row r="1021">
          <cell r="B1021" t="str">
            <v>SUB-TOTAL</v>
          </cell>
          <cell r="G1021">
            <v>258930</v>
          </cell>
          <cell r="J1021">
            <v>258930</v>
          </cell>
          <cell r="M1021">
            <v>29430</v>
          </cell>
          <cell r="N1021">
            <v>229500</v>
          </cell>
        </row>
        <row r="1023">
          <cell r="B1023" t="str">
            <v>T O T A L</v>
          </cell>
          <cell r="G1023">
            <v>4224596</v>
          </cell>
          <cell r="J1023">
            <v>4224596</v>
          </cell>
          <cell r="M1023">
            <v>1665347</v>
          </cell>
          <cell r="N1023">
            <v>2559249</v>
          </cell>
        </row>
        <row r="1024">
          <cell r="A1024" t="str">
            <v xml:space="preserve"> 11.</v>
          </cell>
          <cell r="B1024" t="str">
            <v>PAVING</v>
          </cell>
        </row>
        <row r="1026">
          <cell r="A1026" t="str">
            <v xml:space="preserve">  1)</v>
          </cell>
          <cell r="B1026" t="str">
            <v>CON'C</v>
          </cell>
          <cell r="D1026" t="str">
            <v>M3</v>
          </cell>
          <cell r="E1026">
            <v>9.9</v>
          </cell>
          <cell r="F1026">
            <v>59770</v>
          </cell>
          <cell r="G1026">
            <v>591723</v>
          </cell>
          <cell r="H1026">
            <v>9.9</v>
          </cell>
          <cell r="I1026">
            <v>59770</v>
          </cell>
          <cell r="J1026">
            <v>591723</v>
          </cell>
          <cell r="M1026">
            <v>591723</v>
          </cell>
          <cell r="N1026">
            <v>0</v>
          </cell>
        </row>
        <row r="1027">
          <cell r="B1027" t="str">
            <v>CON'C 치기</v>
          </cell>
          <cell r="D1027" t="str">
            <v>M3</v>
          </cell>
          <cell r="E1027">
            <v>9.9</v>
          </cell>
          <cell r="F1027">
            <v>11400</v>
          </cell>
          <cell r="G1027">
            <v>112860</v>
          </cell>
          <cell r="H1027">
            <v>9.9</v>
          </cell>
          <cell r="I1027">
            <v>11400</v>
          </cell>
          <cell r="J1027">
            <v>112860</v>
          </cell>
          <cell r="M1027">
            <v>17820</v>
          </cell>
          <cell r="N1027">
            <v>95040</v>
          </cell>
        </row>
        <row r="1029">
          <cell r="B1029" t="str">
            <v>SUB-TOTAL</v>
          </cell>
          <cell r="G1029">
            <v>704583</v>
          </cell>
          <cell r="J1029">
            <v>704583</v>
          </cell>
          <cell r="M1029">
            <v>609543</v>
          </cell>
          <cell r="N1029">
            <v>95040</v>
          </cell>
        </row>
        <row r="1031">
          <cell r="A1031" t="str">
            <v xml:space="preserve">  2)</v>
          </cell>
          <cell r="B1031" t="str">
            <v>RE-BAR</v>
          </cell>
          <cell r="C1031" t="str">
            <v>D10</v>
          </cell>
          <cell r="D1031" t="str">
            <v>TON</v>
          </cell>
          <cell r="E1031">
            <v>0.9</v>
          </cell>
          <cell r="F1031">
            <v>310000</v>
          </cell>
          <cell r="G1031">
            <v>279000</v>
          </cell>
          <cell r="H1031">
            <v>0.9</v>
          </cell>
          <cell r="I1031">
            <v>310000</v>
          </cell>
          <cell r="J1031">
            <v>279000</v>
          </cell>
          <cell r="M1031">
            <v>279000</v>
          </cell>
          <cell r="N1031">
            <v>0</v>
          </cell>
        </row>
        <row r="1032">
          <cell r="B1032" t="str">
            <v>RE-BAR FORMING</v>
          </cell>
          <cell r="D1032" t="str">
            <v>TON</v>
          </cell>
          <cell r="E1032">
            <v>0.9</v>
          </cell>
          <cell r="F1032">
            <v>227000</v>
          </cell>
          <cell r="G1032">
            <v>204300</v>
          </cell>
          <cell r="H1032">
            <v>0.9</v>
          </cell>
          <cell r="I1032">
            <v>227000</v>
          </cell>
          <cell r="J1032">
            <v>204300</v>
          </cell>
          <cell r="M1032">
            <v>10800</v>
          </cell>
          <cell r="N1032">
            <v>193500</v>
          </cell>
        </row>
        <row r="1033">
          <cell r="B1033" t="str">
            <v>용접철망       #6*150*150</v>
          </cell>
          <cell r="D1033" t="str">
            <v>M2</v>
          </cell>
          <cell r="E1033">
            <v>1897</v>
          </cell>
          <cell r="F1033">
            <v>1200</v>
          </cell>
          <cell r="G1033">
            <v>2276400</v>
          </cell>
          <cell r="H1033">
            <v>1897</v>
          </cell>
          <cell r="I1033">
            <v>1200</v>
          </cell>
          <cell r="J1033">
            <v>2276400</v>
          </cell>
          <cell r="M1033">
            <v>2276400</v>
          </cell>
          <cell r="N1033">
            <v>0</v>
          </cell>
        </row>
        <row r="1034">
          <cell r="B1034" t="str">
            <v>용접철망 깔기</v>
          </cell>
          <cell r="D1034" t="str">
            <v>M2</v>
          </cell>
          <cell r="E1034">
            <v>1725</v>
          </cell>
          <cell r="F1034">
            <v>600</v>
          </cell>
          <cell r="G1034">
            <v>1035000</v>
          </cell>
          <cell r="H1034">
            <v>1725</v>
          </cell>
          <cell r="I1034">
            <v>600</v>
          </cell>
          <cell r="J1034">
            <v>1035000</v>
          </cell>
          <cell r="M1034">
            <v>0</v>
          </cell>
          <cell r="N1034">
            <v>1035000</v>
          </cell>
        </row>
        <row r="1036">
          <cell r="B1036" t="str">
            <v>SUB-TOTAL</v>
          </cell>
          <cell r="G1036">
            <v>3794700</v>
          </cell>
          <cell r="J1036">
            <v>3794700</v>
          </cell>
          <cell r="M1036">
            <v>2566200</v>
          </cell>
          <cell r="N1036">
            <v>1228500</v>
          </cell>
        </row>
        <row r="1038">
          <cell r="A1038" t="str">
            <v xml:space="preserve">  3)</v>
          </cell>
          <cell r="B1038" t="str">
            <v>EXPANSION JOINT</v>
          </cell>
          <cell r="C1038" t="str">
            <v>T-12</v>
          </cell>
          <cell r="D1038" t="str">
            <v>M</v>
          </cell>
          <cell r="E1038">
            <v>375</v>
          </cell>
          <cell r="F1038">
            <v>5280</v>
          </cell>
          <cell r="G1038">
            <v>1980000</v>
          </cell>
          <cell r="H1038">
            <v>375</v>
          </cell>
          <cell r="I1038">
            <v>5280</v>
          </cell>
          <cell r="J1038">
            <v>1980000</v>
          </cell>
          <cell r="M1038">
            <v>862500</v>
          </cell>
          <cell r="N1038">
            <v>1117500</v>
          </cell>
        </row>
        <row r="1040">
          <cell r="A1040" t="str">
            <v xml:space="preserve">  4)</v>
          </cell>
          <cell r="B1040" t="str">
            <v>FORM</v>
          </cell>
          <cell r="C1040" t="str">
            <v>4회</v>
          </cell>
          <cell r="D1040" t="str">
            <v>M2</v>
          </cell>
          <cell r="E1040">
            <v>166</v>
          </cell>
          <cell r="F1040">
            <v>21360</v>
          </cell>
          <cell r="G1040">
            <v>3545760</v>
          </cell>
          <cell r="H1040">
            <v>166</v>
          </cell>
          <cell r="I1040">
            <v>21360</v>
          </cell>
          <cell r="J1040">
            <v>3545760</v>
          </cell>
          <cell r="M1040">
            <v>1022560</v>
          </cell>
          <cell r="N1040">
            <v>2523200</v>
          </cell>
        </row>
        <row r="1042">
          <cell r="A1042" t="str">
            <v xml:space="preserve">  5)</v>
          </cell>
          <cell r="B1042" t="str">
            <v>CON'C 포장면마감</v>
          </cell>
          <cell r="D1042" t="str">
            <v>M2</v>
          </cell>
          <cell r="E1042">
            <v>258</v>
          </cell>
          <cell r="F1042">
            <v>2000</v>
          </cell>
          <cell r="G1042">
            <v>516000</v>
          </cell>
          <cell r="H1042">
            <v>258</v>
          </cell>
          <cell r="I1042">
            <v>2000</v>
          </cell>
          <cell r="J1042">
            <v>516000</v>
          </cell>
          <cell r="M1042">
            <v>0</v>
          </cell>
          <cell r="N1042">
            <v>516000</v>
          </cell>
        </row>
        <row r="1044">
          <cell r="B1044" t="str">
            <v>T O T A L</v>
          </cell>
          <cell r="G1044">
            <v>10541043</v>
          </cell>
          <cell r="J1044">
            <v>10541043</v>
          </cell>
          <cell r="M1044">
            <v>5060803</v>
          </cell>
          <cell r="N1044">
            <v>5480240</v>
          </cell>
        </row>
        <row r="1054">
          <cell r="A1054" t="str">
            <v xml:space="preserve"> 12.</v>
          </cell>
          <cell r="B1054" t="str">
            <v>FINISHING HOUSE (내부 STR. 제외)</v>
          </cell>
        </row>
        <row r="1056">
          <cell r="A1056" t="str">
            <v xml:space="preserve">  1)</v>
          </cell>
          <cell r="B1056" t="str">
            <v>가설공사</v>
          </cell>
        </row>
        <row r="1057">
          <cell r="B1057" t="str">
            <v>규준틀</v>
          </cell>
          <cell r="D1057" t="str">
            <v>M2</v>
          </cell>
          <cell r="E1057">
            <v>1201</v>
          </cell>
          <cell r="F1057">
            <v>1550</v>
          </cell>
          <cell r="G1057">
            <v>1861550</v>
          </cell>
          <cell r="H1057">
            <v>1201</v>
          </cell>
          <cell r="I1057">
            <v>1550</v>
          </cell>
          <cell r="J1057">
            <v>1861550</v>
          </cell>
          <cell r="M1057">
            <v>420350</v>
          </cell>
          <cell r="N1057">
            <v>1441200</v>
          </cell>
        </row>
        <row r="1058">
          <cell r="B1058" t="str">
            <v>현장정리</v>
          </cell>
          <cell r="D1058" t="str">
            <v>M2</v>
          </cell>
          <cell r="E1058">
            <v>1201</v>
          </cell>
          <cell r="F1058">
            <v>2000</v>
          </cell>
          <cell r="G1058">
            <v>2402000</v>
          </cell>
          <cell r="H1058">
            <v>1201</v>
          </cell>
          <cell r="I1058">
            <v>2000</v>
          </cell>
          <cell r="J1058">
            <v>2402000</v>
          </cell>
          <cell r="M1058">
            <v>0</v>
          </cell>
          <cell r="N1058">
            <v>2402000</v>
          </cell>
        </row>
        <row r="1059">
          <cell r="B1059" t="str">
            <v>콘크리트 양생</v>
          </cell>
          <cell r="D1059" t="str">
            <v>M2</v>
          </cell>
          <cell r="E1059">
            <v>1201</v>
          </cell>
          <cell r="F1059">
            <v>360</v>
          </cell>
          <cell r="G1059">
            <v>432360</v>
          </cell>
          <cell r="H1059">
            <v>1201</v>
          </cell>
          <cell r="I1059">
            <v>360</v>
          </cell>
          <cell r="J1059">
            <v>432360</v>
          </cell>
          <cell r="M1059">
            <v>0</v>
          </cell>
          <cell r="N1059">
            <v>432360</v>
          </cell>
        </row>
        <row r="1060">
          <cell r="B1060" t="str">
            <v>먹메김</v>
          </cell>
          <cell r="D1060" t="str">
            <v>M2</v>
          </cell>
          <cell r="E1060">
            <v>1201</v>
          </cell>
          <cell r="F1060">
            <v>1080</v>
          </cell>
          <cell r="G1060">
            <v>1297080</v>
          </cell>
          <cell r="H1060">
            <v>1201</v>
          </cell>
          <cell r="I1060">
            <v>1080</v>
          </cell>
          <cell r="J1060">
            <v>1297080</v>
          </cell>
          <cell r="M1060">
            <v>0</v>
          </cell>
          <cell r="N1060">
            <v>1297080</v>
          </cell>
        </row>
        <row r="1062">
          <cell r="B1062" t="str">
            <v>SUB-TOTAL</v>
          </cell>
          <cell r="G1062">
            <v>5992990</v>
          </cell>
          <cell r="J1062">
            <v>5992990</v>
          </cell>
          <cell r="M1062">
            <v>420350</v>
          </cell>
          <cell r="N1062">
            <v>5572640</v>
          </cell>
        </row>
        <row r="1064">
          <cell r="A1064" t="str">
            <v xml:space="preserve">  2)</v>
          </cell>
          <cell r="B1064" t="str">
            <v>토공사</v>
          </cell>
        </row>
        <row r="1065">
          <cell r="B1065" t="str">
            <v>터파기</v>
          </cell>
          <cell r="D1065" t="str">
            <v>M3</v>
          </cell>
          <cell r="E1065">
            <v>215.11</v>
          </cell>
          <cell r="F1065">
            <v>2760</v>
          </cell>
          <cell r="G1065">
            <v>593703</v>
          </cell>
          <cell r="H1065">
            <v>215.11</v>
          </cell>
          <cell r="I1065">
            <v>2760</v>
          </cell>
          <cell r="J1065">
            <v>593703</v>
          </cell>
          <cell r="M1065">
            <v>486148</v>
          </cell>
          <cell r="N1065">
            <v>107555</v>
          </cell>
        </row>
        <row r="1066">
          <cell r="B1066" t="str">
            <v>잔토처리</v>
          </cell>
          <cell r="D1066" t="str">
            <v>M3</v>
          </cell>
          <cell r="E1066">
            <v>54.4</v>
          </cell>
          <cell r="F1066">
            <v>5500</v>
          </cell>
          <cell r="G1066">
            <v>299200</v>
          </cell>
          <cell r="H1066">
            <v>54.4</v>
          </cell>
          <cell r="I1066">
            <v>5500</v>
          </cell>
          <cell r="J1066">
            <v>299200</v>
          </cell>
          <cell r="M1066">
            <v>299200</v>
          </cell>
          <cell r="N1066">
            <v>0</v>
          </cell>
        </row>
        <row r="1067">
          <cell r="B1067" t="str">
            <v>되메우기</v>
          </cell>
          <cell r="D1067" t="str">
            <v>M3</v>
          </cell>
          <cell r="E1067">
            <v>160.71</v>
          </cell>
          <cell r="F1067">
            <v>6500</v>
          </cell>
          <cell r="G1067">
            <v>1044615</v>
          </cell>
          <cell r="H1067">
            <v>160.71</v>
          </cell>
          <cell r="I1067">
            <v>6500</v>
          </cell>
          <cell r="J1067">
            <v>1044615</v>
          </cell>
          <cell r="M1067">
            <v>803550</v>
          </cell>
          <cell r="N1067">
            <v>241065</v>
          </cell>
        </row>
        <row r="1069">
          <cell r="B1069" t="str">
            <v>SUB-TOTAL</v>
          </cell>
          <cell r="G1069">
            <v>1937518</v>
          </cell>
          <cell r="J1069">
            <v>1937518</v>
          </cell>
          <cell r="M1069">
            <v>1588898</v>
          </cell>
          <cell r="N1069">
            <v>348620</v>
          </cell>
        </row>
        <row r="1071">
          <cell r="A1071" t="str">
            <v xml:space="preserve">  3)</v>
          </cell>
          <cell r="B1071" t="str">
            <v>지정공사</v>
          </cell>
        </row>
        <row r="1072">
          <cell r="B1072" t="str">
            <v>PC PILE        350A, L=15M</v>
          </cell>
          <cell r="D1072" t="str">
            <v>NOS</v>
          </cell>
          <cell r="E1072">
            <v>33</v>
          </cell>
          <cell r="F1072">
            <v>0</v>
          </cell>
          <cell r="G1072">
            <v>0</v>
          </cell>
          <cell r="H1072">
            <v>33</v>
          </cell>
          <cell r="I1072">
            <v>0</v>
          </cell>
          <cell r="J1072">
            <v>0</v>
          </cell>
          <cell r="M1072">
            <v>0</v>
          </cell>
          <cell r="N1072">
            <v>0</v>
          </cell>
          <cell r="O1072" t="str">
            <v xml:space="preserve"> 제외</v>
          </cell>
        </row>
        <row r="1073">
          <cell r="B1073" t="str">
            <v>잡석지정</v>
          </cell>
          <cell r="D1073" t="str">
            <v>M3</v>
          </cell>
          <cell r="E1073">
            <v>180.18</v>
          </cell>
          <cell r="F1073">
            <v>16500</v>
          </cell>
          <cell r="G1073">
            <v>2972970</v>
          </cell>
          <cell r="H1073">
            <v>180.18</v>
          </cell>
          <cell r="I1073">
            <v>16500</v>
          </cell>
          <cell r="J1073">
            <v>2972970</v>
          </cell>
          <cell r="M1073">
            <v>2162160</v>
          </cell>
          <cell r="N1073">
            <v>810810</v>
          </cell>
        </row>
        <row r="1074">
          <cell r="B1074" t="str">
            <v xml:space="preserve">PILE 두부보강 및 속채움 </v>
          </cell>
          <cell r="D1074" t="str">
            <v>NOS</v>
          </cell>
          <cell r="E1074">
            <v>33</v>
          </cell>
          <cell r="F1074">
            <v>10000</v>
          </cell>
          <cell r="G1074">
            <v>330000</v>
          </cell>
          <cell r="H1074">
            <v>33</v>
          </cell>
          <cell r="I1074">
            <v>10000</v>
          </cell>
          <cell r="J1074">
            <v>330000</v>
          </cell>
          <cell r="M1074">
            <v>99000</v>
          </cell>
          <cell r="N1074">
            <v>231000</v>
          </cell>
        </row>
        <row r="1076">
          <cell r="B1076" t="str">
            <v>SUB-TOTAL</v>
          </cell>
          <cell r="G1076">
            <v>3302970</v>
          </cell>
          <cell r="J1076">
            <v>3302970</v>
          </cell>
          <cell r="M1076">
            <v>2261160</v>
          </cell>
          <cell r="N1076">
            <v>1041810</v>
          </cell>
        </row>
        <row r="1078">
          <cell r="A1078" t="str">
            <v xml:space="preserve">  4)</v>
          </cell>
          <cell r="B1078" t="str">
            <v>철근공사</v>
          </cell>
        </row>
        <row r="1079">
          <cell r="B1079" t="str">
            <v>RE-BAR</v>
          </cell>
          <cell r="C1079" t="str">
            <v>D10</v>
          </cell>
          <cell r="D1079" t="str">
            <v>TON</v>
          </cell>
          <cell r="E1079">
            <v>1.61</v>
          </cell>
          <cell r="F1079">
            <v>310000</v>
          </cell>
          <cell r="G1079">
            <v>499100</v>
          </cell>
          <cell r="H1079">
            <v>1.61</v>
          </cell>
          <cell r="I1079">
            <v>310000</v>
          </cell>
          <cell r="J1079">
            <v>499100</v>
          </cell>
          <cell r="M1079">
            <v>499100</v>
          </cell>
          <cell r="N1079">
            <v>0</v>
          </cell>
        </row>
        <row r="1080">
          <cell r="C1080" t="str">
            <v>D13</v>
          </cell>
          <cell r="D1080" t="str">
            <v>TON</v>
          </cell>
          <cell r="E1080">
            <v>2.25</v>
          </cell>
          <cell r="F1080">
            <v>310000</v>
          </cell>
          <cell r="G1080">
            <v>697500</v>
          </cell>
          <cell r="H1080">
            <v>2.25</v>
          </cell>
          <cell r="I1080">
            <v>310000</v>
          </cell>
          <cell r="J1080">
            <v>697500</v>
          </cell>
          <cell r="M1080">
            <v>697500</v>
          </cell>
          <cell r="N1080">
            <v>0</v>
          </cell>
        </row>
        <row r="1081">
          <cell r="C1081" t="str">
            <v>D16</v>
          </cell>
          <cell r="D1081" t="str">
            <v>TON</v>
          </cell>
          <cell r="E1081">
            <v>0.75</v>
          </cell>
          <cell r="F1081">
            <v>310000</v>
          </cell>
          <cell r="G1081">
            <v>232500</v>
          </cell>
          <cell r="H1081">
            <v>0.75</v>
          </cell>
          <cell r="I1081">
            <v>310000</v>
          </cell>
          <cell r="J1081">
            <v>232500</v>
          </cell>
          <cell r="M1081">
            <v>232500</v>
          </cell>
          <cell r="N1081">
            <v>0</v>
          </cell>
        </row>
        <row r="1082">
          <cell r="C1082" t="str">
            <v>D19</v>
          </cell>
          <cell r="D1082" t="str">
            <v>TON</v>
          </cell>
          <cell r="E1082">
            <v>0.25</v>
          </cell>
          <cell r="F1082">
            <v>310000</v>
          </cell>
          <cell r="G1082">
            <v>77500</v>
          </cell>
          <cell r="H1082">
            <v>0.25</v>
          </cell>
          <cell r="I1082">
            <v>310000</v>
          </cell>
          <cell r="J1082">
            <v>77500</v>
          </cell>
          <cell r="M1082">
            <v>77500</v>
          </cell>
          <cell r="N1082">
            <v>0</v>
          </cell>
        </row>
        <row r="1083">
          <cell r="C1083" t="str">
            <v>D22</v>
          </cell>
          <cell r="D1083" t="str">
            <v>TON</v>
          </cell>
          <cell r="E1083">
            <v>4.59</v>
          </cell>
          <cell r="F1083">
            <v>310000</v>
          </cell>
          <cell r="G1083">
            <v>1422900</v>
          </cell>
          <cell r="H1083">
            <v>4.59</v>
          </cell>
          <cell r="I1083">
            <v>310000</v>
          </cell>
          <cell r="J1083">
            <v>1422900</v>
          </cell>
          <cell r="M1083">
            <v>1422900</v>
          </cell>
          <cell r="N1083">
            <v>0</v>
          </cell>
        </row>
        <row r="1084">
          <cell r="B1084" t="str">
            <v>RE-BAR FORMING</v>
          </cell>
          <cell r="D1084" t="str">
            <v>TON</v>
          </cell>
          <cell r="E1084">
            <v>9.17</v>
          </cell>
          <cell r="F1084">
            <v>227000</v>
          </cell>
          <cell r="G1084">
            <v>2081590</v>
          </cell>
          <cell r="H1084">
            <v>9.17</v>
          </cell>
          <cell r="I1084">
            <v>227000</v>
          </cell>
          <cell r="J1084">
            <v>2081590</v>
          </cell>
          <cell r="M1084">
            <v>110040</v>
          </cell>
          <cell r="N1084">
            <v>1971550</v>
          </cell>
        </row>
        <row r="1085">
          <cell r="B1085" t="str">
            <v>W.W.F.#6*150*150</v>
          </cell>
          <cell r="D1085" t="str">
            <v>M3</v>
          </cell>
          <cell r="E1085">
            <v>1201</v>
          </cell>
          <cell r="F1085">
            <v>1800</v>
          </cell>
          <cell r="G1085">
            <v>2161800</v>
          </cell>
          <cell r="H1085">
            <v>1201</v>
          </cell>
          <cell r="I1085">
            <v>1800</v>
          </cell>
          <cell r="J1085">
            <v>2161800</v>
          </cell>
          <cell r="M1085">
            <v>1441200</v>
          </cell>
          <cell r="N1085">
            <v>720600</v>
          </cell>
        </row>
        <row r="1087">
          <cell r="B1087" t="str">
            <v>SUB-TOTAL</v>
          </cell>
          <cell r="G1087">
            <v>7172890</v>
          </cell>
          <cell r="J1087">
            <v>7172890</v>
          </cell>
          <cell r="M1087">
            <v>4480740</v>
          </cell>
          <cell r="N1087">
            <v>2692150</v>
          </cell>
        </row>
        <row r="1089">
          <cell r="A1089" t="str">
            <v xml:space="preserve">  5)</v>
          </cell>
          <cell r="B1089" t="str">
            <v>거푸집 공사</v>
          </cell>
        </row>
        <row r="1090">
          <cell r="B1090" t="str">
            <v>거푸집</v>
          </cell>
          <cell r="C1090" t="str">
            <v>4회</v>
          </cell>
          <cell r="D1090" t="str">
            <v>M2</v>
          </cell>
          <cell r="E1090">
            <v>355.9</v>
          </cell>
          <cell r="F1090">
            <v>21360</v>
          </cell>
          <cell r="G1090">
            <v>7602024</v>
          </cell>
          <cell r="H1090">
            <v>355.9</v>
          </cell>
          <cell r="I1090">
            <v>21360</v>
          </cell>
          <cell r="J1090">
            <v>7602024</v>
          </cell>
          <cell r="M1090">
            <v>2192344</v>
          </cell>
          <cell r="N1090">
            <v>5409680</v>
          </cell>
        </row>
        <row r="1092">
          <cell r="G1092">
            <v>7602024</v>
          </cell>
          <cell r="J1092">
            <v>7602024</v>
          </cell>
          <cell r="M1092">
            <v>2192344</v>
          </cell>
          <cell r="N1092">
            <v>5409680</v>
          </cell>
        </row>
        <row r="1094">
          <cell r="A1094" t="str">
            <v xml:space="preserve">  6)</v>
          </cell>
          <cell r="B1094" t="str">
            <v>콘크리트 공사</v>
          </cell>
        </row>
        <row r="1095">
          <cell r="B1095" t="str">
            <v>콘크리트</v>
          </cell>
          <cell r="C1095" t="str">
            <v>FC=135KG/㎠</v>
          </cell>
          <cell r="D1095" t="str">
            <v>M3</v>
          </cell>
          <cell r="E1095">
            <v>68</v>
          </cell>
          <cell r="F1095">
            <v>50950</v>
          </cell>
          <cell r="G1095">
            <v>3464600</v>
          </cell>
          <cell r="H1095">
            <v>68</v>
          </cell>
          <cell r="I1095">
            <v>50950</v>
          </cell>
          <cell r="J1095">
            <v>3464600</v>
          </cell>
          <cell r="M1095">
            <v>3464600</v>
          </cell>
          <cell r="N1095">
            <v>0</v>
          </cell>
        </row>
        <row r="1096">
          <cell r="B1096" t="str">
            <v>콘크리트</v>
          </cell>
          <cell r="C1096" t="str">
            <v>FC=210KG/㎠</v>
          </cell>
          <cell r="D1096" t="str">
            <v>M3</v>
          </cell>
          <cell r="E1096">
            <v>244</v>
          </cell>
          <cell r="F1096">
            <v>59770</v>
          </cell>
          <cell r="G1096">
            <v>14583880</v>
          </cell>
          <cell r="H1096">
            <v>244</v>
          </cell>
          <cell r="I1096">
            <v>59770</v>
          </cell>
          <cell r="J1096">
            <v>14583880</v>
          </cell>
          <cell r="M1096">
            <v>14583880</v>
          </cell>
          <cell r="N1096">
            <v>0</v>
          </cell>
        </row>
        <row r="1097">
          <cell r="B1097" t="str">
            <v>콘크리트 치기</v>
          </cell>
          <cell r="D1097" t="str">
            <v>M3</v>
          </cell>
          <cell r="E1097">
            <v>302.94</v>
          </cell>
          <cell r="F1097">
            <v>11400</v>
          </cell>
          <cell r="G1097">
            <v>3453516</v>
          </cell>
          <cell r="H1097">
            <v>302.94</v>
          </cell>
          <cell r="I1097">
            <v>11400</v>
          </cell>
          <cell r="J1097">
            <v>3453516</v>
          </cell>
          <cell r="M1097">
            <v>545292</v>
          </cell>
          <cell r="N1097">
            <v>2908224</v>
          </cell>
        </row>
        <row r="1098">
          <cell r="B1098" t="str">
            <v>GROUT</v>
          </cell>
          <cell r="D1098" t="str">
            <v>M3</v>
          </cell>
          <cell r="E1098">
            <v>0.2</v>
          </cell>
          <cell r="F1098">
            <v>1130800</v>
          </cell>
          <cell r="G1098">
            <v>226160</v>
          </cell>
          <cell r="H1098">
            <v>0.2</v>
          </cell>
          <cell r="I1098">
            <v>1130800</v>
          </cell>
          <cell r="J1098">
            <v>226160</v>
          </cell>
          <cell r="M1098">
            <v>134000</v>
          </cell>
          <cell r="N1098">
            <v>92160</v>
          </cell>
        </row>
        <row r="1100">
          <cell r="B1100" t="str">
            <v>SUB-TOTAL</v>
          </cell>
          <cell r="G1100">
            <v>21728156</v>
          </cell>
          <cell r="J1100">
            <v>21728156</v>
          </cell>
          <cell r="M1100">
            <v>18727772</v>
          </cell>
          <cell r="N1100">
            <v>3000384</v>
          </cell>
        </row>
        <row r="1102">
          <cell r="A1102" t="str">
            <v xml:space="preserve">  7)</v>
          </cell>
          <cell r="B1102" t="str">
            <v>철골공사</v>
          </cell>
        </row>
        <row r="1103">
          <cell r="B1103" t="str">
            <v>H-450*200*9*14</v>
          </cell>
          <cell r="D1103" t="str">
            <v>TON</v>
          </cell>
          <cell r="E1103">
            <v>5.89</v>
          </cell>
          <cell r="F1103">
            <v>400000</v>
          </cell>
          <cell r="G1103">
            <v>2356000</v>
          </cell>
          <cell r="H1103">
            <v>5.89</v>
          </cell>
          <cell r="I1103">
            <v>400000</v>
          </cell>
          <cell r="J1103">
            <v>2356000</v>
          </cell>
          <cell r="M1103">
            <v>2356000</v>
          </cell>
          <cell r="N1103">
            <v>0</v>
          </cell>
        </row>
        <row r="1104">
          <cell r="B1104" t="str">
            <v>H-588*300*12*20</v>
          </cell>
          <cell r="D1104" t="str">
            <v>TON</v>
          </cell>
          <cell r="E1104">
            <v>22.93</v>
          </cell>
          <cell r="F1104">
            <v>400000</v>
          </cell>
          <cell r="G1104">
            <v>9172000</v>
          </cell>
          <cell r="H1104">
            <v>22.93</v>
          </cell>
          <cell r="I1104">
            <v>400000</v>
          </cell>
          <cell r="J1104">
            <v>9172000</v>
          </cell>
          <cell r="M1104">
            <v>9172000</v>
          </cell>
          <cell r="N1104">
            <v>0</v>
          </cell>
        </row>
        <row r="1105">
          <cell r="B1105" t="str">
            <v>H-300*300*10*15</v>
          </cell>
          <cell r="D1105" t="str">
            <v>TON</v>
          </cell>
          <cell r="E1105">
            <v>13.6</v>
          </cell>
          <cell r="F1105">
            <v>400000</v>
          </cell>
          <cell r="G1105">
            <v>5440000</v>
          </cell>
          <cell r="H1105">
            <v>13.6</v>
          </cell>
          <cell r="I1105">
            <v>400000</v>
          </cell>
          <cell r="J1105">
            <v>5440000</v>
          </cell>
          <cell r="M1105">
            <v>5440000</v>
          </cell>
          <cell r="N1105">
            <v>0</v>
          </cell>
        </row>
        <row r="1106">
          <cell r="B1106" t="str">
            <v>H-150*150*7*10</v>
          </cell>
          <cell r="D1106" t="str">
            <v>TON</v>
          </cell>
          <cell r="E1106">
            <v>0.27</v>
          </cell>
          <cell r="F1106">
            <v>400000</v>
          </cell>
          <cell r="G1106">
            <v>108000</v>
          </cell>
          <cell r="H1106">
            <v>0.27</v>
          </cell>
          <cell r="I1106">
            <v>400000</v>
          </cell>
          <cell r="J1106">
            <v>108000</v>
          </cell>
          <cell r="M1106">
            <v>108000</v>
          </cell>
          <cell r="N1106">
            <v>0</v>
          </cell>
        </row>
        <row r="1107">
          <cell r="B1107" t="str">
            <v>H-350*175*7*11</v>
          </cell>
          <cell r="D1107" t="str">
            <v>TON</v>
          </cell>
          <cell r="E1107">
            <v>21.92</v>
          </cell>
          <cell r="F1107">
            <v>400000</v>
          </cell>
          <cell r="G1107">
            <v>8768000</v>
          </cell>
          <cell r="H1107">
            <v>21.92</v>
          </cell>
          <cell r="I1107">
            <v>400000</v>
          </cell>
          <cell r="J1107">
            <v>8768000</v>
          </cell>
          <cell r="M1107">
            <v>8768000</v>
          </cell>
          <cell r="N1107">
            <v>0</v>
          </cell>
        </row>
        <row r="1108">
          <cell r="B1108" t="str">
            <v>H-200*100*5.5*8</v>
          </cell>
          <cell r="D1108" t="str">
            <v>TON</v>
          </cell>
          <cell r="E1108">
            <v>0.13</v>
          </cell>
          <cell r="F1108">
            <v>400000</v>
          </cell>
          <cell r="G1108">
            <v>52000</v>
          </cell>
          <cell r="H1108">
            <v>0.13</v>
          </cell>
          <cell r="I1108">
            <v>400000</v>
          </cell>
          <cell r="J1108">
            <v>52000</v>
          </cell>
          <cell r="M1108">
            <v>52000</v>
          </cell>
          <cell r="N1108">
            <v>0</v>
          </cell>
        </row>
        <row r="1109">
          <cell r="B1109" t="str">
            <v>H-150*75*5*7</v>
          </cell>
          <cell r="D1109" t="str">
            <v>TON</v>
          </cell>
          <cell r="E1109">
            <v>0.27</v>
          </cell>
          <cell r="F1109">
            <v>400000</v>
          </cell>
          <cell r="G1109">
            <v>108000</v>
          </cell>
          <cell r="H1109">
            <v>0.27</v>
          </cell>
          <cell r="I1109">
            <v>400000</v>
          </cell>
          <cell r="J1109">
            <v>108000</v>
          </cell>
          <cell r="M1109">
            <v>108000</v>
          </cell>
          <cell r="N1109">
            <v>0</v>
          </cell>
        </row>
        <row r="1110">
          <cell r="B1110" t="str">
            <v>H-700*300*13*24</v>
          </cell>
          <cell r="D1110" t="str">
            <v>TON</v>
          </cell>
          <cell r="E1110">
            <v>30.5</v>
          </cell>
          <cell r="F1110">
            <v>400000</v>
          </cell>
          <cell r="G1110">
            <v>12200000</v>
          </cell>
          <cell r="H1110">
            <v>30.5</v>
          </cell>
          <cell r="I1110">
            <v>400000</v>
          </cell>
          <cell r="J1110">
            <v>12200000</v>
          </cell>
          <cell r="M1110">
            <v>12200000</v>
          </cell>
          <cell r="N1110">
            <v>0</v>
          </cell>
        </row>
        <row r="1111">
          <cell r="B1111" t="str">
            <v>H-194*150*6*9</v>
          </cell>
          <cell r="D1111" t="str">
            <v>TON</v>
          </cell>
          <cell r="E1111">
            <v>0.59</v>
          </cell>
          <cell r="F1111">
            <v>400000</v>
          </cell>
          <cell r="G1111">
            <v>236000</v>
          </cell>
          <cell r="H1111">
            <v>0.59</v>
          </cell>
          <cell r="I1111">
            <v>400000</v>
          </cell>
          <cell r="J1111">
            <v>236000</v>
          </cell>
          <cell r="M1111">
            <v>236000</v>
          </cell>
          <cell r="N1111">
            <v>0</v>
          </cell>
        </row>
        <row r="1112">
          <cell r="B1112" t="str">
            <v>H-250*125*6*9</v>
          </cell>
          <cell r="D1112" t="str">
            <v>TON</v>
          </cell>
          <cell r="E1112">
            <v>4.75</v>
          </cell>
          <cell r="F1112">
            <v>400000</v>
          </cell>
          <cell r="G1112">
            <v>1900000</v>
          </cell>
          <cell r="H1112">
            <v>4.75</v>
          </cell>
          <cell r="I1112">
            <v>400000</v>
          </cell>
          <cell r="J1112">
            <v>1900000</v>
          </cell>
          <cell r="M1112">
            <v>1900000</v>
          </cell>
          <cell r="N1112">
            <v>0</v>
          </cell>
        </row>
        <row r="1113">
          <cell r="B1113" t="str">
            <v>ㄷ-150*75*6.5*10</v>
          </cell>
          <cell r="D1113" t="str">
            <v>TON</v>
          </cell>
          <cell r="E1113">
            <v>0.8</v>
          </cell>
          <cell r="F1113">
            <v>390000</v>
          </cell>
          <cell r="G1113">
            <v>312000</v>
          </cell>
          <cell r="H1113">
            <v>0.8</v>
          </cell>
          <cell r="I1113">
            <v>390000</v>
          </cell>
          <cell r="J1113">
            <v>312000</v>
          </cell>
          <cell r="M1113">
            <v>312000</v>
          </cell>
          <cell r="N1113">
            <v>0</v>
          </cell>
        </row>
        <row r="1114">
          <cell r="B1114" t="str">
            <v>ㄷ-125*65*6*8</v>
          </cell>
          <cell r="D1114" t="str">
            <v>TON</v>
          </cell>
          <cell r="E1114">
            <v>13.56</v>
          </cell>
          <cell r="F1114">
            <v>385000</v>
          </cell>
          <cell r="G1114">
            <v>5220600</v>
          </cell>
          <cell r="H1114">
            <v>13.56</v>
          </cell>
          <cell r="I1114">
            <v>385000</v>
          </cell>
          <cell r="J1114">
            <v>5220600</v>
          </cell>
          <cell r="M1114">
            <v>5220600</v>
          </cell>
          <cell r="N1114">
            <v>0</v>
          </cell>
        </row>
        <row r="1115">
          <cell r="B1115" t="str">
            <v>ㄴ-75*75*9</v>
          </cell>
          <cell r="D1115" t="str">
            <v>TON</v>
          </cell>
          <cell r="E1115">
            <v>2.13</v>
          </cell>
          <cell r="F1115">
            <v>360000</v>
          </cell>
          <cell r="G1115">
            <v>766800</v>
          </cell>
          <cell r="H1115">
            <v>2.13</v>
          </cell>
          <cell r="I1115">
            <v>360000</v>
          </cell>
          <cell r="J1115">
            <v>766800</v>
          </cell>
          <cell r="M1115">
            <v>766800</v>
          </cell>
          <cell r="N1115">
            <v>0</v>
          </cell>
        </row>
        <row r="1116">
          <cell r="B1116" t="str">
            <v>ㄴ-125*75*7</v>
          </cell>
          <cell r="D1116" t="str">
            <v>TON</v>
          </cell>
          <cell r="E1116">
            <v>0.71</v>
          </cell>
          <cell r="F1116">
            <v>500000</v>
          </cell>
          <cell r="G1116">
            <v>355000</v>
          </cell>
          <cell r="H1116">
            <v>0.71</v>
          </cell>
          <cell r="I1116">
            <v>500000</v>
          </cell>
          <cell r="J1116">
            <v>355000</v>
          </cell>
          <cell r="M1116">
            <v>355000</v>
          </cell>
          <cell r="N1116">
            <v>0</v>
          </cell>
        </row>
        <row r="1117">
          <cell r="B1117" t="str">
            <v>ㄴ-90*90*7</v>
          </cell>
          <cell r="D1117" t="str">
            <v>TON</v>
          </cell>
          <cell r="E1117">
            <v>0.62</v>
          </cell>
          <cell r="F1117">
            <v>360000</v>
          </cell>
          <cell r="G1117">
            <v>223200</v>
          </cell>
          <cell r="H1117">
            <v>0.62</v>
          </cell>
          <cell r="I1117">
            <v>360000</v>
          </cell>
          <cell r="J1117">
            <v>223200</v>
          </cell>
          <cell r="M1117">
            <v>223200</v>
          </cell>
          <cell r="N1117">
            <v>0</v>
          </cell>
        </row>
        <row r="1118">
          <cell r="B1118" t="str">
            <v>C-150*65*20*3.2</v>
          </cell>
          <cell r="D1118" t="str">
            <v>TON</v>
          </cell>
          <cell r="E1118">
            <v>12.01</v>
          </cell>
          <cell r="F1118">
            <v>410000</v>
          </cell>
          <cell r="G1118">
            <v>4924100</v>
          </cell>
          <cell r="H1118">
            <v>12.01</v>
          </cell>
          <cell r="I1118">
            <v>410000</v>
          </cell>
          <cell r="J1118">
            <v>4924100</v>
          </cell>
          <cell r="M1118">
            <v>4924100</v>
          </cell>
          <cell r="N1118">
            <v>0</v>
          </cell>
        </row>
        <row r="1119">
          <cell r="B1119" t="str">
            <v>CT-125*125*6*9</v>
          </cell>
          <cell r="D1119" t="str">
            <v>TON</v>
          </cell>
          <cell r="E1119">
            <v>1.23</v>
          </cell>
          <cell r="F1119">
            <v>419000</v>
          </cell>
          <cell r="G1119">
            <v>515370</v>
          </cell>
          <cell r="H1119">
            <v>1.23</v>
          </cell>
          <cell r="I1119">
            <v>419000</v>
          </cell>
          <cell r="J1119">
            <v>515370</v>
          </cell>
          <cell r="M1119">
            <v>515370</v>
          </cell>
          <cell r="N1119">
            <v>0</v>
          </cell>
        </row>
        <row r="1120">
          <cell r="B1120" t="str">
            <v>STEEL PLATE</v>
          </cell>
          <cell r="D1120" t="str">
            <v>TON</v>
          </cell>
          <cell r="E1120">
            <v>13.2</v>
          </cell>
          <cell r="F1120">
            <v>380000</v>
          </cell>
          <cell r="G1120">
            <v>5016000</v>
          </cell>
          <cell r="H1120">
            <v>13.2</v>
          </cell>
          <cell r="I1120">
            <v>380000</v>
          </cell>
          <cell r="J1120">
            <v>5016000</v>
          </cell>
          <cell r="M1120">
            <v>5016000</v>
          </cell>
          <cell r="N1120">
            <v>0</v>
          </cell>
        </row>
        <row r="1121">
          <cell r="B1121" t="str">
            <v>CHK'D PLATE</v>
          </cell>
          <cell r="C1121" t="str">
            <v>4.5T</v>
          </cell>
          <cell r="D1121" t="str">
            <v>TON</v>
          </cell>
          <cell r="E1121">
            <v>0.82</v>
          </cell>
          <cell r="F1121">
            <v>400000</v>
          </cell>
          <cell r="G1121">
            <v>328000</v>
          </cell>
          <cell r="H1121">
            <v>0.82</v>
          </cell>
          <cell r="I1121">
            <v>400000</v>
          </cell>
          <cell r="J1121">
            <v>328000</v>
          </cell>
          <cell r="M1121">
            <v>328000</v>
          </cell>
          <cell r="N1121">
            <v>0</v>
          </cell>
        </row>
        <row r="1122">
          <cell r="B1122" t="str">
            <v>HANDRAIL</v>
          </cell>
          <cell r="D1122" t="str">
            <v>TON</v>
          </cell>
          <cell r="E1122">
            <v>0.43</v>
          </cell>
          <cell r="F1122">
            <v>500000</v>
          </cell>
          <cell r="G1122">
            <v>215000</v>
          </cell>
          <cell r="H1122">
            <v>0.43</v>
          </cell>
          <cell r="I1122">
            <v>500000</v>
          </cell>
          <cell r="J1122">
            <v>215000</v>
          </cell>
          <cell r="M1122">
            <v>215000</v>
          </cell>
          <cell r="N1122">
            <v>0</v>
          </cell>
        </row>
        <row r="1123">
          <cell r="B1123" t="str">
            <v>STEEL FORMING</v>
          </cell>
          <cell r="D1123" t="str">
            <v>TON</v>
          </cell>
          <cell r="E1123">
            <v>136.79</v>
          </cell>
          <cell r="F1123">
            <v>430000</v>
          </cell>
          <cell r="G1123">
            <v>58819700</v>
          </cell>
          <cell r="H1123">
            <v>136.79</v>
          </cell>
          <cell r="I1123">
            <v>430000</v>
          </cell>
          <cell r="J1123">
            <v>58819700</v>
          </cell>
          <cell r="M1123">
            <v>4103700</v>
          </cell>
          <cell r="N1123">
            <v>54716000</v>
          </cell>
        </row>
        <row r="1124">
          <cell r="B1124" t="str">
            <v>STEEL ERECTION</v>
          </cell>
          <cell r="D1124" t="str">
            <v>TON</v>
          </cell>
          <cell r="E1124">
            <v>136.79</v>
          </cell>
          <cell r="F1124">
            <v>140000</v>
          </cell>
          <cell r="G1124">
            <v>19150600</v>
          </cell>
          <cell r="H1124">
            <v>136.79</v>
          </cell>
          <cell r="I1124">
            <v>140000</v>
          </cell>
          <cell r="J1124">
            <v>19150600</v>
          </cell>
          <cell r="M1124">
            <v>5471600</v>
          </cell>
          <cell r="N1124">
            <v>13679000</v>
          </cell>
        </row>
        <row r="1125">
          <cell r="B1125" t="str">
            <v>DECK PLATE - 1.6</v>
          </cell>
          <cell r="C1125" t="str">
            <v>V614*50</v>
          </cell>
          <cell r="D1125" t="str">
            <v>M2</v>
          </cell>
          <cell r="E1125">
            <v>182</v>
          </cell>
          <cell r="F1125">
            <v>25000</v>
          </cell>
          <cell r="G1125">
            <v>4550000</v>
          </cell>
          <cell r="H1125">
            <v>182</v>
          </cell>
          <cell r="I1125">
            <v>25000</v>
          </cell>
          <cell r="J1125">
            <v>4550000</v>
          </cell>
          <cell r="M1125">
            <v>2730000</v>
          </cell>
          <cell r="N1125">
            <v>1820000</v>
          </cell>
        </row>
        <row r="1126">
          <cell r="B1126" t="str">
            <v>H.T.B.</v>
          </cell>
          <cell r="C1126" t="str">
            <v>M20</v>
          </cell>
          <cell r="D1126" t="str">
            <v>EA</v>
          </cell>
          <cell r="E1126">
            <v>8500</v>
          </cell>
          <cell r="F1126">
            <v>470</v>
          </cell>
          <cell r="G1126">
            <v>3995000</v>
          </cell>
          <cell r="H1126">
            <v>8500</v>
          </cell>
          <cell r="I1126">
            <v>470</v>
          </cell>
          <cell r="J1126">
            <v>3995000</v>
          </cell>
          <cell r="M1126">
            <v>3995000</v>
          </cell>
          <cell r="N1126">
            <v>0</v>
          </cell>
        </row>
        <row r="1127">
          <cell r="B1127" t="str">
            <v>COMMON BOLT</v>
          </cell>
          <cell r="C1127" t="str">
            <v>M20</v>
          </cell>
          <cell r="D1127" t="str">
            <v>EA</v>
          </cell>
          <cell r="E1127">
            <v>1650</v>
          </cell>
          <cell r="F1127">
            <v>470</v>
          </cell>
          <cell r="G1127">
            <v>775500</v>
          </cell>
          <cell r="H1127">
            <v>1650</v>
          </cell>
          <cell r="I1127">
            <v>470</v>
          </cell>
          <cell r="J1127">
            <v>775500</v>
          </cell>
          <cell r="M1127">
            <v>775500</v>
          </cell>
          <cell r="N1127">
            <v>0</v>
          </cell>
        </row>
        <row r="1128">
          <cell r="B1128" t="str">
            <v>ANCHOR BOLT</v>
          </cell>
          <cell r="C1128" t="str">
            <v>M20,24</v>
          </cell>
          <cell r="D1128" t="str">
            <v>EA</v>
          </cell>
          <cell r="E1128">
            <v>122</v>
          </cell>
          <cell r="F1128">
            <v>10000</v>
          </cell>
          <cell r="G1128">
            <v>1220000</v>
          </cell>
          <cell r="H1128">
            <v>122</v>
          </cell>
          <cell r="I1128">
            <v>10000</v>
          </cell>
          <cell r="J1128">
            <v>1220000</v>
          </cell>
          <cell r="M1128">
            <v>244000</v>
          </cell>
          <cell r="N1128">
            <v>976000</v>
          </cell>
        </row>
        <row r="1130">
          <cell r="B1130" t="str">
            <v>SUB-TOTAL</v>
          </cell>
          <cell r="G1130">
            <v>146726870</v>
          </cell>
          <cell r="J1130">
            <v>146726870</v>
          </cell>
          <cell r="M1130">
            <v>75535870</v>
          </cell>
          <cell r="N1130">
            <v>71191000</v>
          </cell>
        </row>
        <row r="1132">
          <cell r="A1132" t="str">
            <v xml:space="preserve">  8)</v>
          </cell>
          <cell r="B1132" t="str">
            <v>도장공사</v>
          </cell>
        </row>
        <row r="1133">
          <cell r="B1133" t="str">
            <v>광명단</v>
          </cell>
          <cell r="C1133" t="str">
            <v>2회</v>
          </cell>
          <cell r="D1133" t="str">
            <v>M2</v>
          </cell>
          <cell r="E1133">
            <v>4109.5</v>
          </cell>
          <cell r="F1133">
            <v>4000</v>
          </cell>
          <cell r="G1133">
            <v>16438000</v>
          </cell>
          <cell r="H1133">
            <v>4109.5</v>
          </cell>
          <cell r="I1133">
            <v>4000</v>
          </cell>
          <cell r="J1133">
            <v>16438000</v>
          </cell>
          <cell r="M1133">
            <v>6164250</v>
          </cell>
          <cell r="N1133">
            <v>10273750</v>
          </cell>
        </row>
        <row r="1134">
          <cell r="B1134" t="str">
            <v>유성페인트</v>
          </cell>
          <cell r="C1134" t="str">
            <v>2회(중도)</v>
          </cell>
          <cell r="D1134" t="str">
            <v>M2</v>
          </cell>
          <cell r="E1134">
            <v>4109.5</v>
          </cell>
          <cell r="F1134">
            <v>4000</v>
          </cell>
          <cell r="G1134">
            <v>16438000</v>
          </cell>
          <cell r="H1134">
            <v>4109.5</v>
          </cell>
          <cell r="I1134">
            <v>4000</v>
          </cell>
          <cell r="J1134">
            <v>16438000</v>
          </cell>
          <cell r="M1134">
            <v>6164250</v>
          </cell>
          <cell r="N1134">
            <v>10273750</v>
          </cell>
        </row>
        <row r="1135">
          <cell r="B1135" t="str">
            <v>유성페인트</v>
          </cell>
          <cell r="C1135" t="str">
            <v>2회(상도)</v>
          </cell>
          <cell r="D1135" t="str">
            <v>M2</v>
          </cell>
          <cell r="E1135">
            <v>4109.5</v>
          </cell>
          <cell r="F1135">
            <v>4000</v>
          </cell>
          <cell r="G1135">
            <v>16438000</v>
          </cell>
          <cell r="H1135">
            <v>4109.5</v>
          </cell>
          <cell r="I1135">
            <v>4000</v>
          </cell>
          <cell r="J1135">
            <v>16438000</v>
          </cell>
          <cell r="M1135">
            <v>6164250</v>
          </cell>
          <cell r="N1135">
            <v>10273750</v>
          </cell>
        </row>
        <row r="1136">
          <cell r="B1136" t="str">
            <v>수성페인트</v>
          </cell>
          <cell r="C1136" t="str">
            <v>3회</v>
          </cell>
          <cell r="D1136" t="str">
            <v>M2</v>
          </cell>
          <cell r="E1136">
            <v>81</v>
          </cell>
          <cell r="F1136">
            <v>4000</v>
          </cell>
          <cell r="G1136">
            <v>324000</v>
          </cell>
          <cell r="H1136">
            <v>81</v>
          </cell>
          <cell r="I1136">
            <v>4000</v>
          </cell>
          <cell r="J1136">
            <v>324000</v>
          </cell>
          <cell r="M1136">
            <v>121500</v>
          </cell>
          <cell r="N1136">
            <v>202500</v>
          </cell>
        </row>
        <row r="1137">
          <cell r="B1137" t="str">
            <v>EPOXY PAINT FOR FLOOR</v>
          </cell>
          <cell r="D1137" t="str">
            <v>M2</v>
          </cell>
          <cell r="E1137">
            <v>266.89999999999998</v>
          </cell>
          <cell r="F1137">
            <v>7500</v>
          </cell>
          <cell r="G1137">
            <v>2001750</v>
          </cell>
          <cell r="H1137">
            <v>266.89999999999998</v>
          </cell>
          <cell r="I1137">
            <v>7500</v>
          </cell>
          <cell r="J1137">
            <v>2001750</v>
          </cell>
          <cell r="M1137">
            <v>1334500</v>
          </cell>
          <cell r="N1137">
            <v>667250</v>
          </cell>
        </row>
        <row r="1138">
          <cell r="B1138" t="str">
            <v>유성페인트(BLACK)</v>
          </cell>
          <cell r="C1138" t="str">
            <v>2회</v>
          </cell>
          <cell r="D1138" t="str">
            <v>M2</v>
          </cell>
          <cell r="E1138">
            <v>15.26</v>
          </cell>
          <cell r="F1138">
            <v>4000</v>
          </cell>
          <cell r="G1138">
            <v>61040</v>
          </cell>
          <cell r="H1138">
            <v>15.26</v>
          </cell>
          <cell r="I1138">
            <v>4000</v>
          </cell>
          <cell r="J1138">
            <v>61040</v>
          </cell>
          <cell r="M1138">
            <v>22890</v>
          </cell>
          <cell r="N1138">
            <v>38150</v>
          </cell>
        </row>
        <row r="1139">
          <cell r="B1139" t="str">
            <v>내화페인트</v>
          </cell>
          <cell r="C1139" t="str">
            <v>1HR</v>
          </cell>
          <cell r="D1139" t="str">
            <v>M2</v>
          </cell>
          <cell r="E1139">
            <v>455</v>
          </cell>
          <cell r="F1139">
            <v>26800</v>
          </cell>
          <cell r="G1139">
            <v>12194000</v>
          </cell>
          <cell r="H1139">
            <v>455</v>
          </cell>
          <cell r="I1139">
            <v>26800</v>
          </cell>
          <cell r="J1139">
            <v>12194000</v>
          </cell>
          <cell r="M1139">
            <v>8781500</v>
          </cell>
          <cell r="N1139">
            <v>3412500</v>
          </cell>
        </row>
        <row r="1140">
          <cell r="B1140" t="str">
            <v>EPOXY COATING</v>
          </cell>
          <cell r="C1140" t="str">
            <v>T=3</v>
          </cell>
          <cell r="D1140" t="str">
            <v>M2</v>
          </cell>
          <cell r="E1140">
            <v>660</v>
          </cell>
          <cell r="F1140">
            <v>35500</v>
          </cell>
          <cell r="G1140">
            <v>23430000</v>
          </cell>
          <cell r="H1140">
            <v>660</v>
          </cell>
          <cell r="I1140">
            <v>35500</v>
          </cell>
          <cell r="J1140">
            <v>23430000</v>
          </cell>
          <cell r="M1140">
            <v>17820000</v>
          </cell>
          <cell r="N1140">
            <v>5610000</v>
          </cell>
        </row>
        <row r="1142">
          <cell r="B1142" t="str">
            <v>SUB-TOTAL</v>
          </cell>
          <cell r="G1142">
            <v>87324790</v>
          </cell>
          <cell r="J1142">
            <v>87324790</v>
          </cell>
          <cell r="M1142">
            <v>46573140</v>
          </cell>
          <cell r="N1142">
            <v>40751650</v>
          </cell>
        </row>
        <row r="1144">
          <cell r="A1144" t="str">
            <v xml:space="preserve">  9)</v>
          </cell>
          <cell r="B1144" t="str">
            <v>조적공사</v>
          </cell>
        </row>
        <row r="1145">
          <cell r="B1145" t="str">
            <v>CON'C BLOCK</v>
          </cell>
          <cell r="C1145" t="str">
            <v>6"</v>
          </cell>
          <cell r="D1145" t="str">
            <v>M2</v>
          </cell>
          <cell r="E1145">
            <v>81</v>
          </cell>
          <cell r="F1145">
            <v>35500</v>
          </cell>
          <cell r="G1145">
            <v>2875500</v>
          </cell>
          <cell r="H1145">
            <v>81</v>
          </cell>
          <cell r="I1145">
            <v>35500</v>
          </cell>
          <cell r="J1145">
            <v>2875500</v>
          </cell>
          <cell r="M1145">
            <v>850500</v>
          </cell>
          <cell r="N1145">
            <v>2025000</v>
          </cell>
        </row>
        <row r="1146">
          <cell r="B1146" t="str">
            <v>BLOCK MESH</v>
          </cell>
          <cell r="C1146" t="str">
            <v>6"</v>
          </cell>
          <cell r="D1146" t="str">
            <v>M2</v>
          </cell>
          <cell r="E1146">
            <v>197</v>
          </cell>
          <cell r="F1146">
            <v>1100</v>
          </cell>
          <cell r="G1146">
            <v>216700</v>
          </cell>
          <cell r="H1146">
            <v>197</v>
          </cell>
          <cell r="I1146">
            <v>1100</v>
          </cell>
          <cell r="J1146">
            <v>216700</v>
          </cell>
          <cell r="M1146">
            <v>118200</v>
          </cell>
          <cell r="N1146">
            <v>98500</v>
          </cell>
        </row>
        <row r="1148">
          <cell r="B1148" t="str">
            <v>SUB-TOTAL</v>
          </cell>
          <cell r="G1148">
            <v>3092200</v>
          </cell>
          <cell r="J1148">
            <v>3092200</v>
          </cell>
          <cell r="M1148">
            <v>968700</v>
          </cell>
          <cell r="N1148">
            <v>2123500</v>
          </cell>
        </row>
        <row r="1150">
          <cell r="A1150" t="str">
            <v xml:space="preserve"> 10)</v>
          </cell>
          <cell r="B1150" t="str">
            <v>미장공사</v>
          </cell>
        </row>
        <row r="1151">
          <cell r="B1151" t="str">
            <v xml:space="preserve">STEEL TROWEL FINISH  </v>
          </cell>
          <cell r="D1151" t="str">
            <v>M2</v>
          </cell>
          <cell r="E1151">
            <v>1201</v>
          </cell>
          <cell r="F1151">
            <v>1500</v>
          </cell>
          <cell r="G1151">
            <v>1801500</v>
          </cell>
          <cell r="H1151">
            <v>1201</v>
          </cell>
          <cell r="I1151">
            <v>1500</v>
          </cell>
          <cell r="J1151">
            <v>1801500</v>
          </cell>
          <cell r="M1151">
            <v>0</v>
          </cell>
          <cell r="N1151">
            <v>1801500</v>
          </cell>
        </row>
        <row r="1153">
          <cell r="B1153" t="str">
            <v>SUB-TOTAL</v>
          </cell>
          <cell r="G1153">
            <v>1801500</v>
          </cell>
          <cell r="J1153">
            <v>1801500</v>
          </cell>
          <cell r="M1153">
            <v>0</v>
          </cell>
          <cell r="N1153">
            <v>1801500</v>
          </cell>
        </row>
        <row r="1155">
          <cell r="A1155" t="str">
            <v xml:space="preserve"> 11)</v>
          </cell>
          <cell r="B1155" t="str">
            <v>방수공사</v>
          </cell>
        </row>
        <row r="1156">
          <cell r="B1156" t="str">
            <v>PE FILM</v>
          </cell>
          <cell r="C1156" t="str">
            <v>T=0.08</v>
          </cell>
          <cell r="D1156" t="str">
            <v>M2</v>
          </cell>
          <cell r="E1156">
            <v>1201</v>
          </cell>
          <cell r="F1156">
            <v>372</v>
          </cell>
          <cell r="G1156">
            <v>446772</v>
          </cell>
          <cell r="H1156">
            <v>1201</v>
          </cell>
          <cell r="I1156">
            <v>372</v>
          </cell>
          <cell r="J1156">
            <v>446772</v>
          </cell>
          <cell r="M1156">
            <v>86472</v>
          </cell>
          <cell r="N1156">
            <v>360300</v>
          </cell>
        </row>
        <row r="1158">
          <cell r="B1158" t="str">
            <v>SUB-TOTAL</v>
          </cell>
          <cell r="G1158">
            <v>446772</v>
          </cell>
          <cell r="J1158">
            <v>446772</v>
          </cell>
          <cell r="M1158">
            <v>86472</v>
          </cell>
          <cell r="N1158">
            <v>360300</v>
          </cell>
        </row>
        <row r="1160">
          <cell r="A1160" t="str">
            <v xml:space="preserve"> 12)</v>
          </cell>
          <cell r="B1160" t="str">
            <v>지붕 및 벽체공사</v>
          </cell>
        </row>
        <row r="1161">
          <cell r="B1161" t="str">
            <v>A.P.M. V-115</v>
          </cell>
          <cell r="C1161" t="str">
            <v>T=0.7</v>
          </cell>
          <cell r="D1161" t="str">
            <v>M2</v>
          </cell>
          <cell r="E1161">
            <v>1697</v>
          </cell>
          <cell r="F1161">
            <v>36300</v>
          </cell>
          <cell r="G1161">
            <v>61601100</v>
          </cell>
          <cell r="H1161">
            <v>1697</v>
          </cell>
          <cell r="I1161">
            <v>36300</v>
          </cell>
          <cell r="J1161">
            <v>61601100</v>
          </cell>
          <cell r="M1161">
            <v>45309900</v>
          </cell>
          <cell r="N1161">
            <v>16291200</v>
          </cell>
        </row>
        <row r="1162">
          <cell r="B1162" t="str">
            <v>COLOR SHT. V-115</v>
          </cell>
          <cell r="C1162" t="str">
            <v>T=0.5</v>
          </cell>
          <cell r="D1162" t="str">
            <v>M2</v>
          </cell>
          <cell r="F1162">
            <v>0</v>
          </cell>
          <cell r="G1162">
            <v>0</v>
          </cell>
          <cell r="I1162">
            <v>0</v>
          </cell>
          <cell r="J1162">
            <v>0</v>
          </cell>
          <cell r="M1162">
            <v>0</v>
          </cell>
          <cell r="N1162">
            <v>0</v>
          </cell>
        </row>
        <row r="1163">
          <cell r="B1163" t="str">
            <v>GLASS WOOL</v>
          </cell>
          <cell r="C1163" t="str">
            <v>T=50</v>
          </cell>
          <cell r="D1163" t="str">
            <v>M2</v>
          </cell>
          <cell r="E1163">
            <v>1697</v>
          </cell>
          <cell r="F1163">
            <v>35700</v>
          </cell>
          <cell r="G1163">
            <v>60582900</v>
          </cell>
          <cell r="H1163">
            <v>1697</v>
          </cell>
          <cell r="I1163">
            <v>35700</v>
          </cell>
          <cell r="J1163">
            <v>60582900</v>
          </cell>
          <cell r="M1163">
            <v>44291700</v>
          </cell>
          <cell r="N1163">
            <v>16291200</v>
          </cell>
        </row>
        <row r="1164">
          <cell r="B1164" t="str">
            <v>A.P.M. V-115</v>
          </cell>
          <cell r="C1164" t="str">
            <v>T=0.7</v>
          </cell>
          <cell r="D1164" t="str">
            <v>M2</v>
          </cell>
          <cell r="E1164">
            <v>817.7</v>
          </cell>
          <cell r="F1164">
            <v>37160</v>
          </cell>
          <cell r="G1164">
            <v>30385732</v>
          </cell>
          <cell r="H1164">
            <v>817.7</v>
          </cell>
          <cell r="I1164">
            <v>37160</v>
          </cell>
          <cell r="J1164">
            <v>30385732</v>
          </cell>
          <cell r="M1164">
            <v>22535812</v>
          </cell>
          <cell r="N1164">
            <v>7849920</v>
          </cell>
        </row>
        <row r="1165">
          <cell r="B1165" t="str">
            <v>ARCHILIGHT</v>
          </cell>
          <cell r="C1165" t="str">
            <v>T=6</v>
          </cell>
          <cell r="D1165" t="str">
            <v>M2</v>
          </cell>
          <cell r="E1165">
            <v>288.7</v>
          </cell>
          <cell r="F1165">
            <v>53950</v>
          </cell>
          <cell r="G1165">
            <v>15575365</v>
          </cell>
          <cell r="H1165">
            <v>288.7</v>
          </cell>
          <cell r="I1165">
            <v>53950</v>
          </cell>
          <cell r="J1165">
            <v>15575365</v>
          </cell>
          <cell r="M1165">
            <v>12110965</v>
          </cell>
          <cell r="N1165">
            <v>3464400</v>
          </cell>
        </row>
        <row r="1167">
          <cell r="B1167" t="str">
            <v>SUB-TOTAL</v>
          </cell>
          <cell r="G1167">
            <v>168145097</v>
          </cell>
          <cell r="J1167">
            <v>168145097</v>
          </cell>
          <cell r="M1167">
            <v>124248377</v>
          </cell>
          <cell r="N1167">
            <v>43896720</v>
          </cell>
        </row>
        <row r="1169">
          <cell r="A1169" t="str">
            <v xml:space="preserve"> 13)</v>
          </cell>
          <cell r="B1169" t="str">
            <v>창호공사</v>
          </cell>
        </row>
        <row r="1170">
          <cell r="B1170" t="str">
            <v>STEEL DOOR</v>
          </cell>
          <cell r="D1170" t="str">
            <v>M2</v>
          </cell>
          <cell r="E1170">
            <v>10.5</v>
          </cell>
          <cell r="F1170">
            <v>97000</v>
          </cell>
          <cell r="G1170">
            <v>1018500</v>
          </cell>
          <cell r="H1170">
            <v>10.5</v>
          </cell>
          <cell r="I1170">
            <v>97000</v>
          </cell>
          <cell r="J1170">
            <v>1018500</v>
          </cell>
          <cell r="M1170">
            <v>808500</v>
          </cell>
          <cell r="N1170">
            <v>210000</v>
          </cell>
        </row>
        <row r="1171">
          <cell r="B1171" t="str">
            <v>STEEL HANGER DOOR</v>
          </cell>
          <cell r="D1171" t="str">
            <v>M2</v>
          </cell>
          <cell r="E1171">
            <v>20</v>
          </cell>
          <cell r="F1171">
            <v>127700</v>
          </cell>
          <cell r="G1171">
            <v>2554000</v>
          </cell>
          <cell r="H1171">
            <v>20</v>
          </cell>
          <cell r="I1171">
            <v>127700</v>
          </cell>
          <cell r="J1171">
            <v>2554000</v>
          </cell>
          <cell r="M1171">
            <v>2014000</v>
          </cell>
          <cell r="N1171">
            <v>540000</v>
          </cell>
        </row>
        <row r="1172">
          <cell r="B1172" t="str">
            <v>AUTO ROLLING DOOR</v>
          </cell>
          <cell r="C1172" t="str">
            <v>4W*5H</v>
          </cell>
          <cell r="D1172" t="str">
            <v>NOS</v>
          </cell>
          <cell r="E1172">
            <v>1</v>
          </cell>
          <cell r="F1172">
            <v>16214000</v>
          </cell>
          <cell r="G1172">
            <v>16214000</v>
          </cell>
          <cell r="H1172">
            <v>1</v>
          </cell>
          <cell r="I1172">
            <v>16214000</v>
          </cell>
          <cell r="J1172">
            <v>16214000</v>
          </cell>
          <cell r="M1172">
            <v>12074000</v>
          </cell>
          <cell r="N1172">
            <v>4140000</v>
          </cell>
        </row>
        <row r="1173">
          <cell r="C1173" t="str">
            <v>4W*4H</v>
          </cell>
          <cell r="D1173" t="str">
            <v>NOS</v>
          </cell>
          <cell r="E1173">
            <v>1</v>
          </cell>
          <cell r="F1173">
            <v>16214000</v>
          </cell>
          <cell r="G1173">
            <v>16214000</v>
          </cell>
          <cell r="H1173">
            <v>1</v>
          </cell>
          <cell r="I1173">
            <v>16214000</v>
          </cell>
          <cell r="J1173">
            <v>16214000</v>
          </cell>
          <cell r="M1173">
            <v>12074000</v>
          </cell>
          <cell r="N1173">
            <v>4140000</v>
          </cell>
        </row>
        <row r="1174">
          <cell r="B1174" t="str">
            <v>STEEL SHUTTER</v>
          </cell>
          <cell r="C1174" t="str">
            <v>4W*4H</v>
          </cell>
          <cell r="D1174" t="str">
            <v>NOS</v>
          </cell>
          <cell r="E1174">
            <v>1</v>
          </cell>
          <cell r="F1174">
            <v>2428800</v>
          </cell>
          <cell r="G1174">
            <v>2428800</v>
          </cell>
          <cell r="H1174">
            <v>1</v>
          </cell>
          <cell r="I1174">
            <v>2428800</v>
          </cell>
          <cell r="J1174">
            <v>2428800</v>
          </cell>
          <cell r="M1174">
            <v>1740800</v>
          </cell>
          <cell r="N1174">
            <v>688000</v>
          </cell>
        </row>
        <row r="1175">
          <cell r="B1175" t="str">
            <v xml:space="preserve"> (MOTOR DRIVEN)</v>
          </cell>
          <cell r="C1175" t="str">
            <v>3W*3H</v>
          </cell>
          <cell r="D1175" t="str">
            <v>NOS</v>
          </cell>
          <cell r="E1175">
            <v>1</v>
          </cell>
          <cell r="F1175">
            <v>8932000</v>
          </cell>
          <cell r="G1175">
            <v>8932000</v>
          </cell>
          <cell r="H1175">
            <v>1</v>
          </cell>
          <cell r="I1175">
            <v>8932000</v>
          </cell>
          <cell r="J1175">
            <v>8932000</v>
          </cell>
          <cell r="M1175">
            <v>4792000</v>
          </cell>
          <cell r="N1175">
            <v>4140000</v>
          </cell>
        </row>
        <row r="1176">
          <cell r="B1176" t="str">
            <v>AL WINDOW</v>
          </cell>
          <cell r="D1176" t="str">
            <v>M2</v>
          </cell>
          <cell r="E1176">
            <v>52.8</v>
          </cell>
          <cell r="F1176">
            <v>35970</v>
          </cell>
          <cell r="G1176">
            <v>1899216</v>
          </cell>
          <cell r="H1176">
            <v>52.8</v>
          </cell>
          <cell r="I1176">
            <v>35970</v>
          </cell>
          <cell r="J1176">
            <v>1899216</v>
          </cell>
          <cell r="M1176">
            <v>1492656</v>
          </cell>
          <cell r="N1176">
            <v>406560</v>
          </cell>
        </row>
        <row r="1177">
          <cell r="B1177" t="str">
            <v>AL LOUVER</v>
          </cell>
          <cell r="D1177" t="str">
            <v>M2</v>
          </cell>
          <cell r="E1177">
            <v>0.81</v>
          </cell>
          <cell r="F1177">
            <v>83000</v>
          </cell>
          <cell r="G1177">
            <v>67230</v>
          </cell>
          <cell r="H1177">
            <v>0.81</v>
          </cell>
          <cell r="I1177">
            <v>83000</v>
          </cell>
          <cell r="J1177">
            <v>67230</v>
          </cell>
          <cell r="M1177">
            <v>42930</v>
          </cell>
          <cell r="N1177">
            <v>24300</v>
          </cell>
        </row>
        <row r="1179">
          <cell r="B1179" t="str">
            <v>SUB-TOTAL</v>
          </cell>
          <cell r="G1179">
            <v>49327746</v>
          </cell>
          <cell r="J1179">
            <v>49327746</v>
          </cell>
          <cell r="M1179">
            <v>35038886</v>
          </cell>
          <cell r="N1179">
            <v>14288860</v>
          </cell>
        </row>
        <row r="1181">
          <cell r="A1181" t="str">
            <v xml:space="preserve"> 14)</v>
          </cell>
          <cell r="B1181" t="str">
            <v>유리공사</v>
          </cell>
        </row>
        <row r="1182">
          <cell r="B1182" t="str">
            <v>투명유리</v>
          </cell>
          <cell r="C1182" t="str">
            <v>T=5</v>
          </cell>
          <cell r="D1182" t="str">
            <v>M2</v>
          </cell>
          <cell r="E1182">
            <v>52.8</v>
          </cell>
          <cell r="F1182">
            <v>6700</v>
          </cell>
          <cell r="G1182">
            <v>353760</v>
          </cell>
          <cell r="H1182">
            <v>52.8</v>
          </cell>
          <cell r="I1182">
            <v>6700</v>
          </cell>
          <cell r="J1182">
            <v>353760</v>
          </cell>
          <cell r="M1182">
            <v>353760</v>
          </cell>
          <cell r="N1182">
            <v>0</v>
          </cell>
        </row>
        <row r="1183">
          <cell r="B1183" t="str">
            <v>유리끼우기</v>
          </cell>
          <cell r="D1183" t="str">
            <v>M2</v>
          </cell>
          <cell r="E1183">
            <v>52.8</v>
          </cell>
          <cell r="F1183">
            <v>7700</v>
          </cell>
          <cell r="G1183">
            <v>406560</v>
          </cell>
          <cell r="H1183">
            <v>52.8</v>
          </cell>
          <cell r="I1183">
            <v>7700</v>
          </cell>
          <cell r="J1183">
            <v>406560</v>
          </cell>
          <cell r="M1183">
            <v>36960</v>
          </cell>
          <cell r="N1183">
            <v>369600</v>
          </cell>
        </row>
        <row r="1184">
          <cell r="B1184" t="str">
            <v>유리닦기</v>
          </cell>
          <cell r="D1184" t="str">
            <v>M2</v>
          </cell>
          <cell r="E1184">
            <v>52.8</v>
          </cell>
          <cell r="F1184">
            <v>4400</v>
          </cell>
          <cell r="G1184">
            <v>232320</v>
          </cell>
          <cell r="H1184">
            <v>52.8</v>
          </cell>
          <cell r="I1184">
            <v>4400</v>
          </cell>
          <cell r="J1184">
            <v>232320</v>
          </cell>
          <cell r="M1184">
            <v>21120</v>
          </cell>
          <cell r="N1184">
            <v>211200</v>
          </cell>
        </row>
        <row r="1186">
          <cell r="B1186" t="str">
            <v>SUB-TOTAL</v>
          </cell>
          <cell r="G1186">
            <v>992640</v>
          </cell>
          <cell r="J1186">
            <v>992640</v>
          </cell>
          <cell r="M1186">
            <v>411840</v>
          </cell>
          <cell r="N1186">
            <v>580800</v>
          </cell>
        </row>
        <row r="1188">
          <cell r="A1188" t="str">
            <v xml:space="preserve"> 15)</v>
          </cell>
          <cell r="B1188" t="str">
            <v>철거공사</v>
          </cell>
        </row>
        <row r="1189">
          <cell r="B1189" t="str">
            <v>기존벽 철거(골철판)</v>
          </cell>
          <cell r="D1189" t="str">
            <v>M2</v>
          </cell>
          <cell r="E1189">
            <v>584.20000000000005</v>
          </cell>
          <cell r="F1189">
            <v>4500</v>
          </cell>
          <cell r="G1189">
            <v>2628900</v>
          </cell>
          <cell r="H1189">
            <v>584.20000000000005</v>
          </cell>
          <cell r="I1189">
            <v>4500</v>
          </cell>
          <cell r="J1189">
            <v>2628900</v>
          </cell>
          <cell r="M1189">
            <v>876300</v>
          </cell>
          <cell r="N1189">
            <v>1752600</v>
          </cell>
        </row>
        <row r="1190">
          <cell r="B1190" t="str">
            <v>CON'C BLOCK 철거</v>
          </cell>
          <cell r="D1190" t="str">
            <v>M2</v>
          </cell>
          <cell r="E1190">
            <v>54.6</v>
          </cell>
          <cell r="F1190">
            <v>27500</v>
          </cell>
          <cell r="G1190">
            <v>1501500</v>
          </cell>
          <cell r="H1190">
            <v>54.6</v>
          </cell>
          <cell r="I1190">
            <v>27500</v>
          </cell>
          <cell r="J1190">
            <v>1501500</v>
          </cell>
          <cell r="M1190">
            <v>1365000</v>
          </cell>
          <cell r="N1190">
            <v>136500</v>
          </cell>
        </row>
        <row r="1191">
          <cell r="B1191" t="str">
            <v>ST'L BRACING 철거</v>
          </cell>
          <cell r="D1191" t="str">
            <v>TON</v>
          </cell>
          <cell r="E1191">
            <v>1.72</v>
          </cell>
          <cell r="F1191">
            <v>270000</v>
          </cell>
          <cell r="G1191">
            <v>464400</v>
          </cell>
          <cell r="H1191">
            <v>1.72</v>
          </cell>
          <cell r="I1191">
            <v>270000</v>
          </cell>
          <cell r="J1191">
            <v>464400</v>
          </cell>
          <cell r="M1191">
            <v>34400</v>
          </cell>
          <cell r="N1191">
            <v>430000</v>
          </cell>
        </row>
        <row r="1193">
          <cell r="B1193" t="str">
            <v>SUB-TOTAL</v>
          </cell>
          <cell r="G1193">
            <v>4594800</v>
          </cell>
          <cell r="J1193">
            <v>4594800</v>
          </cell>
          <cell r="M1193">
            <v>2275700</v>
          </cell>
          <cell r="N1193">
            <v>2319100</v>
          </cell>
        </row>
        <row r="1195">
          <cell r="A1195" t="str">
            <v xml:space="preserve"> 16)</v>
          </cell>
          <cell r="B1195" t="str">
            <v>잡철물 공사</v>
          </cell>
        </row>
        <row r="1196">
          <cell r="B1196" t="str">
            <v>FLOOR DRAIN</v>
          </cell>
          <cell r="C1196" t="str">
            <v>100A</v>
          </cell>
          <cell r="D1196" t="str">
            <v>NOS</v>
          </cell>
          <cell r="E1196">
            <v>1</v>
          </cell>
          <cell r="F1196">
            <v>9000</v>
          </cell>
          <cell r="G1196">
            <v>9000</v>
          </cell>
          <cell r="H1196">
            <v>1</v>
          </cell>
          <cell r="I1196">
            <v>9000</v>
          </cell>
          <cell r="J1196">
            <v>9000</v>
          </cell>
          <cell r="M1196">
            <v>2000</v>
          </cell>
          <cell r="N1196">
            <v>7000</v>
          </cell>
        </row>
        <row r="1197">
          <cell r="B1197" t="str">
            <v>ROOF DRAIN(ST'L)</v>
          </cell>
          <cell r="C1197" t="str">
            <v>100A</v>
          </cell>
          <cell r="D1197" t="str">
            <v>NOS</v>
          </cell>
          <cell r="E1197">
            <v>8</v>
          </cell>
          <cell r="F1197">
            <v>16000</v>
          </cell>
          <cell r="G1197">
            <v>128000</v>
          </cell>
          <cell r="H1197">
            <v>8</v>
          </cell>
          <cell r="I1197">
            <v>16000</v>
          </cell>
          <cell r="J1197">
            <v>128000</v>
          </cell>
          <cell r="M1197">
            <v>24000</v>
          </cell>
          <cell r="N1197">
            <v>104000</v>
          </cell>
        </row>
        <row r="1198">
          <cell r="B1198" t="str">
            <v>ROOF DRAIN(ST'L)</v>
          </cell>
          <cell r="C1198" t="str">
            <v>200A</v>
          </cell>
          <cell r="D1198" t="str">
            <v>NOS</v>
          </cell>
          <cell r="E1198">
            <v>2</v>
          </cell>
          <cell r="F1198">
            <v>17000</v>
          </cell>
          <cell r="G1198">
            <v>34000</v>
          </cell>
          <cell r="H1198">
            <v>2</v>
          </cell>
          <cell r="I1198">
            <v>17000</v>
          </cell>
          <cell r="J1198">
            <v>34000</v>
          </cell>
          <cell r="M1198">
            <v>8000</v>
          </cell>
          <cell r="N1198">
            <v>26000</v>
          </cell>
        </row>
        <row r="1199">
          <cell r="B1199" t="str">
            <v xml:space="preserve"> DOWN SPOUT W/</v>
          </cell>
        </row>
        <row r="1200">
          <cell r="B1200" t="str">
            <v>HOLDER(STEEL)</v>
          </cell>
          <cell r="C1200" t="str">
            <v>100A</v>
          </cell>
          <cell r="D1200" t="str">
            <v>M</v>
          </cell>
          <cell r="E1200">
            <v>91.4</v>
          </cell>
          <cell r="F1200">
            <v>31200</v>
          </cell>
          <cell r="G1200">
            <v>2851680</v>
          </cell>
          <cell r="H1200">
            <v>91.4</v>
          </cell>
          <cell r="I1200">
            <v>31200</v>
          </cell>
          <cell r="J1200">
            <v>2851680</v>
          </cell>
          <cell r="M1200">
            <v>1023680</v>
          </cell>
          <cell r="N1200">
            <v>1828000</v>
          </cell>
        </row>
        <row r="1201">
          <cell r="B1201" t="str">
            <v>HOLDER(STEEL)</v>
          </cell>
          <cell r="C1201" t="str">
            <v>200A</v>
          </cell>
          <cell r="D1201" t="str">
            <v>M</v>
          </cell>
          <cell r="E1201">
            <v>23.2</v>
          </cell>
          <cell r="F1201">
            <v>49200</v>
          </cell>
          <cell r="G1201">
            <v>1141440</v>
          </cell>
          <cell r="H1201">
            <v>23.2</v>
          </cell>
          <cell r="I1201">
            <v>49200</v>
          </cell>
          <cell r="J1201">
            <v>1141440</v>
          </cell>
          <cell r="M1201">
            <v>561440</v>
          </cell>
          <cell r="N1201">
            <v>580000</v>
          </cell>
        </row>
        <row r="1202">
          <cell r="B1202" t="str">
            <v>HOLDER(STEEL)</v>
          </cell>
          <cell r="C1202" t="str">
            <v>125A</v>
          </cell>
          <cell r="D1202" t="str">
            <v>M</v>
          </cell>
          <cell r="E1202">
            <v>10</v>
          </cell>
          <cell r="F1202">
            <v>39300</v>
          </cell>
          <cell r="G1202">
            <v>393000</v>
          </cell>
          <cell r="H1202">
            <v>10</v>
          </cell>
          <cell r="I1202">
            <v>39300</v>
          </cell>
          <cell r="J1202">
            <v>393000</v>
          </cell>
          <cell r="M1202">
            <v>193000</v>
          </cell>
          <cell r="N1202">
            <v>200000</v>
          </cell>
        </row>
        <row r="1203">
          <cell r="B1203" t="str">
            <v>HOLDER(STEEL)</v>
          </cell>
          <cell r="C1203" t="str">
            <v>250A</v>
          </cell>
          <cell r="D1203" t="str">
            <v>M</v>
          </cell>
          <cell r="E1203">
            <v>2.4</v>
          </cell>
          <cell r="F1203">
            <v>57200</v>
          </cell>
          <cell r="G1203">
            <v>137280</v>
          </cell>
          <cell r="H1203">
            <v>2.4</v>
          </cell>
          <cell r="I1203">
            <v>57200</v>
          </cell>
          <cell r="J1203">
            <v>137280</v>
          </cell>
          <cell r="M1203">
            <v>77280</v>
          </cell>
          <cell r="N1203">
            <v>60000</v>
          </cell>
        </row>
        <row r="1204">
          <cell r="B1204" t="str">
            <v xml:space="preserve">EAVES GUTTER  1.6T*250W*250H </v>
          </cell>
          <cell r="D1204" t="str">
            <v>M</v>
          </cell>
          <cell r="E1204">
            <v>55.2</v>
          </cell>
          <cell r="F1204">
            <v>38350</v>
          </cell>
          <cell r="G1204">
            <v>2116920</v>
          </cell>
          <cell r="H1204">
            <v>55.2</v>
          </cell>
          <cell r="I1204">
            <v>38350</v>
          </cell>
          <cell r="J1204">
            <v>2116920</v>
          </cell>
          <cell r="M1204">
            <v>1454520</v>
          </cell>
          <cell r="N1204">
            <v>662400</v>
          </cell>
        </row>
        <row r="1205">
          <cell r="B1205" t="str">
            <v xml:space="preserve">VALLEY GUTTER 0.7T*1.52*0.2H </v>
          </cell>
          <cell r="D1205" t="str">
            <v>M</v>
          </cell>
          <cell r="E1205">
            <v>55.2</v>
          </cell>
          <cell r="F1205">
            <v>43360</v>
          </cell>
          <cell r="G1205">
            <v>2393472</v>
          </cell>
          <cell r="H1205">
            <v>55.2</v>
          </cell>
          <cell r="I1205">
            <v>43360</v>
          </cell>
          <cell r="J1205">
            <v>2393472</v>
          </cell>
          <cell r="M1205">
            <v>1841472</v>
          </cell>
          <cell r="N1205">
            <v>552000</v>
          </cell>
        </row>
        <row r="1206">
          <cell r="B1206" t="str">
            <v xml:space="preserve"> W/GUTTER HOLDER</v>
          </cell>
        </row>
        <row r="1207">
          <cell r="B1207" t="str">
            <v>NET FENCE</v>
          </cell>
          <cell r="C1207" t="str">
            <v>H:2.1</v>
          </cell>
          <cell r="D1207" t="str">
            <v>M</v>
          </cell>
          <cell r="E1207">
            <v>36</v>
          </cell>
          <cell r="F1207">
            <v>55000</v>
          </cell>
          <cell r="G1207">
            <v>1980000</v>
          </cell>
          <cell r="H1207">
            <v>36</v>
          </cell>
          <cell r="I1207">
            <v>55000</v>
          </cell>
          <cell r="J1207">
            <v>1980000</v>
          </cell>
          <cell r="M1207">
            <v>1260000</v>
          </cell>
          <cell r="N1207">
            <v>720000</v>
          </cell>
        </row>
        <row r="1208">
          <cell r="B1208" t="str">
            <v>MONITOR</v>
          </cell>
          <cell r="C1208" t="str">
            <v>W=1.2</v>
          </cell>
          <cell r="D1208" t="str">
            <v>M</v>
          </cell>
          <cell r="E1208">
            <v>52.6</v>
          </cell>
          <cell r="F1208">
            <v>400000</v>
          </cell>
          <cell r="G1208">
            <v>21040000</v>
          </cell>
          <cell r="H1208">
            <v>52.6</v>
          </cell>
          <cell r="I1208">
            <v>400000</v>
          </cell>
          <cell r="J1208">
            <v>21040000</v>
          </cell>
          <cell r="M1208">
            <v>16306000</v>
          </cell>
          <cell r="N1208">
            <v>4734000</v>
          </cell>
        </row>
        <row r="1210">
          <cell r="B1210" t="str">
            <v>SUB-TOTAL</v>
          </cell>
          <cell r="G1210">
            <v>32224792</v>
          </cell>
          <cell r="J1210">
            <v>32224792</v>
          </cell>
          <cell r="M1210">
            <v>22751392</v>
          </cell>
          <cell r="N1210">
            <v>9473400</v>
          </cell>
        </row>
        <row r="1212">
          <cell r="B1212" t="str">
            <v>T O T A L</v>
          </cell>
          <cell r="G1212">
            <v>542413755</v>
          </cell>
          <cell r="J1212">
            <v>542413755</v>
          </cell>
          <cell r="M1212">
            <v>337561641</v>
          </cell>
          <cell r="N1212">
            <v>204852114</v>
          </cell>
        </row>
        <row r="1234">
          <cell r="A1234" t="str">
            <v xml:space="preserve"> 13.</v>
          </cell>
          <cell r="B1234" t="str">
            <v>냉난방/위생설비공사</v>
          </cell>
        </row>
        <row r="1236">
          <cell r="A1236" t="str">
            <v xml:space="preserve">  1)</v>
          </cell>
          <cell r="B1236" t="str">
            <v>H.V.A.C EQUIP. WORK</v>
          </cell>
        </row>
        <row r="1237">
          <cell r="B1237" t="str">
            <v>PACKAGE AIR-CON</v>
          </cell>
          <cell r="C1237" t="str">
            <v>4,500Kcal/HR</v>
          </cell>
          <cell r="D1237" t="str">
            <v>SET</v>
          </cell>
          <cell r="E1237">
            <v>1</v>
          </cell>
          <cell r="F1237">
            <v>2200000</v>
          </cell>
          <cell r="G1237">
            <v>2200000</v>
          </cell>
          <cell r="H1237">
            <v>1</v>
          </cell>
          <cell r="I1237">
            <v>2200000</v>
          </cell>
          <cell r="J1237">
            <v>2200000</v>
          </cell>
          <cell r="M1237">
            <v>2200000</v>
          </cell>
          <cell r="N1237">
            <v>0</v>
          </cell>
        </row>
        <row r="1238">
          <cell r="B1238" t="str">
            <v>RADIATOR (ARS-600)</v>
          </cell>
          <cell r="C1238" t="str">
            <v>K56759</v>
          </cell>
          <cell r="D1238" t="str">
            <v>EA</v>
          </cell>
          <cell r="E1238">
            <v>60</v>
          </cell>
          <cell r="F1238">
            <v>4000</v>
          </cell>
          <cell r="G1238">
            <v>240000</v>
          </cell>
          <cell r="H1238">
            <v>60</v>
          </cell>
          <cell r="I1238">
            <v>4000</v>
          </cell>
          <cell r="J1238">
            <v>240000</v>
          </cell>
          <cell r="M1238">
            <v>240000</v>
          </cell>
          <cell r="N1238">
            <v>0</v>
          </cell>
        </row>
        <row r="1239">
          <cell r="B1239" t="str">
            <v>WALL FAN (9CMN/3MMAP)</v>
          </cell>
          <cell r="C1239" t="str">
            <v>1/20HP</v>
          </cell>
          <cell r="D1239" t="str">
            <v>SET</v>
          </cell>
          <cell r="E1239">
            <v>1</v>
          </cell>
          <cell r="F1239">
            <v>30000</v>
          </cell>
          <cell r="G1239">
            <v>30000</v>
          </cell>
          <cell r="H1239">
            <v>1</v>
          </cell>
          <cell r="I1239">
            <v>30000</v>
          </cell>
          <cell r="J1239">
            <v>30000</v>
          </cell>
          <cell r="M1239">
            <v>30000</v>
          </cell>
          <cell r="N1239">
            <v>0</v>
          </cell>
        </row>
        <row r="1240">
          <cell r="B1240" t="str">
            <v>WALL FAN (5CMN/3MMAP)</v>
          </cell>
          <cell r="C1240" t="str">
            <v>1/20HP</v>
          </cell>
          <cell r="D1240" t="str">
            <v>SET</v>
          </cell>
          <cell r="E1240">
            <v>1</v>
          </cell>
          <cell r="F1240">
            <v>30000</v>
          </cell>
          <cell r="G1240">
            <v>30000</v>
          </cell>
          <cell r="H1240">
            <v>1</v>
          </cell>
          <cell r="I1240">
            <v>30000</v>
          </cell>
          <cell r="J1240">
            <v>30000</v>
          </cell>
          <cell r="M1240">
            <v>30000</v>
          </cell>
          <cell r="N1240">
            <v>0</v>
          </cell>
        </row>
        <row r="1241">
          <cell r="B1241" t="str">
            <v>FRP 정화조 (접촉폭기식)</v>
          </cell>
          <cell r="C1241" t="str">
            <v>20인용</v>
          </cell>
          <cell r="D1241" t="str">
            <v>SET</v>
          </cell>
          <cell r="E1241">
            <v>1</v>
          </cell>
          <cell r="F1241">
            <v>1000000</v>
          </cell>
          <cell r="G1241">
            <v>1000000</v>
          </cell>
          <cell r="H1241">
            <v>1</v>
          </cell>
          <cell r="I1241">
            <v>1000000</v>
          </cell>
          <cell r="J1241">
            <v>1000000</v>
          </cell>
          <cell r="M1241">
            <v>1000000</v>
          </cell>
          <cell r="N1241">
            <v>0</v>
          </cell>
        </row>
        <row r="1243">
          <cell r="B1243" t="str">
            <v>SUB-TOTAL</v>
          </cell>
          <cell r="G1243">
            <v>3500000</v>
          </cell>
          <cell r="J1243">
            <v>3500000</v>
          </cell>
          <cell r="M1243">
            <v>3500000</v>
          </cell>
          <cell r="N1243">
            <v>0</v>
          </cell>
        </row>
        <row r="1245">
          <cell r="A1245" t="str">
            <v xml:space="preserve">  2)</v>
          </cell>
          <cell r="B1245" t="str">
            <v>HEATING PIPING</v>
          </cell>
        </row>
        <row r="1246">
          <cell r="B1246" t="str">
            <v>PIPE A53-B  BRW SCH60</v>
          </cell>
          <cell r="C1246" t="str">
            <v>2"</v>
          </cell>
          <cell r="D1246" t="str">
            <v>M</v>
          </cell>
          <cell r="E1246">
            <v>25</v>
          </cell>
          <cell r="F1246">
            <v>3200</v>
          </cell>
          <cell r="G1246">
            <v>80000</v>
          </cell>
          <cell r="H1246">
            <v>25</v>
          </cell>
          <cell r="I1246">
            <v>3200</v>
          </cell>
          <cell r="J1246">
            <v>80000</v>
          </cell>
          <cell r="M1246">
            <v>80000</v>
          </cell>
          <cell r="N1246">
            <v>0</v>
          </cell>
        </row>
        <row r="1247">
          <cell r="B1247" t="str">
            <v>PIPE A53-B  BRW SCH60</v>
          </cell>
          <cell r="C1247" t="str">
            <v>1.1/2"</v>
          </cell>
          <cell r="D1247" t="str">
            <v>M</v>
          </cell>
          <cell r="E1247">
            <v>25</v>
          </cell>
          <cell r="F1247">
            <v>2200</v>
          </cell>
          <cell r="G1247">
            <v>55000</v>
          </cell>
          <cell r="H1247">
            <v>25</v>
          </cell>
          <cell r="I1247">
            <v>2200</v>
          </cell>
          <cell r="J1247">
            <v>55000</v>
          </cell>
          <cell r="M1247">
            <v>55000</v>
          </cell>
          <cell r="N1247">
            <v>0</v>
          </cell>
        </row>
        <row r="1248">
          <cell r="B1248" t="str">
            <v>PIPE A53-B  BRW SCH60</v>
          </cell>
          <cell r="C1248" t="str">
            <v>1"</v>
          </cell>
          <cell r="D1248" t="str">
            <v>M</v>
          </cell>
          <cell r="E1248">
            <v>53</v>
          </cell>
          <cell r="F1248">
            <v>1300</v>
          </cell>
          <cell r="G1248">
            <v>68900</v>
          </cell>
          <cell r="H1248">
            <v>53</v>
          </cell>
          <cell r="I1248">
            <v>1300</v>
          </cell>
          <cell r="J1248">
            <v>68900</v>
          </cell>
          <cell r="M1248">
            <v>68900</v>
          </cell>
          <cell r="N1248">
            <v>0</v>
          </cell>
        </row>
        <row r="1249">
          <cell r="B1249" t="str">
            <v>PIPE A53-B  BRW SCH80</v>
          </cell>
          <cell r="C1249" t="str">
            <v>1/2"</v>
          </cell>
          <cell r="D1249" t="str">
            <v>M</v>
          </cell>
          <cell r="E1249">
            <v>9</v>
          </cell>
          <cell r="F1249">
            <v>700</v>
          </cell>
          <cell r="G1249">
            <v>6300</v>
          </cell>
          <cell r="H1249">
            <v>9</v>
          </cell>
          <cell r="I1249">
            <v>700</v>
          </cell>
          <cell r="J1249">
            <v>6300</v>
          </cell>
          <cell r="M1249">
            <v>6300</v>
          </cell>
          <cell r="N1249">
            <v>0</v>
          </cell>
        </row>
        <row r="1250">
          <cell r="B1250" t="str">
            <v>90 ELBOW ASTM A105</v>
          </cell>
          <cell r="C1250" t="str">
            <v>1.1/2"</v>
          </cell>
          <cell r="D1250" t="str">
            <v>EA</v>
          </cell>
          <cell r="E1250">
            <v>14</v>
          </cell>
          <cell r="F1250">
            <v>3500</v>
          </cell>
          <cell r="G1250">
            <v>49000</v>
          </cell>
          <cell r="H1250">
            <v>14</v>
          </cell>
          <cell r="I1250">
            <v>3500</v>
          </cell>
          <cell r="J1250">
            <v>49000</v>
          </cell>
          <cell r="M1250">
            <v>49000</v>
          </cell>
          <cell r="N1250">
            <v>0</v>
          </cell>
        </row>
        <row r="1251">
          <cell r="B1251" t="str">
            <v>90 ELBOW ASTM A105</v>
          </cell>
          <cell r="C1251" t="str">
            <v>1"</v>
          </cell>
          <cell r="D1251" t="str">
            <v>EA</v>
          </cell>
          <cell r="E1251">
            <v>20</v>
          </cell>
          <cell r="F1251">
            <v>1700</v>
          </cell>
          <cell r="G1251">
            <v>34000</v>
          </cell>
          <cell r="H1251">
            <v>20</v>
          </cell>
          <cell r="I1251">
            <v>1700</v>
          </cell>
          <cell r="J1251">
            <v>34000</v>
          </cell>
          <cell r="M1251">
            <v>34000</v>
          </cell>
          <cell r="N1251">
            <v>0</v>
          </cell>
        </row>
        <row r="1252">
          <cell r="B1252" t="str">
            <v>90 ELBOW ASTM A105</v>
          </cell>
          <cell r="C1252" t="str">
            <v>1/2"</v>
          </cell>
          <cell r="D1252" t="str">
            <v>EA</v>
          </cell>
          <cell r="E1252">
            <v>7</v>
          </cell>
          <cell r="F1252">
            <v>900</v>
          </cell>
          <cell r="G1252">
            <v>6300</v>
          </cell>
          <cell r="H1252">
            <v>7</v>
          </cell>
          <cell r="I1252">
            <v>900</v>
          </cell>
          <cell r="J1252">
            <v>6300</v>
          </cell>
          <cell r="M1252">
            <v>6300</v>
          </cell>
          <cell r="N1252">
            <v>0</v>
          </cell>
        </row>
        <row r="1253">
          <cell r="B1253" t="str">
            <v>TEE</v>
          </cell>
          <cell r="C1253" t="str">
            <v>1.1/2"</v>
          </cell>
          <cell r="D1253" t="str">
            <v>EA</v>
          </cell>
          <cell r="E1253">
            <v>3</v>
          </cell>
          <cell r="F1253">
            <v>5000</v>
          </cell>
          <cell r="G1253">
            <v>15000</v>
          </cell>
          <cell r="H1253">
            <v>3</v>
          </cell>
          <cell r="I1253">
            <v>5000</v>
          </cell>
          <cell r="J1253">
            <v>15000</v>
          </cell>
          <cell r="M1253">
            <v>15000</v>
          </cell>
          <cell r="N1253">
            <v>0</v>
          </cell>
        </row>
        <row r="1254">
          <cell r="B1254" t="str">
            <v>TEE</v>
          </cell>
          <cell r="C1254" t="str">
            <v>2"x1.1/2"</v>
          </cell>
          <cell r="D1254" t="str">
            <v>EA</v>
          </cell>
          <cell r="E1254">
            <v>2</v>
          </cell>
          <cell r="F1254">
            <v>7700</v>
          </cell>
          <cell r="G1254">
            <v>15400</v>
          </cell>
          <cell r="H1254">
            <v>2</v>
          </cell>
          <cell r="I1254">
            <v>7700</v>
          </cell>
          <cell r="J1254">
            <v>15400</v>
          </cell>
          <cell r="M1254">
            <v>15400</v>
          </cell>
          <cell r="N1254">
            <v>0</v>
          </cell>
        </row>
        <row r="1255">
          <cell r="B1255" t="str">
            <v>TEE</v>
          </cell>
          <cell r="C1255" t="str">
            <v>2.1/2"x2"</v>
          </cell>
          <cell r="D1255" t="str">
            <v>EA</v>
          </cell>
          <cell r="E1255">
            <v>2</v>
          </cell>
          <cell r="F1255">
            <v>8300</v>
          </cell>
          <cell r="G1255">
            <v>16600</v>
          </cell>
          <cell r="H1255">
            <v>2</v>
          </cell>
          <cell r="I1255">
            <v>8300</v>
          </cell>
          <cell r="J1255">
            <v>16600</v>
          </cell>
          <cell r="M1255">
            <v>16600</v>
          </cell>
          <cell r="N1255">
            <v>0</v>
          </cell>
        </row>
        <row r="1256">
          <cell r="B1256" t="str">
            <v>NIPPLE</v>
          </cell>
          <cell r="C1256" t="str">
            <v>1.1/2"</v>
          </cell>
          <cell r="D1256" t="str">
            <v>EA</v>
          </cell>
          <cell r="E1256">
            <v>5</v>
          </cell>
          <cell r="F1256">
            <v>1000</v>
          </cell>
          <cell r="G1256">
            <v>5000</v>
          </cell>
          <cell r="H1256">
            <v>5</v>
          </cell>
          <cell r="I1256">
            <v>1000</v>
          </cell>
          <cell r="J1256">
            <v>5000</v>
          </cell>
          <cell r="M1256">
            <v>5000</v>
          </cell>
          <cell r="N1256">
            <v>0</v>
          </cell>
        </row>
        <row r="1257">
          <cell r="B1257" t="str">
            <v>NIPPLE</v>
          </cell>
          <cell r="C1257" t="str">
            <v>1"</v>
          </cell>
          <cell r="D1257" t="str">
            <v>EA</v>
          </cell>
          <cell r="E1257">
            <v>5</v>
          </cell>
          <cell r="F1257">
            <v>1000</v>
          </cell>
          <cell r="G1257">
            <v>5000</v>
          </cell>
          <cell r="H1257">
            <v>5</v>
          </cell>
          <cell r="I1257">
            <v>1000</v>
          </cell>
          <cell r="J1257">
            <v>5000</v>
          </cell>
          <cell r="M1257">
            <v>5000</v>
          </cell>
          <cell r="N1257">
            <v>0</v>
          </cell>
        </row>
        <row r="1258">
          <cell r="B1258" t="str">
            <v>UNION</v>
          </cell>
          <cell r="C1258" t="str">
            <v>2"</v>
          </cell>
          <cell r="D1258" t="str">
            <v>EA</v>
          </cell>
          <cell r="E1258">
            <v>4</v>
          </cell>
          <cell r="F1258">
            <v>5000</v>
          </cell>
          <cell r="G1258">
            <v>20000</v>
          </cell>
          <cell r="H1258">
            <v>4</v>
          </cell>
          <cell r="I1258">
            <v>5000</v>
          </cell>
          <cell r="J1258">
            <v>20000</v>
          </cell>
          <cell r="M1258">
            <v>20000</v>
          </cell>
          <cell r="N1258">
            <v>0</v>
          </cell>
        </row>
        <row r="1259">
          <cell r="B1259" t="str">
            <v>UNION</v>
          </cell>
          <cell r="C1259" t="str">
            <v>1.1/2"</v>
          </cell>
          <cell r="D1259" t="str">
            <v>EA</v>
          </cell>
          <cell r="E1259">
            <v>1</v>
          </cell>
          <cell r="F1259">
            <v>5000</v>
          </cell>
          <cell r="G1259">
            <v>5000</v>
          </cell>
          <cell r="H1259">
            <v>1</v>
          </cell>
          <cell r="I1259">
            <v>5000</v>
          </cell>
          <cell r="J1259">
            <v>5000</v>
          </cell>
          <cell r="M1259">
            <v>5000</v>
          </cell>
          <cell r="N1259">
            <v>0</v>
          </cell>
        </row>
        <row r="1260">
          <cell r="B1260" t="str">
            <v>UNION</v>
          </cell>
          <cell r="C1260" t="str">
            <v>1"</v>
          </cell>
          <cell r="D1260" t="str">
            <v>EA</v>
          </cell>
          <cell r="E1260">
            <v>8</v>
          </cell>
          <cell r="F1260">
            <v>5000</v>
          </cell>
          <cell r="G1260">
            <v>40000</v>
          </cell>
          <cell r="H1260">
            <v>8</v>
          </cell>
          <cell r="I1260">
            <v>5000</v>
          </cell>
          <cell r="J1260">
            <v>40000</v>
          </cell>
          <cell r="M1260">
            <v>40000</v>
          </cell>
          <cell r="N1260">
            <v>0</v>
          </cell>
        </row>
        <row r="1261">
          <cell r="B1261" t="str">
            <v>UNION</v>
          </cell>
          <cell r="C1261" t="str">
            <v>3/4"</v>
          </cell>
          <cell r="D1261" t="str">
            <v>EA</v>
          </cell>
          <cell r="E1261">
            <v>1</v>
          </cell>
          <cell r="F1261">
            <v>5000</v>
          </cell>
          <cell r="G1261">
            <v>5000</v>
          </cell>
          <cell r="H1261">
            <v>1</v>
          </cell>
          <cell r="I1261">
            <v>5000</v>
          </cell>
          <cell r="J1261">
            <v>5000</v>
          </cell>
          <cell r="M1261">
            <v>5000</v>
          </cell>
          <cell r="N1261">
            <v>0</v>
          </cell>
        </row>
        <row r="1262">
          <cell r="B1262" t="str">
            <v>HANGER</v>
          </cell>
          <cell r="C1262" t="str">
            <v>2"</v>
          </cell>
          <cell r="D1262" t="str">
            <v>EA</v>
          </cell>
          <cell r="E1262">
            <v>8</v>
          </cell>
          <cell r="F1262">
            <v>500</v>
          </cell>
          <cell r="G1262">
            <v>4000</v>
          </cell>
          <cell r="H1262">
            <v>8</v>
          </cell>
          <cell r="I1262">
            <v>500</v>
          </cell>
          <cell r="J1262">
            <v>4000</v>
          </cell>
          <cell r="M1262">
            <v>4000</v>
          </cell>
          <cell r="N1262">
            <v>0</v>
          </cell>
        </row>
        <row r="1263">
          <cell r="B1263" t="str">
            <v>HANGER</v>
          </cell>
          <cell r="C1263" t="str">
            <v>1.1/2"</v>
          </cell>
          <cell r="D1263" t="str">
            <v>EA</v>
          </cell>
          <cell r="E1263">
            <v>6</v>
          </cell>
          <cell r="F1263">
            <v>500</v>
          </cell>
          <cell r="G1263">
            <v>3000</v>
          </cell>
          <cell r="H1263">
            <v>6</v>
          </cell>
          <cell r="I1263">
            <v>500</v>
          </cell>
          <cell r="J1263">
            <v>3000</v>
          </cell>
          <cell r="M1263">
            <v>3000</v>
          </cell>
          <cell r="N1263">
            <v>0</v>
          </cell>
        </row>
        <row r="1264">
          <cell r="B1264" t="str">
            <v>HANGER</v>
          </cell>
          <cell r="C1264" t="str">
            <v>1"</v>
          </cell>
          <cell r="D1264" t="str">
            <v>EA</v>
          </cell>
          <cell r="E1264">
            <v>16</v>
          </cell>
          <cell r="F1264">
            <v>500</v>
          </cell>
          <cell r="G1264">
            <v>8000</v>
          </cell>
          <cell r="H1264">
            <v>16</v>
          </cell>
          <cell r="I1264">
            <v>500</v>
          </cell>
          <cell r="J1264">
            <v>8000</v>
          </cell>
          <cell r="M1264">
            <v>8000</v>
          </cell>
          <cell r="N1264">
            <v>0</v>
          </cell>
        </row>
        <row r="1265">
          <cell r="B1265" t="str">
            <v>HANGER</v>
          </cell>
          <cell r="C1265" t="str">
            <v>3/4"</v>
          </cell>
          <cell r="D1265" t="str">
            <v>EA</v>
          </cell>
          <cell r="E1265">
            <v>3</v>
          </cell>
          <cell r="F1265">
            <v>500</v>
          </cell>
          <cell r="G1265">
            <v>1500</v>
          </cell>
          <cell r="H1265">
            <v>3</v>
          </cell>
          <cell r="I1265">
            <v>500</v>
          </cell>
          <cell r="J1265">
            <v>1500</v>
          </cell>
          <cell r="M1265">
            <v>1500</v>
          </cell>
          <cell r="N1265">
            <v>0</v>
          </cell>
        </row>
        <row r="1266">
          <cell r="B1266" t="str">
            <v>INSULATION</v>
          </cell>
          <cell r="C1266" t="str">
            <v>2"</v>
          </cell>
          <cell r="D1266" t="str">
            <v>M</v>
          </cell>
          <cell r="E1266">
            <v>50</v>
          </cell>
          <cell r="F1266">
            <v>5000</v>
          </cell>
          <cell r="G1266">
            <v>250000</v>
          </cell>
          <cell r="H1266">
            <v>50</v>
          </cell>
          <cell r="I1266">
            <v>5000</v>
          </cell>
          <cell r="J1266">
            <v>250000</v>
          </cell>
          <cell r="M1266">
            <v>250000</v>
          </cell>
          <cell r="N1266">
            <v>0</v>
          </cell>
        </row>
        <row r="1267">
          <cell r="B1267" t="str">
            <v>INSULATION</v>
          </cell>
          <cell r="C1267" t="str">
            <v>1.1/2"</v>
          </cell>
          <cell r="D1267" t="str">
            <v>M</v>
          </cell>
          <cell r="E1267">
            <v>50</v>
          </cell>
          <cell r="F1267">
            <v>5000</v>
          </cell>
          <cell r="G1267">
            <v>250000</v>
          </cell>
          <cell r="H1267">
            <v>50</v>
          </cell>
          <cell r="I1267">
            <v>5000</v>
          </cell>
          <cell r="J1267">
            <v>250000</v>
          </cell>
          <cell r="M1267">
            <v>250000</v>
          </cell>
          <cell r="N1267">
            <v>0</v>
          </cell>
        </row>
        <row r="1268">
          <cell r="B1268" t="str">
            <v>INSULATION</v>
          </cell>
          <cell r="C1268" t="str">
            <v>1"</v>
          </cell>
          <cell r="D1268" t="str">
            <v>M</v>
          </cell>
          <cell r="E1268">
            <v>10</v>
          </cell>
          <cell r="F1268">
            <v>5000</v>
          </cell>
          <cell r="G1268">
            <v>50000</v>
          </cell>
          <cell r="H1268">
            <v>10</v>
          </cell>
          <cell r="I1268">
            <v>5000</v>
          </cell>
          <cell r="J1268">
            <v>50000</v>
          </cell>
          <cell r="M1268">
            <v>50000</v>
          </cell>
          <cell r="N1268">
            <v>0</v>
          </cell>
        </row>
        <row r="1269">
          <cell r="B1269" t="str">
            <v>INSULATION</v>
          </cell>
          <cell r="C1269" t="str">
            <v>3/4"</v>
          </cell>
          <cell r="D1269" t="str">
            <v>M</v>
          </cell>
          <cell r="E1269">
            <v>10</v>
          </cell>
          <cell r="F1269">
            <v>5000</v>
          </cell>
          <cell r="G1269">
            <v>50000</v>
          </cell>
          <cell r="H1269">
            <v>10</v>
          </cell>
          <cell r="I1269">
            <v>5000</v>
          </cell>
          <cell r="J1269">
            <v>50000</v>
          </cell>
          <cell r="M1269">
            <v>50000</v>
          </cell>
          <cell r="N1269">
            <v>0</v>
          </cell>
        </row>
        <row r="1270">
          <cell r="B1270" t="str">
            <v>보루지</v>
          </cell>
          <cell r="D1270" t="str">
            <v>M2</v>
          </cell>
          <cell r="E1270">
            <v>10</v>
          </cell>
          <cell r="F1270">
            <v>5000</v>
          </cell>
          <cell r="G1270">
            <v>50000</v>
          </cell>
          <cell r="H1270">
            <v>10</v>
          </cell>
          <cell r="I1270">
            <v>5000</v>
          </cell>
          <cell r="J1270">
            <v>50000</v>
          </cell>
          <cell r="M1270">
            <v>50000</v>
          </cell>
          <cell r="N1270">
            <v>0</v>
          </cell>
        </row>
        <row r="1271">
          <cell r="B1271" t="str">
            <v>폴리머 테이프</v>
          </cell>
          <cell r="C1271" t="str">
            <v>0.5t</v>
          </cell>
          <cell r="D1271" t="str">
            <v>M2</v>
          </cell>
          <cell r="E1271">
            <v>10</v>
          </cell>
          <cell r="F1271">
            <v>7000</v>
          </cell>
          <cell r="G1271">
            <v>70000</v>
          </cell>
          <cell r="H1271">
            <v>10</v>
          </cell>
          <cell r="I1271">
            <v>7000</v>
          </cell>
          <cell r="J1271">
            <v>70000</v>
          </cell>
          <cell r="M1271">
            <v>70000</v>
          </cell>
          <cell r="N1271">
            <v>0</v>
          </cell>
        </row>
        <row r="1272">
          <cell r="B1272" t="str">
            <v>AL-BAND</v>
          </cell>
          <cell r="C1272" t="str">
            <v>0.3Tx30MM</v>
          </cell>
          <cell r="D1272" t="str">
            <v>M</v>
          </cell>
          <cell r="E1272">
            <v>24</v>
          </cell>
          <cell r="F1272">
            <v>1000</v>
          </cell>
          <cell r="G1272">
            <v>24000</v>
          </cell>
          <cell r="H1272">
            <v>24</v>
          </cell>
          <cell r="I1272">
            <v>1000</v>
          </cell>
          <cell r="J1272">
            <v>24000</v>
          </cell>
          <cell r="M1272">
            <v>24000</v>
          </cell>
          <cell r="N1272">
            <v>0</v>
          </cell>
        </row>
        <row r="1273">
          <cell r="B1273" t="str">
            <v>GATE VALVE</v>
          </cell>
          <cell r="C1273" t="str">
            <v>2"</v>
          </cell>
          <cell r="D1273" t="str">
            <v>EA</v>
          </cell>
          <cell r="E1273">
            <v>1</v>
          </cell>
          <cell r="F1273">
            <v>69000</v>
          </cell>
          <cell r="G1273">
            <v>69000</v>
          </cell>
          <cell r="H1273">
            <v>1</v>
          </cell>
          <cell r="I1273">
            <v>69000</v>
          </cell>
          <cell r="J1273">
            <v>69000</v>
          </cell>
          <cell r="M1273">
            <v>69000</v>
          </cell>
          <cell r="N1273">
            <v>0</v>
          </cell>
        </row>
        <row r="1274">
          <cell r="B1274" t="str">
            <v>GLOBE VALVE</v>
          </cell>
          <cell r="C1274" t="str">
            <v>1"</v>
          </cell>
          <cell r="D1274" t="str">
            <v>EA</v>
          </cell>
          <cell r="E1274">
            <v>1</v>
          </cell>
          <cell r="F1274">
            <v>25000</v>
          </cell>
          <cell r="G1274">
            <v>25000</v>
          </cell>
          <cell r="H1274">
            <v>1</v>
          </cell>
          <cell r="I1274">
            <v>25000</v>
          </cell>
          <cell r="J1274">
            <v>25000</v>
          </cell>
          <cell r="M1274">
            <v>25000</v>
          </cell>
          <cell r="N1274">
            <v>0</v>
          </cell>
        </row>
        <row r="1275">
          <cell r="B1275" t="str">
            <v>STRAINER (Y-TYPE)</v>
          </cell>
          <cell r="C1275" t="str">
            <v>2"</v>
          </cell>
          <cell r="D1275" t="str">
            <v>EA</v>
          </cell>
          <cell r="E1275">
            <v>1</v>
          </cell>
          <cell r="F1275">
            <v>77000</v>
          </cell>
          <cell r="G1275">
            <v>77000</v>
          </cell>
          <cell r="H1275">
            <v>1</v>
          </cell>
          <cell r="I1275">
            <v>77000</v>
          </cell>
          <cell r="J1275">
            <v>77000</v>
          </cell>
          <cell r="M1275">
            <v>77000</v>
          </cell>
          <cell r="N1275">
            <v>0</v>
          </cell>
        </row>
        <row r="1276">
          <cell r="B1276" t="str">
            <v>P.R.V</v>
          </cell>
          <cell r="C1276" t="str">
            <v>2"</v>
          </cell>
          <cell r="D1276" t="str">
            <v>EA</v>
          </cell>
          <cell r="E1276">
            <v>1</v>
          </cell>
          <cell r="F1276">
            <v>0</v>
          </cell>
          <cell r="G1276">
            <v>0</v>
          </cell>
          <cell r="H1276">
            <v>1</v>
          </cell>
          <cell r="I1276">
            <v>0</v>
          </cell>
          <cell r="J1276">
            <v>0</v>
          </cell>
          <cell r="M1276">
            <v>0</v>
          </cell>
          <cell r="N1276">
            <v>0</v>
          </cell>
        </row>
        <row r="1277">
          <cell r="B1277" t="str">
            <v>STEAM TRAP</v>
          </cell>
          <cell r="C1277" t="str">
            <v>2"</v>
          </cell>
          <cell r="D1277" t="str">
            <v>EA</v>
          </cell>
          <cell r="E1277">
            <v>3</v>
          </cell>
          <cell r="F1277">
            <v>150000</v>
          </cell>
          <cell r="G1277">
            <v>450000</v>
          </cell>
          <cell r="H1277">
            <v>3</v>
          </cell>
          <cell r="I1277">
            <v>150000</v>
          </cell>
          <cell r="J1277">
            <v>450000</v>
          </cell>
          <cell r="M1277">
            <v>450000</v>
          </cell>
          <cell r="N1277">
            <v>0</v>
          </cell>
        </row>
        <row r="1279">
          <cell r="B1279" t="str">
            <v>SUB-TOTAL</v>
          </cell>
          <cell r="G1279">
            <v>1808000</v>
          </cell>
          <cell r="J1279">
            <v>1808000</v>
          </cell>
          <cell r="M1279">
            <v>1808000</v>
          </cell>
          <cell r="N1279">
            <v>0</v>
          </cell>
        </row>
        <row r="1281">
          <cell r="A1281" t="str">
            <v xml:space="preserve">  3)</v>
          </cell>
          <cell r="B1281" t="str">
            <v>PLUMBING WORK</v>
          </cell>
        </row>
        <row r="1282">
          <cell r="B1282" t="str">
            <v>HOT WATER EXCHANGER</v>
          </cell>
          <cell r="C1282" t="str">
            <v>2.94M3/H</v>
          </cell>
          <cell r="D1282" t="str">
            <v>SET</v>
          </cell>
          <cell r="E1282">
            <v>1</v>
          </cell>
          <cell r="F1282">
            <v>80000</v>
          </cell>
          <cell r="G1282">
            <v>80000</v>
          </cell>
          <cell r="H1282">
            <v>1</v>
          </cell>
          <cell r="I1282">
            <v>80000</v>
          </cell>
          <cell r="J1282">
            <v>80000</v>
          </cell>
          <cell r="M1282">
            <v>80000</v>
          </cell>
          <cell r="N1282">
            <v>0</v>
          </cell>
        </row>
        <row r="1283">
          <cell r="B1283" t="str">
            <v>SHOWER</v>
          </cell>
          <cell r="C1283" t="str">
            <v>FB-B31</v>
          </cell>
          <cell r="D1283" t="str">
            <v>EA</v>
          </cell>
          <cell r="E1283">
            <v>19</v>
          </cell>
          <cell r="F1283">
            <v>6100</v>
          </cell>
          <cell r="G1283">
            <v>115900</v>
          </cell>
          <cell r="H1283">
            <v>19</v>
          </cell>
          <cell r="I1283">
            <v>6100</v>
          </cell>
          <cell r="J1283">
            <v>115900</v>
          </cell>
          <cell r="M1283">
            <v>115900</v>
          </cell>
          <cell r="N1283">
            <v>0</v>
          </cell>
        </row>
        <row r="1284">
          <cell r="B1284" t="str">
            <v>PIPE A312-TP304 SCH40S PE</v>
          </cell>
          <cell r="C1284" t="str">
            <v>1.1/2"</v>
          </cell>
          <cell r="D1284" t="str">
            <v>M</v>
          </cell>
          <cell r="E1284">
            <v>26</v>
          </cell>
          <cell r="F1284">
            <v>9400</v>
          </cell>
          <cell r="G1284">
            <v>244400</v>
          </cell>
          <cell r="H1284">
            <v>26</v>
          </cell>
          <cell r="I1284">
            <v>9400</v>
          </cell>
          <cell r="J1284">
            <v>244400</v>
          </cell>
          <cell r="M1284">
            <v>244400</v>
          </cell>
          <cell r="N1284">
            <v>0</v>
          </cell>
        </row>
        <row r="1285">
          <cell r="B1285" t="str">
            <v>PIPE A312-TP304 SCH40S PE</v>
          </cell>
          <cell r="C1285" t="str">
            <v>1.1/4"</v>
          </cell>
          <cell r="D1285" t="str">
            <v>M</v>
          </cell>
          <cell r="E1285">
            <v>18</v>
          </cell>
          <cell r="F1285">
            <v>8100</v>
          </cell>
          <cell r="G1285">
            <v>145800</v>
          </cell>
          <cell r="H1285">
            <v>18</v>
          </cell>
          <cell r="I1285">
            <v>8100</v>
          </cell>
          <cell r="J1285">
            <v>145800</v>
          </cell>
          <cell r="M1285">
            <v>145800</v>
          </cell>
          <cell r="N1285">
            <v>0</v>
          </cell>
        </row>
        <row r="1286">
          <cell r="B1286" t="str">
            <v>PIPE A312-TP304 SCH40S PE</v>
          </cell>
          <cell r="C1286" t="str">
            <v>1"</v>
          </cell>
          <cell r="D1286" t="str">
            <v>M</v>
          </cell>
          <cell r="E1286">
            <v>9</v>
          </cell>
          <cell r="F1286">
            <v>6300</v>
          </cell>
          <cell r="G1286">
            <v>56700</v>
          </cell>
          <cell r="H1286">
            <v>9</v>
          </cell>
          <cell r="I1286">
            <v>6300</v>
          </cell>
          <cell r="J1286">
            <v>56700</v>
          </cell>
          <cell r="M1286">
            <v>56700</v>
          </cell>
          <cell r="N1286">
            <v>0</v>
          </cell>
        </row>
        <row r="1287">
          <cell r="B1287" t="str">
            <v>PIPE A312-TP304 SCH40S PE</v>
          </cell>
          <cell r="C1287" t="str">
            <v>3/4"</v>
          </cell>
          <cell r="D1287" t="str">
            <v>M</v>
          </cell>
          <cell r="E1287">
            <v>22</v>
          </cell>
          <cell r="F1287">
            <v>5400</v>
          </cell>
          <cell r="G1287">
            <v>118800</v>
          </cell>
          <cell r="H1287">
            <v>22</v>
          </cell>
          <cell r="I1287">
            <v>5400</v>
          </cell>
          <cell r="J1287">
            <v>118800</v>
          </cell>
          <cell r="M1287">
            <v>118800</v>
          </cell>
          <cell r="N1287">
            <v>0</v>
          </cell>
        </row>
        <row r="1288">
          <cell r="B1288" t="str">
            <v>PIPE A312-TP304 SCH40S PE</v>
          </cell>
          <cell r="C1288" t="str">
            <v>1/2"</v>
          </cell>
          <cell r="D1288" t="str">
            <v>M</v>
          </cell>
          <cell r="E1288">
            <v>42</v>
          </cell>
          <cell r="F1288">
            <v>4100</v>
          </cell>
          <cell r="G1288">
            <v>172200</v>
          </cell>
          <cell r="H1288">
            <v>42</v>
          </cell>
          <cell r="I1288">
            <v>4100</v>
          </cell>
          <cell r="J1288">
            <v>172200</v>
          </cell>
          <cell r="M1288">
            <v>172200</v>
          </cell>
          <cell r="N1288">
            <v>0</v>
          </cell>
        </row>
        <row r="1289">
          <cell r="B1289" t="str">
            <v>PVC PIPE KSM-3401 VG2</v>
          </cell>
          <cell r="C1289" t="str">
            <v>3"</v>
          </cell>
          <cell r="D1289" t="str">
            <v>M</v>
          </cell>
          <cell r="E1289">
            <v>12</v>
          </cell>
          <cell r="F1289">
            <v>1500</v>
          </cell>
          <cell r="G1289">
            <v>18000</v>
          </cell>
          <cell r="H1289">
            <v>12</v>
          </cell>
          <cell r="I1289">
            <v>1500</v>
          </cell>
          <cell r="J1289">
            <v>18000</v>
          </cell>
          <cell r="M1289">
            <v>18000</v>
          </cell>
          <cell r="N1289">
            <v>0</v>
          </cell>
        </row>
        <row r="1290">
          <cell r="B1290" t="str">
            <v>90 ELBOW ALB2-F304</v>
          </cell>
          <cell r="C1290" t="str">
            <v>1.1/2"</v>
          </cell>
          <cell r="D1290" t="str">
            <v>EA</v>
          </cell>
          <cell r="E1290">
            <v>16</v>
          </cell>
          <cell r="F1290">
            <v>12000</v>
          </cell>
          <cell r="G1290">
            <v>192000</v>
          </cell>
          <cell r="H1290">
            <v>16</v>
          </cell>
          <cell r="I1290">
            <v>12000</v>
          </cell>
          <cell r="J1290">
            <v>192000</v>
          </cell>
          <cell r="M1290">
            <v>192000</v>
          </cell>
          <cell r="N1290">
            <v>0</v>
          </cell>
        </row>
        <row r="1291">
          <cell r="B1291" t="str">
            <v>90 ELBOW ALB2-F304</v>
          </cell>
          <cell r="C1291" t="str">
            <v>1.1/4"</v>
          </cell>
          <cell r="D1291" t="str">
            <v>EA</v>
          </cell>
          <cell r="E1291">
            <v>9</v>
          </cell>
          <cell r="F1291">
            <v>9800</v>
          </cell>
          <cell r="G1291">
            <v>88200</v>
          </cell>
          <cell r="H1291">
            <v>9</v>
          </cell>
          <cell r="I1291">
            <v>9800</v>
          </cell>
          <cell r="J1291">
            <v>88200</v>
          </cell>
          <cell r="M1291">
            <v>88200</v>
          </cell>
          <cell r="N1291">
            <v>0</v>
          </cell>
        </row>
        <row r="1292">
          <cell r="B1292" t="str">
            <v>90 ELBOW ALB2-F304</v>
          </cell>
          <cell r="C1292" t="str">
            <v>1"</v>
          </cell>
          <cell r="D1292" t="str">
            <v>EA</v>
          </cell>
          <cell r="E1292">
            <v>9</v>
          </cell>
          <cell r="F1292">
            <v>12000</v>
          </cell>
          <cell r="G1292">
            <v>108000</v>
          </cell>
          <cell r="H1292">
            <v>9</v>
          </cell>
          <cell r="I1292">
            <v>12000</v>
          </cell>
          <cell r="J1292">
            <v>108000</v>
          </cell>
          <cell r="M1292">
            <v>108000</v>
          </cell>
          <cell r="N1292">
            <v>0</v>
          </cell>
        </row>
        <row r="1293">
          <cell r="B1293" t="str">
            <v>90 ELBOW ALB2-F304</v>
          </cell>
          <cell r="C1293" t="str">
            <v>3/4"</v>
          </cell>
          <cell r="D1293" t="str">
            <v>EA</v>
          </cell>
          <cell r="E1293">
            <v>4</v>
          </cell>
          <cell r="F1293">
            <v>2500</v>
          </cell>
          <cell r="G1293">
            <v>10000</v>
          </cell>
          <cell r="H1293">
            <v>4</v>
          </cell>
          <cell r="I1293">
            <v>2500</v>
          </cell>
          <cell r="J1293">
            <v>10000</v>
          </cell>
          <cell r="M1293">
            <v>10000</v>
          </cell>
          <cell r="N1293">
            <v>0</v>
          </cell>
        </row>
        <row r="1294">
          <cell r="B1294" t="str">
            <v>90 ELBOW ALB2-F304</v>
          </cell>
          <cell r="C1294" t="str">
            <v>1/2"</v>
          </cell>
          <cell r="D1294" t="str">
            <v>EA</v>
          </cell>
          <cell r="E1294">
            <v>76</v>
          </cell>
          <cell r="F1294">
            <v>2100</v>
          </cell>
          <cell r="G1294">
            <v>159600</v>
          </cell>
          <cell r="H1294">
            <v>76</v>
          </cell>
          <cell r="I1294">
            <v>2100</v>
          </cell>
          <cell r="J1294">
            <v>159600</v>
          </cell>
          <cell r="M1294">
            <v>159600</v>
          </cell>
          <cell r="N1294">
            <v>0</v>
          </cell>
        </row>
        <row r="1295">
          <cell r="B1295" t="str">
            <v>TEE A182-F304</v>
          </cell>
          <cell r="C1295" t="str">
            <v>1.1/2x1.1/4"</v>
          </cell>
          <cell r="D1295" t="str">
            <v>EA</v>
          </cell>
          <cell r="E1295">
            <v>1</v>
          </cell>
          <cell r="F1295">
            <v>9200</v>
          </cell>
          <cell r="G1295">
            <v>9200</v>
          </cell>
          <cell r="H1295">
            <v>1</v>
          </cell>
          <cell r="I1295">
            <v>9200</v>
          </cell>
          <cell r="J1295">
            <v>9200</v>
          </cell>
          <cell r="M1295">
            <v>9200</v>
          </cell>
          <cell r="N1295">
            <v>0</v>
          </cell>
        </row>
        <row r="1296">
          <cell r="B1296" t="str">
            <v>TEE A182-F305</v>
          </cell>
          <cell r="C1296" t="str">
            <v>1.1/2x1"</v>
          </cell>
          <cell r="D1296" t="str">
            <v>EA</v>
          </cell>
          <cell r="E1296">
            <v>2</v>
          </cell>
          <cell r="F1296">
            <v>13000</v>
          </cell>
          <cell r="G1296">
            <v>26000</v>
          </cell>
          <cell r="H1296">
            <v>2</v>
          </cell>
          <cell r="I1296">
            <v>13000</v>
          </cell>
          <cell r="J1296">
            <v>26000</v>
          </cell>
          <cell r="M1296">
            <v>26000</v>
          </cell>
          <cell r="N1296">
            <v>0</v>
          </cell>
        </row>
        <row r="1297">
          <cell r="B1297" t="str">
            <v>TEE A182-F306</v>
          </cell>
          <cell r="C1297" t="str">
            <v>1.1/2x1.1/2"</v>
          </cell>
          <cell r="D1297" t="str">
            <v>EA</v>
          </cell>
          <cell r="E1297">
            <v>9</v>
          </cell>
          <cell r="F1297">
            <v>9600</v>
          </cell>
          <cell r="G1297">
            <v>86400</v>
          </cell>
          <cell r="H1297">
            <v>9</v>
          </cell>
          <cell r="I1297">
            <v>9600</v>
          </cell>
          <cell r="J1297">
            <v>86400</v>
          </cell>
          <cell r="M1297">
            <v>86400</v>
          </cell>
          <cell r="N1297">
            <v>0</v>
          </cell>
        </row>
        <row r="1298">
          <cell r="B1298" t="str">
            <v>TEE A182-F307</v>
          </cell>
          <cell r="C1298" t="str">
            <v>1.1/4x1/2"</v>
          </cell>
          <cell r="D1298" t="str">
            <v>EA</v>
          </cell>
          <cell r="E1298">
            <v>12</v>
          </cell>
          <cell r="F1298">
            <v>9200</v>
          </cell>
          <cell r="G1298">
            <v>110400</v>
          </cell>
          <cell r="H1298">
            <v>12</v>
          </cell>
          <cell r="I1298">
            <v>9200</v>
          </cell>
          <cell r="J1298">
            <v>110400</v>
          </cell>
          <cell r="M1298">
            <v>110400</v>
          </cell>
          <cell r="N1298">
            <v>0</v>
          </cell>
        </row>
        <row r="1299">
          <cell r="B1299" t="str">
            <v>TEE A182-F308</v>
          </cell>
          <cell r="C1299" t="str">
            <v>3/4x3/4"</v>
          </cell>
          <cell r="D1299" t="str">
            <v>EA</v>
          </cell>
          <cell r="E1299">
            <v>2</v>
          </cell>
          <cell r="F1299">
            <v>3600</v>
          </cell>
          <cell r="G1299">
            <v>7200</v>
          </cell>
          <cell r="H1299">
            <v>2</v>
          </cell>
          <cell r="I1299">
            <v>3600</v>
          </cell>
          <cell r="J1299">
            <v>7200</v>
          </cell>
          <cell r="M1299">
            <v>7200</v>
          </cell>
          <cell r="N1299">
            <v>0</v>
          </cell>
        </row>
        <row r="1300">
          <cell r="B1300" t="str">
            <v>TEE A182-F309</v>
          </cell>
          <cell r="C1300" t="str">
            <v>3/4x1/2"</v>
          </cell>
          <cell r="D1300" t="str">
            <v>EA</v>
          </cell>
          <cell r="E1300">
            <v>18</v>
          </cell>
          <cell r="F1300">
            <v>3600</v>
          </cell>
          <cell r="G1300">
            <v>64800</v>
          </cell>
          <cell r="H1300">
            <v>18</v>
          </cell>
          <cell r="I1300">
            <v>3600</v>
          </cell>
          <cell r="J1300">
            <v>64800</v>
          </cell>
          <cell r="M1300">
            <v>64800</v>
          </cell>
          <cell r="N1300">
            <v>0</v>
          </cell>
        </row>
        <row r="1301">
          <cell r="B1301" t="str">
            <v>TEE A182-F310</v>
          </cell>
          <cell r="C1301" t="str">
            <v>1.1/4"</v>
          </cell>
          <cell r="D1301" t="str">
            <v>EA</v>
          </cell>
          <cell r="E1301">
            <v>1</v>
          </cell>
          <cell r="F1301">
            <v>9200</v>
          </cell>
          <cell r="G1301">
            <v>9200</v>
          </cell>
          <cell r="H1301">
            <v>1</v>
          </cell>
          <cell r="I1301">
            <v>9200</v>
          </cell>
          <cell r="J1301">
            <v>9200</v>
          </cell>
          <cell r="M1301">
            <v>9200</v>
          </cell>
          <cell r="N1301">
            <v>0</v>
          </cell>
        </row>
        <row r="1302">
          <cell r="B1302" t="str">
            <v>TEE A182-F311</v>
          </cell>
          <cell r="C1302" t="str">
            <v>1"</v>
          </cell>
          <cell r="D1302" t="str">
            <v>EA</v>
          </cell>
          <cell r="E1302">
            <v>2</v>
          </cell>
          <cell r="F1302">
            <v>6800</v>
          </cell>
          <cell r="G1302">
            <v>13600</v>
          </cell>
          <cell r="H1302">
            <v>2</v>
          </cell>
          <cell r="I1302">
            <v>6800</v>
          </cell>
          <cell r="J1302">
            <v>13600</v>
          </cell>
          <cell r="M1302">
            <v>13600</v>
          </cell>
          <cell r="N1302">
            <v>0</v>
          </cell>
        </row>
        <row r="1303">
          <cell r="B1303" t="str">
            <v>TEE A182-F312</v>
          </cell>
          <cell r="C1303" t="str">
            <v>3/4"</v>
          </cell>
          <cell r="D1303" t="str">
            <v>EA</v>
          </cell>
          <cell r="E1303">
            <v>4</v>
          </cell>
          <cell r="F1303">
            <v>3100</v>
          </cell>
          <cell r="G1303">
            <v>12400</v>
          </cell>
          <cell r="H1303">
            <v>4</v>
          </cell>
          <cell r="I1303">
            <v>3100</v>
          </cell>
          <cell r="J1303">
            <v>12400</v>
          </cell>
          <cell r="M1303">
            <v>12400</v>
          </cell>
          <cell r="N1303">
            <v>0</v>
          </cell>
        </row>
        <row r="1304">
          <cell r="B1304" t="str">
            <v>TEE A182-F313</v>
          </cell>
          <cell r="C1304" t="str">
            <v>1/2"</v>
          </cell>
          <cell r="D1304" t="str">
            <v>EA</v>
          </cell>
          <cell r="E1304">
            <v>6</v>
          </cell>
          <cell r="F1304">
            <v>2500</v>
          </cell>
          <cell r="G1304">
            <v>15000</v>
          </cell>
          <cell r="H1304">
            <v>6</v>
          </cell>
          <cell r="I1304">
            <v>2500</v>
          </cell>
          <cell r="J1304">
            <v>15000</v>
          </cell>
          <cell r="M1304">
            <v>15000</v>
          </cell>
          <cell r="N1304">
            <v>0</v>
          </cell>
        </row>
        <row r="1305">
          <cell r="B1305" t="str">
            <v>REDUCER A182-F304</v>
          </cell>
          <cell r="C1305" t="str">
            <v>1.1/2x1.1/4"</v>
          </cell>
          <cell r="D1305" t="str">
            <v>EA</v>
          </cell>
          <cell r="E1305">
            <v>2</v>
          </cell>
          <cell r="F1305">
            <v>8000</v>
          </cell>
          <cell r="G1305">
            <v>16000</v>
          </cell>
          <cell r="H1305">
            <v>2</v>
          </cell>
          <cell r="I1305">
            <v>8000</v>
          </cell>
          <cell r="J1305">
            <v>16000</v>
          </cell>
          <cell r="M1305">
            <v>16000</v>
          </cell>
          <cell r="N1305">
            <v>0</v>
          </cell>
        </row>
        <row r="1306">
          <cell r="B1306" t="str">
            <v>REDUCER A182-F304</v>
          </cell>
          <cell r="C1306" t="str">
            <v>1x3/4"</v>
          </cell>
          <cell r="D1306" t="str">
            <v>EA</v>
          </cell>
          <cell r="E1306">
            <v>2</v>
          </cell>
          <cell r="F1306">
            <v>7000</v>
          </cell>
          <cell r="G1306">
            <v>14000</v>
          </cell>
          <cell r="H1306">
            <v>2</v>
          </cell>
          <cell r="I1306">
            <v>7000</v>
          </cell>
          <cell r="J1306">
            <v>14000</v>
          </cell>
          <cell r="M1306">
            <v>14000</v>
          </cell>
          <cell r="N1306">
            <v>0</v>
          </cell>
        </row>
        <row r="1307">
          <cell r="B1307" t="str">
            <v>UNION A182-F3O4</v>
          </cell>
          <cell r="C1307" t="str">
            <v>1.1/2"</v>
          </cell>
          <cell r="D1307" t="str">
            <v>EA</v>
          </cell>
          <cell r="E1307">
            <v>4</v>
          </cell>
          <cell r="F1307">
            <v>13000</v>
          </cell>
          <cell r="G1307">
            <v>52000</v>
          </cell>
          <cell r="H1307">
            <v>4</v>
          </cell>
          <cell r="I1307">
            <v>13000</v>
          </cell>
          <cell r="J1307">
            <v>52000</v>
          </cell>
          <cell r="M1307">
            <v>52000</v>
          </cell>
          <cell r="N1307">
            <v>0</v>
          </cell>
        </row>
        <row r="1308">
          <cell r="B1308" t="str">
            <v>UNION A182-F3O4</v>
          </cell>
          <cell r="C1308" t="str">
            <v>1.1/4"</v>
          </cell>
          <cell r="D1308" t="str">
            <v>EA</v>
          </cell>
          <cell r="E1308">
            <v>3</v>
          </cell>
          <cell r="F1308">
            <v>12000</v>
          </cell>
          <cell r="G1308">
            <v>36000</v>
          </cell>
          <cell r="H1308">
            <v>3</v>
          </cell>
          <cell r="I1308">
            <v>12000</v>
          </cell>
          <cell r="J1308">
            <v>36000</v>
          </cell>
          <cell r="M1308">
            <v>36000</v>
          </cell>
          <cell r="N1308">
            <v>0</v>
          </cell>
        </row>
        <row r="1309">
          <cell r="B1309" t="str">
            <v>UNION A182-F3O4</v>
          </cell>
          <cell r="C1309" t="str">
            <v>1"</v>
          </cell>
          <cell r="D1309" t="str">
            <v>EA</v>
          </cell>
          <cell r="E1309">
            <v>1</v>
          </cell>
          <cell r="F1309">
            <v>9000</v>
          </cell>
          <cell r="G1309">
            <v>9000</v>
          </cell>
          <cell r="H1309">
            <v>1</v>
          </cell>
          <cell r="I1309">
            <v>9000</v>
          </cell>
          <cell r="J1309">
            <v>9000</v>
          </cell>
          <cell r="M1309">
            <v>9000</v>
          </cell>
          <cell r="N1309">
            <v>0</v>
          </cell>
        </row>
        <row r="1310">
          <cell r="B1310" t="str">
            <v>UNION A182-F3O4</v>
          </cell>
          <cell r="C1310" t="str">
            <v>3/4"</v>
          </cell>
          <cell r="D1310" t="str">
            <v>EA</v>
          </cell>
          <cell r="E1310">
            <v>4</v>
          </cell>
          <cell r="F1310">
            <v>8000</v>
          </cell>
          <cell r="G1310">
            <v>32000</v>
          </cell>
          <cell r="H1310">
            <v>4</v>
          </cell>
          <cell r="I1310">
            <v>8000</v>
          </cell>
          <cell r="J1310">
            <v>32000</v>
          </cell>
          <cell r="M1310">
            <v>32000</v>
          </cell>
          <cell r="N1310">
            <v>0</v>
          </cell>
        </row>
        <row r="1311">
          <cell r="B1311" t="str">
            <v>Y-T PIPE PVC</v>
          </cell>
          <cell r="C1311" t="str">
            <v>3"</v>
          </cell>
          <cell r="D1311" t="str">
            <v>EA</v>
          </cell>
          <cell r="E1311">
            <v>2</v>
          </cell>
          <cell r="F1311">
            <v>2000</v>
          </cell>
          <cell r="G1311">
            <v>4000</v>
          </cell>
          <cell r="H1311">
            <v>2</v>
          </cell>
          <cell r="I1311">
            <v>2000</v>
          </cell>
          <cell r="J1311">
            <v>4000</v>
          </cell>
          <cell r="M1311">
            <v>4000</v>
          </cell>
          <cell r="N1311">
            <v>0</v>
          </cell>
        </row>
        <row r="1312">
          <cell r="B1312" t="str">
            <v>F.C.D PVC</v>
          </cell>
          <cell r="C1312" t="str">
            <v>3"</v>
          </cell>
          <cell r="D1312" t="str">
            <v>EA</v>
          </cell>
          <cell r="E1312">
            <v>1</v>
          </cell>
          <cell r="F1312">
            <v>1500</v>
          </cell>
          <cell r="G1312">
            <v>1500</v>
          </cell>
          <cell r="H1312">
            <v>1</v>
          </cell>
          <cell r="I1312">
            <v>1500</v>
          </cell>
          <cell r="J1312">
            <v>1500</v>
          </cell>
          <cell r="M1312">
            <v>1500</v>
          </cell>
          <cell r="N1312">
            <v>0</v>
          </cell>
        </row>
        <row r="1313">
          <cell r="B1313" t="str">
            <v>F.D PVC</v>
          </cell>
          <cell r="C1313" t="str">
            <v>3"</v>
          </cell>
          <cell r="D1313" t="str">
            <v>EA</v>
          </cell>
          <cell r="E1313">
            <v>2</v>
          </cell>
          <cell r="F1313">
            <v>1500</v>
          </cell>
          <cell r="G1313">
            <v>3000</v>
          </cell>
          <cell r="H1313">
            <v>2</v>
          </cell>
          <cell r="I1313">
            <v>1500</v>
          </cell>
          <cell r="J1313">
            <v>3000</v>
          </cell>
          <cell r="M1313">
            <v>3000</v>
          </cell>
          <cell r="N1313">
            <v>0</v>
          </cell>
        </row>
        <row r="1314">
          <cell r="B1314" t="str">
            <v>P-TRAP</v>
          </cell>
          <cell r="D1314" t="str">
            <v>EA</v>
          </cell>
          <cell r="E1314">
            <v>2</v>
          </cell>
          <cell r="F1314">
            <v>1500</v>
          </cell>
          <cell r="G1314">
            <v>3000</v>
          </cell>
          <cell r="H1314">
            <v>2</v>
          </cell>
          <cell r="I1314">
            <v>1500</v>
          </cell>
          <cell r="J1314">
            <v>3000</v>
          </cell>
          <cell r="M1314">
            <v>3000</v>
          </cell>
          <cell r="N1314">
            <v>0</v>
          </cell>
        </row>
        <row r="1315">
          <cell r="B1315" t="str">
            <v>INSULATION</v>
          </cell>
          <cell r="C1315" t="str">
            <v>1.1/2"</v>
          </cell>
          <cell r="D1315" t="str">
            <v>M</v>
          </cell>
          <cell r="E1315">
            <v>50</v>
          </cell>
          <cell r="F1315">
            <v>5000</v>
          </cell>
          <cell r="G1315">
            <v>250000</v>
          </cell>
          <cell r="H1315">
            <v>50</v>
          </cell>
          <cell r="I1315">
            <v>5000</v>
          </cell>
          <cell r="J1315">
            <v>250000</v>
          </cell>
          <cell r="M1315">
            <v>250000</v>
          </cell>
          <cell r="N1315">
            <v>0</v>
          </cell>
        </row>
        <row r="1316">
          <cell r="B1316" t="str">
            <v>INSULATION</v>
          </cell>
          <cell r="C1316" t="str">
            <v>1.1/4"</v>
          </cell>
          <cell r="D1316" t="str">
            <v>M</v>
          </cell>
          <cell r="E1316">
            <v>35</v>
          </cell>
          <cell r="F1316">
            <v>5000</v>
          </cell>
          <cell r="G1316">
            <v>175000</v>
          </cell>
          <cell r="H1316">
            <v>35</v>
          </cell>
          <cell r="I1316">
            <v>5000</v>
          </cell>
          <cell r="J1316">
            <v>175000</v>
          </cell>
          <cell r="M1316">
            <v>175000</v>
          </cell>
          <cell r="N1316">
            <v>0</v>
          </cell>
        </row>
        <row r="1317">
          <cell r="B1317" t="str">
            <v>INSULATION</v>
          </cell>
          <cell r="C1317" t="str">
            <v>1"</v>
          </cell>
          <cell r="D1317" t="str">
            <v>M</v>
          </cell>
          <cell r="E1317">
            <v>17</v>
          </cell>
          <cell r="F1317">
            <v>5000</v>
          </cell>
          <cell r="G1317">
            <v>85000</v>
          </cell>
          <cell r="H1317">
            <v>17</v>
          </cell>
          <cell r="I1317">
            <v>5000</v>
          </cell>
          <cell r="J1317">
            <v>85000</v>
          </cell>
          <cell r="M1317">
            <v>85000</v>
          </cell>
          <cell r="N1317">
            <v>0</v>
          </cell>
        </row>
        <row r="1318">
          <cell r="B1318" t="str">
            <v>INSULATION</v>
          </cell>
          <cell r="C1318" t="str">
            <v>3/4"</v>
          </cell>
          <cell r="D1318" t="str">
            <v>M</v>
          </cell>
          <cell r="E1318">
            <v>42</v>
          </cell>
          <cell r="F1318">
            <v>5000</v>
          </cell>
          <cell r="G1318">
            <v>210000</v>
          </cell>
          <cell r="H1318">
            <v>42</v>
          </cell>
          <cell r="I1318">
            <v>5000</v>
          </cell>
          <cell r="J1318">
            <v>210000</v>
          </cell>
          <cell r="M1318">
            <v>210000</v>
          </cell>
          <cell r="N1318">
            <v>0</v>
          </cell>
        </row>
        <row r="1319">
          <cell r="B1319" t="str">
            <v>INSULATION</v>
          </cell>
          <cell r="C1319" t="str">
            <v>1/2"</v>
          </cell>
          <cell r="D1319" t="str">
            <v>M</v>
          </cell>
          <cell r="E1319">
            <v>89</v>
          </cell>
          <cell r="F1319">
            <v>5000</v>
          </cell>
          <cell r="G1319">
            <v>445000</v>
          </cell>
          <cell r="H1319">
            <v>89</v>
          </cell>
          <cell r="I1319">
            <v>5000</v>
          </cell>
          <cell r="J1319">
            <v>445000</v>
          </cell>
          <cell r="M1319">
            <v>445000</v>
          </cell>
          <cell r="N1319">
            <v>0</v>
          </cell>
        </row>
        <row r="1320">
          <cell r="B1320" t="str">
            <v>보루지</v>
          </cell>
          <cell r="D1320" t="str">
            <v>EA</v>
          </cell>
          <cell r="E1320">
            <v>75</v>
          </cell>
          <cell r="F1320">
            <v>1000</v>
          </cell>
          <cell r="G1320">
            <v>75000</v>
          </cell>
          <cell r="H1320">
            <v>75</v>
          </cell>
          <cell r="I1320">
            <v>1000</v>
          </cell>
          <cell r="J1320">
            <v>75000</v>
          </cell>
          <cell r="M1320">
            <v>75000</v>
          </cell>
          <cell r="N1320">
            <v>0</v>
          </cell>
        </row>
        <row r="1321">
          <cell r="B1321" t="str">
            <v>폴리머 테이프</v>
          </cell>
          <cell r="D1321" t="str">
            <v>EA</v>
          </cell>
          <cell r="E1321">
            <v>75</v>
          </cell>
          <cell r="F1321">
            <v>750</v>
          </cell>
          <cell r="G1321">
            <v>56250</v>
          </cell>
          <cell r="H1321">
            <v>75</v>
          </cell>
          <cell r="I1321">
            <v>750</v>
          </cell>
          <cell r="J1321">
            <v>56250</v>
          </cell>
          <cell r="M1321">
            <v>56250</v>
          </cell>
          <cell r="N1321">
            <v>0</v>
          </cell>
        </row>
        <row r="1322">
          <cell r="B1322" t="str">
            <v>AL-BAND</v>
          </cell>
          <cell r="D1322" t="str">
            <v>EA</v>
          </cell>
          <cell r="E1322">
            <v>200</v>
          </cell>
          <cell r="F1322">
            <v>100</v>
          </cell>
          <cell r="G1322">
            <v>20000</v>
          </cell>
          <cell r="H1322">
            <v>200</v>
          </cell>
          <cell r="I1322">
            <v>100</v>
          </cell>
          <cell r="J1322">
            <v>20000</v>
          </cell>
          <cell r="M1322">
            <v>20000</v>
          </cell>
          <cell r="N1322">
            <v>0</v>
          </cell>
        </row>
        <row r="1323">
          <cell r="B1323" t="str">
            <v>GATE VALVE</v>
          </cell>
          <cell r="C1323" t="str">
            <v>2"</v>
          </cell>
          <cell r="D1323" t="str">
            <v>EA</v>
          </cell>
          <cell r="E1323">
            <v>4</v>
          </cell>
          <cell r="F1323">
            <v>69900</v>
          </cell>
          <cell r="G1323">
            <v>279600</v>
          </cell>
          <cell r="H1323">
            <v>4</v>
          </cell>
          <cell r="I1323">
            <v>69900</v>
          </cell>
          <cell r="J1323">
            <v>279600</v>
          </cell>
          <cell r="M1323">
            <v>279600</v>
          </cell>
          <cell r="N1323">
            <v>0</v>
          </cell>
        </row>
        <row r="1324">
          <cell r="B1324" t="str">
            <v>GATE VALVE</v>
          </cell>
          <cell r="C1324" t="str">
            <v>1.1/2"</v>
          </cell>
          <cell r="D1324" t="str">
            <v>EA</v>
          </cell>
          <cell r="E1324">
            <v>1</v>
          </cell>
          <cell r="F1324">
            <v>54100</v>
          </cell>
          <cell r="G1324">
            <v>54100</v>
          </cell>
          <cell r="H1324">
            <v>1</v>
          </cell>
          <cell r="I1324">
            <v>54100</v>
          </cell>
          <cell r="J1324">
            <v>54100</v>
          </cell>
          <cell r="M1324">
            <v>54100</v>
          </cell>
          <cell r="N1324">
            <v>0</v>
          </cell>
        </row>
        <row r="1325">
          <cell r="B1325" t="str">
            <v>CHECK VALVE</v>
          </cell>
          <cell r="C1325" t="str">
            <v>3/4"</v>
          </cell>
          <cell r="D1325" t="str">
            <v>EA</v>
          </cell>
          <cell r="E1325">
            <v>1</v>
          </cell>
          <cell r="F1325">
            <v>2700</v>
          </cell>
          <cell r="G1325">
            <v>2700</v>
          </cell>
          <cell r="H1325">
            <v>1</v>
          </cell>
          <cell r="I1325">
            <v>2700</v>
          </cell>
          <cell r="J1325">
            <v>2700</v>
          </cell>
          <cell r="M1325">
            <v>2700</v>
          </cell>
          <cell r="N1325">
            <v>0</v>
          </cell>
        </row>
        <row r="1326">
          <cell r="B1326" t="str">
            <v>3-WAY CONTROL VALVE</v>
          </cell>
          <cell r="D1326" t="str">
            <v>EA</v>
          </cell>
          <cell r="E1326">
            <v>1</v>
          </cell>
          <cell r="F1326">
            <v>500000</v>
          </cell>
          <cell r="G1326">
            <v>500000</v>
          </cell>
          <cell r="H1326">
            <v>1</v>
          </cell>
          <cell r="I1326">
            <v>500000</v>
          </cell>
          <cell r="J1326">
            <v>500000</v>
          </cell>
          <cell r="M1326">
            <v>500000</v>
          </cell>
          <cell r="N1326">
            <v>0</v>
          </cell>
        </row>
        <row r="1328">
          <cell r="B1328" t="str">
            <v>SUB-TOTAL</v>
          </cell>
          <cell r="G1328">
            <v>4186950</v>
          </cell>
          <cell r="J1328">
            <v>4186950</v>
          </cell>
          <cell r="M1328">
            <v>4186950</v>
          </cell>
          <cell r="N1328">
            <v>0</v>
          </cell>
        </row>
        <row r="1330">
          <cell r="A1330" t="str">
            <v xml:space="preserve">  4)</v>
          </cell>
          <cell r="B1330" t="str">
            <v>노무비</v>
          </cell>
          <cell r="D1330" t="str">
            <v>M/D</v>
          </cell>
          <cell r="E1330">
            <v>75</v>
          </cell>
          <cell r="F1330">
            <v>85000</v>
          </cell>
          <cell r="G1330">
            <v>6375000</v>
          </cell>
          <cell r="H1330">
            <v>75</v>
          </cell>
          <cell r="I1330">
            <v>85000</v>
          </cell>
          <cell r="J1330">
            <v>6375000</v>
          </cell>
          <cell r="M1330">
            <v>0</v>
          </cell>
          <cell r="N1330">
            <v>6375000</v>
          </cell>
        </row>
        <row r="1332">
          <cell r="B1332" t="str">
            <v>T O T A L</v>
          </cell>
          <cell r="G1332">
            <v>15869950</v>
          </cell>
          <cell r="J1332">
            <v>15869950</v>
          </cell>
          <cell r="M1332">
            <v>9494950</v>
          </cell>
          <cell r="N1332">
            <v>6375000</v>
          </cell>
        </row>
        <row r="1354">
          <cell r="A1354" t="str">
            <v xml:space="preserve"> 14.</v>
          </cell>
          <cell r="B1354" t="str">
            <v>TEMPORARY WORK</v>
          </cell>
        </row>
        <row r="1355">
          <cell r="B1355" t="str">
            <v>현장유지비(자재운반,출퇴근차량 외)</v>
          </cell>
          <cell r="D1355" t="str">
            <v>LOT</v>
          </cell>
          <cell r="E1355">
            <v>1</v>
          </cell>
          <cell r="G1355">
            <v>10000000</v>
          </cell>
          <cell r="H1355">
            <v>1</v>
          </cell>
          <cell r="J1355">
            <v>10000000</v>
          </cell>
          <cell r="M1355">
            <v>10000000</v>
          </cell>
          <cell r="N1355">
            <v>0</v>
          </cell>
        </row>
        <row r="1356">
          <cell r="B1356" t="str">
            <v>측량비</v>
          </cell>
          <cell r="D1356" t="str">
            <v>LOT</v>
          </cell>
          <cell r="E1356">
            <v>1</v>
          </cell>
          <cell r="G1356">
            <v>15000000</v>
          </cell>
          <cell r="H1356">
            <v>1</v>
          </cell>
          <cell r="J1356">
            <v>15000000</v>
          </cell>
          <cell r="M1356">
            <v>0</v>
          </cell>
          <cell r="N1356">
            <v>15000000</v>
          </cell>
        </row>
        <row r="1357">
          <cell r="B1357" t="str">
            <v>양수작업 및 도로청소</v>
          </cell>
          <cell r="D1357" t="str">
            <v>LOT</v>
          </cell>
          <cell r="E1357">
            <v>1</v>
          </cell>
          <cell r="G1357">
            <v>4293708</v>
          </cell>
          <cell r="H1357">
            <v>1</v>
          </cell>
          <cell r="J1357">
            <v>4293708</v>
          </cell>
          <cell r="M1357">
            <v>0</v>
          </cell>
          <cell r="N1357">
            <v>4293708</v>
          </cell>
        </row>
        <row r="1358">
          <cell r="B1358" t="str">
            <v>사용자배상책임보험 및 현장경비</v>
          </cell>
          <cell r="D1358" t="str">
            <v>LOT</v>
          </cell>
          <cell r="E1358">
            <v>1</v>
          </cell>
          <cell r="G1358">
            <v>28000000</v>
          </cell>
          <cell r="H1358">
            <v>1</v>
          </cell>
          <cell r="J1358">
            <v>28000000</v>
          </cell>
          <cell r="M1358">
            <v>28000000</v>
          </cell>
          <cell r="N1358">
            <v>0</v>
          </cell>
        </row>
        <row r="1360">
          <cell r="B1360" t="str">
            <v>T O T A L</v>
          </cell>
          <cell r="F1360">
            <v>0</v>
          </cell>
          <cell r="G1360">
            <v>57293708</v>
          </cell>
          <cell r="I1360">
            <v>0</v>
          </cell>
          <cell r="J1360">
            <v>57293708</v>
          </cell>
          <cell r="M1360">
            <v>38000000</v>
          </cell>
          <cell r="N1360">
            <v>19293708</v>
          </cell>
        </row>
      </sheetData>
      <sheetData sheetId="1" refreshError="1">
        <row r="1">
          <cell r="C1">
            <v>3</v>
          </cell>
        </row>
        <row r="9">
          <cell r="A9" t="str">
            <v xml:space="preserve">   YDR-4 PROJECT 토목 및 건축공사 현장관리비 (공사기간 : '97. 6. 1 - '97. 8. 31)</v>
          </cell>
        </row>
        <row r="11">
          <cell r="A11" t="str">
            <v xml:space="preserve"> 1. 급여 및 퇴직금</v>
          </cell>
          <cell r="C11" t="str">
            <v>식</v>
          </cell>
          <cell r="D11">
            <v>1</v>
          </cell>
          <cell r="F11">
            <v>33495727</v>
          </cell>
        </row>
        <row r="12">
          <cell r="A12" t="str">
            <v xml:space="preserve"> 2. 보험료 및 연금</v>
          </cell>
          <cell r="C12" t="str">
            <v>식</v>
          </cell>
          <cell r="D12">
            <v>1</v>
          </cell>
          <cell r="F12">
            <v>6327568</v>
          </cell>
        </row>
        <row r="13">
          <cell r="A13" t="str">
            <v xml:space="preserve"> 3. 산재보험료 및 공과금</v>
          </cell>
          <cell r="C13" t="str">
            <v>식</v>
          </cell>
          <cell r="D13">
            <v>1</v>
          </cell>
          <cell r="F13">
            <v>446642</v>
          </cell>
        </row>
        <row r="14">
          <cell r="A14" t="str">
            <v xml:space="preserve"> 4. 복리후생비 및 제경비</v>
          </cell>
          <cell r="C14" t="str">
            <v>식</v>
          </cell>
          <cell r="D14">
            <v>1</v>
          </cell>
          <cell r="F14">
            <v>21407620</v>
          </cell>
        </row>
        <row r="15">
          <cell r="A15" t="str">
            <v xml:space="preserve"> 5. 통신,전력,상하수도료</v>
          </cell>
          <cell r="C15" t="str">
            <v>식</v>
          </cell>
          <cell r="D15">
            <v>1</v>
          </cell>
          <cell r="F15">
            <v>3270000</v>
          </cell>
        </row>
        <row r="16">
          <cell r="A16" t="str">
            <v xml:space="preserve"> 6. 차량임차,비품,사무기기비</v>
          </cell>
          <cell r="C16" t="str">
            <v>식</v>
          </cell>
          <cell r="D16">
            <v>1</v>
          </cell>
          <cell r="F16">
            <v>6643000</v>
          </cell>
        </row>
        <row r="17">
          <cell r="A17" t="str">
            <v xml:space="preserve"> 7. 기타 비용</v>
          </cell>
          <cell r="C17" t="str">
            <v>식</v>
          </cell>
          <cell r="D17">
            <v>1</v>
          </cell>
          <cell r="F17">
            <v>1999443</v>
          </cell>
        </row>
        <row r="19">
          <cell r="A19" t="str">
            <v>계</v>
          </cell>
          <cell r="F19">
            <v>73590000</v>
          </cell>
        </row>
        <row r="40">
          <cell r="A40" t="str">
            <v xml:space="preserve"> 1. 급여 및 퇴직금</v>
          </cell>
        </row>
        <row r="42">
          <cell r="A42" t="str">
            <v xml:space="preserve"> 1-1) 정 직 급 여</v>
          </cell>
          <cell r="H42" t="str">
            <v>기본급여</v>
          </cell>
          <cell r="I42" t="str">
            <v>자격수당</v>
          </cell>
          <cell r="J42" t="str">
            <v>현장수당</v>
          </cell>
          <cell r="K42" t="str">
            <v>가족수당</v>
          </cell>
          <cell r="L42" t="str">
            <v>직책/월차</v>
          </cell>
        </row>
        <row r="43">
          <cell r="A43" t="str">
            <v xml:space="preserve">      소  장 (차장24호봉)</v>
          </cell>
          <cell r="C43" t="str">
            <v>개월</v>
          </cell>
          <cell r="D43">
            <v>3</v>
          </cell>
          <cell r="E43">
            <v>2257580</v>
          </cell>
          <cell r="F43">
            <v>6772740</v>
          </cell>
          <cell r="G43" t="str">
            <v>(</v>
          </cell>
          <cell r="H43">
            <v>1642000</v>
          </cell>
          <cell r="I43">
            <v>0</v>
          </cell>
          <cell r="J43">
            <v>406550</v>
          </cell>
          <cell r="K43">
            <v>45000</v>
          </cell>
          <cell r="L43">
            <v>164030</v>
          </cell>
        </row>
        <row r="44">
          <cell r="A44" t="str">
            <v xml:space="preserve">      안  전 (과장16호봉)</v>
          </cell>
          <cell r="C44" t="str">
            <v>개월</v>
          </cell>
          <cell r="D44">
            <v>3</v>
          </cell>
          <cell r="E44" t="str">
            <v xml:space="preserve">       ※ 안전관리비에 계상</v>
          </cell>
          <cell r="G44" t="str">
            <v>(</v>
          </cell>
          <cell r="H44">
            <v>1509000</v>
          </cell>
          <cell r="I44">
            <v>0</v>
          </cell>
          <cell r="J44">
            <v>355800</v>
          </cell>
          <cell r="K44">
            <v>45000</v>
          </cell>
          <cell r="L44">
            <v>58850</v>
          </cell>
          <cell r="P44">
            <v>5905950</v>
          </cell>
          <cell r="S44">
            <v>2452125</v>
          </cell>
        </row>
        <row r="45">
          <cell r="A45" t="str">
            <v xml:space="preserve">      토  목 (대리20호봉)</v>
          </cell>
          <cell r="C45" t="str">
            <v>개월</v>
          </cell>
          <cell r="D45">
            <v>3</v>
          </cell>
          <cell r="E45">
            <v>1604960</v>
          </cell>
          <cell r="F45">
            <v>4814880</v>
          </cell>
          <cell r="G45" t="str">
            <v>(</v>
          </cell>
          <cell r="H45">
            <v>1167000</v>
          </cell>
          <cell r="I45">
            <v>50000</v>
          </cell>
          <cell r="J45">
            <v>297450</v>
          </cell>
          <cell r="K45">
            <v>45000</v>
          </cell>
          <cell r="L45">
            <v>45510</v>
          </cell>
        </row>
        <row r="46">
          <cell r="A46" t="str">
            <v xml:space="preserve">      공  무 (사원21호봉)</v>
          </cell>
          <cell r="C46" t="str">
            <v>개월</v>
          </cell>
          <cell r="D46">
            <v>3</v>
          </cell>
          <cell r="E46">
            <v>1117900</v>
          </cell>
          <cell r="F46">
            <v>3353700</v>
          </cell>
          <cell r="G46" t="str">
            <v>(</v>
          </cell>
          <cell r="H46">
            <v>878000</v>
          </cell>
          <cell r="I46">
            <v>0</v>
          </cell>
          <cell r="J46">
            <v>205660</v>
          </cell>
          <cell r="K46">
            <v>0</v>
          </cell>
          <cell r="L46">
            <v>34240</v>
          </cell>
        </row>
        <row r="47">
          <cell r="A47" t="str">
            <v xml:space="preserve">      상  여  금</v>
          </cell>
          <cell r="C47" t="str">
            <v>식</v>
          </cell>
          <cell r="D47">
            <v>1</v>
          </cell>
          <cell r="F47">
            <v>5991375</v>
          </cell>
          <cell r="G47" t="str">
            <v>(</v>
          </cell>
          <cell r="H47" t="str">
            <v>기본급여 ×</v>
          </cell>
          <cell r="I47">
            <v>6.5</v>
          </cell>
          <cell r="J47">
            <v>12</v>
          </cell>
          <cell r="K47" t="str">
            <v>근무기간 )</v>
          </cell>
        </row>
        <row r="49">
          <cell r="A49" t="str">
            <v>소    계</v>
          </cell>
          <cell r="F49">
            <v>14159955</v>
          </cell>
        </row>
        <row r="51">
          <cell r="A51" t="str">
            <v xml:space="preserve"> 1-2) 임 직 급 여</v>
          </cell>
        </row>
        <row r="52">
          <cell r="A52" t="str">
            <v xml:space="preserve">      십  장 (22호)</v>
          </cell>
          <cell r="C52" t="str">
            <v>개월</v>
          </cell>
          <cell r="D52">
            <v>3</v>
          </cell>
          <cell r="E52">
            <v>1259000</v>
          </cell>
          <cell r="F52">
            <v>3777000</v>
          </cell>
        </row>
        <row r="53">
          <cell r="A53" t="str">
            <v xml:space="preserve">      기사보 ( 3호)</v>
          </cell>
          <cell r="C53" t="str">
            <v>개월</v>
          </cell>
          <cell r="D53">
            <v>3</v>
          </cell>
          <cell r="E53">
            <v>777000</v>
          </cell>
          <cell r="F53">
            <v>2331000</v>
          </cell>
        </row>
        <row r="54">
          <cell r="A54" t="str">
            <v xml:space="preserve">      자재보 ( 3호)</v>
          </cell>
          <cell r="C54" t="str">
            <v>개월</v>
          </cell>
          <cell r="D54">
            <v>3</v>
          </cell>
          <cell r="E54">
            <v>635000</v>
          </cell>
          <cell r="F54">
            <v>1905000</v>
          </cell>
        </row>
        <row r="55">
          <cell r="A55" t="str">
            <v xml:space="preserve">      여직원 ( 2호)</v>
          </cell>
          <cell r="C55" t="str">
            <v>개월</v>
          </cell>
          <cell r="D55">
            <v>3</v>
          </cell>
          <cell r="E55">
            <v>519000</v>
          </cell>
          <cell r="F55">
            <v>1557000</v>
          </cell>
        </row>
        <row r="56">
          <cell r="A56" t="str">
            <v xml:space="preserve">      여직원 ( 1호)</v>
          </cell>
          <cell r="C56" t="str">
            <v>개월</v>
          </cell>
          <cell r="D56">
            <v>3</v>
          </cell>
          <cell r="E56">
            <v>501000</v>
          </cell>
          <cell r="F56">
            <v>1503000</v>
          </cell>
        </row>
        <row r="57">
          <cell r="A57" t="str">
            <v xml:space="preserve">      상  여  금</v>
          </cell>
          <cell r="C57" t="str">
            <v>식</v>
          </cell>
          <cell r="D57">
            <v>1</v>
          </cell>
          <cell r="F57">
            <v>3229625</v>
          </cell>
          <cell r="G57" t="str">
            <v>(</v>
          </cell>
          <cell r="H57" t="str">
            <v>급여총액 ×</v>
          </cell>
          <cell r="I57">
            <v>3.5</v>
          </cell>
          <cell r="J57">
            <v>12</v>
          </cell>
          <cell r="K57" t="str">
            <v>근무기간 )</v>
          </cell>
        </row>
        <row r="59">
          <cell r="A59" t="str">
            <v>소    계</v>
          </cell>
          <cell r="F59">
            <v>14302625</v>
          </cell>
        </row>
        <row r="61">
          <cell r="A61" t="str">
            <v xml:space="preserve"> 1-3) 퇴직급여충당금</v>
          </cell>
          <cell r="C61" t="str">
            <v>식</v>
          </cell>
          <cell r="D61">
            <v>1</v>
          </cell>
          <cell r="F61">
            <v>5033147</v>
          </cell>
          <cell r="G61" t="str">
            <v>(</v>
          </cell>
          <cell r="H61" t="str">
            <v>정직총급여  ×</v>
          </cell>
          <cell r="I61">
            <v>0.16</v>
          </cell>
          <cell r="J61" t="str">
            <v>임직총급여</v>
          </cell>
          <cell r="K61">
            <v>0.1</v>
          </cell>
        </row>
        <row r="63">
          <cell r="A63" t="str">
            <v>계</v>
          </cell>
          <cell r="F63">
            <v>33495727</v>
          </cell>
        </row>
        <row r="66">
          <cell r="A66" t="str">
            <v xml:space="preserve"> 2. 보험료 및 연금</v>
          </cell>
        </row>
        <row r="68">
          <cell r="A68" t="str">
            <v xml:space="preserve"> 2-1) 고용보험료</v>
          </cell>
          <cell r="C68" t="str">
            <v>식</v>
          </cell>
          <cell r="D68">
            <v>1</v>
          </cell>
          <cell r="F68">
            <v>1914644</v>
          </cell>
          <cell r="G68" t="str">
            <v>(</v>
          </cell>
          <cell r="H68" t="str">
            <v>직원총급여 ＋</v>
          </cell>
          <cell r="I68" t="str">
            <v>직영노무비</v>
          </cell>
          <cell r="J68">
            <v>0.5</v>
          </cell>
          <cell r="K68">
            <v>5.4999999999999997E-3</v>
          </cell>
          <cell r="L68" t="str">
            <v>＋</v>
          </cell>
        </row>
        <row r="69">
          <cell r="G69" t="str">
            <v>(</v>
          </cell>
          <cell r="H69" t="str">
            <v>직영노무비 ×</v>
          </cell>
          <cell r="I69">
            <v>0.5</v>
          </cell>
          <cell r="J69" t="str">
            <v>외주인건비)</v>
          </cell>
          <cell r="K69">
            <v>2.5000000000000001E-3</v>
          </cell>
        </row>
        <row r="70">
          <cell r="A70" t="str">
            <v xml:space="preserve"> 2-2) 의료보험료</v>
          </cell>
          <cell r="C70" t="str">
            <v>식</v>
          </cell>
          <cell r="D70">
            <v>1</v>
          </cell>
          <cell r="F70">
            <v>413994</v>
          </cell>
          <cell r="G70" t="str">
            <v>(</v>
          </cell>
          <cell r="H70" t="str">
            <v>직원총급여 ×</v>
          </cell>
          <cell r="I70">
            <v>1.4999999999999999E-2</v>
          </cell>
          <cell r="J70" t="str">
            <v>* 상여금 제외</v>
          </cell>
        </row>
        <row r="72">
          <cell r="A72" t="str">
            <v xml:space="preserve"> 2-3) 국민  연금</v>
          </cell>
          <cell r="C72" t="str">
            <v>식</v>
          </cell>
          <cell r="D72">
            <v>1</v>
          </cell>
          <cell r="F72">
            <v>98880</v>
          </cell>
          <cell r="G72" t="str">
            <v>(</v>
          </cell>
          <cell r="H72" t="str">
            <v>직원총급여 ×</v>
          </cell>
          <cell r="I72">
            <v>0.02</v>
          </cell>
          <cell r="J72" t="str">
            <v>* 제수당 및 상여금 제외</v>
          </cell>
        </row>
        <row r="74">
          <cell r="A74" t="str">
            <v xml:space="preserve"> 2-4) 직업훈련분담금</v>
          </cell>
          <cell r="C74" t="str">
            <v>식</v>
          </cell>
          <cell r="D74">
            <v>1</v>
          </cell>
          <cell r="F74">
            <v>3900050</v>
          </cell>
          <cell r="G74" t="str">
            <v>(</v>
          </cell>
          <cell r="H74" t="str">
            <v>총공사금액 ×</v>
          </cell>
          <cell r="I74" t="str">
            <v>노무비율 ×</v>
          </cell>
          <cell r="J74" t="str">
            <v>훈련비율 )</v>
          </cell>
          <cell r="K74" t="str">
            <v>* 훈련비율 :</v>
          </cell>
          <cell r="L74">
            <v>1.013E-2</v>
          </cell>
        </row>
        <row r="76">
          <cell r="A76" t="str">
            <v>계</v>
          </cell>
          <cell r="F76">
            <v>6327568</v>
          </cell>
        </row>
        <row r="79">
          <cell r="A79" t="str">
            <v xml:space="preserve"> 3. 산재보험료 및 공과금</v>
          </cell>
        </row>
        <row r="81">
          <cell r="A81" t="str">
            <v xml:space="preserve"> 3-1) 산재보험료</v>
          </cell>
          <cell r="C81" t="str">
            <v>식</v>
          </cell>
          <cell r="D81">
            <v>1</v>
          </cell>
          <cell r="F81" t="str">
            <v>별도계상</v>
          </cell>
        </row>
        <row r="83">
          <cell r="A83" t="str">
            <v xml:space="preserve"> 3-2) 세금과공과</v>
          </cell>
        </row>
        <row r="84">
          <cell r="A84" t="str">
            <v xml:space="preserve">      주 민 세</v>
          </cell>
          <cell r="C84" t="str">
            <v>회</v>
          </cell>
          <cell r="D84">
            <v>1</v>
          </cell>
          <cell r="E84">
            <v>200000</v>
          </cell>
          <cell r="F84">
            <v>200000</v>
          </cell>
          <cell r="G84" t="str">
            <v>(</v>
          </cell>
          <cell r="H84" t="str">
            <v>사업소 정직원수 100인/일 미만시, 년1회 )</v>
          </cell>
        </row>
        <row r="85">
          <cell r="A85" t="str">
            <v xml:space="preserve">      하도급정산 인지대</v>
          </cell>
          <cell r="C85" t="str">
            <v>식</v>
          </cell>
          <cell r="D85">
            <v>1</v>
          </cell>
          <cell r="F85">
            <v>246642</v>
          </cell>
          <cell r="G85" t="str">
            <v>(</v>
          </cell>
          <cell r="H85" t="str">
            <v>실행외주비(VAT포함)   ×</v>
          </cell>
          <cell r="J85">
            <v>1.4999999999999999E-4</v>
          </cell>
        </row>
        <row r="87">
          <cell r="A87" t="str">
            <v>소    계</v>
          </cell>
          <cell r="F87">
            <v>446642</v>
          </cell>
        </row>
        <row r="89">
          <cell r="A89" t="str">
            <v>계</v>
          </cell>
          <cell r="F89">
            <v>446642</v>
          </cell>
        </row>
        <row r="92">
          <cell r="A92" t="str">
            <v xml:space="preserve"> 4. 복리후생비 및 제경비</v>
          </cell>
        </row>
        <row r="94">
          <cell r="A94" t="str">
            <v xml:space="preserve"> 4-1) 복리후생비</v>
          </cell>
        </row>
        <row r="95">
          <cell r="A95" t="str">
            <v xml:space="preserve">      식  대 (정직 및 임직)</v>
          </cell>
          <cell r="C95" t="str">
            <v>개월</v>
          </cell>
          <cell r="D95">
            <v>3</v>
          </cell>
          <cell r="E95">
            <v>3024000</v>
          </cell>
          <cell r="F95">
            <v>9072000</v>
          </cell>
          <cell r="G95" t="str">
            <v>(</v>
          </cell>
          <cell r="H95">
            <v>4000</v>
          </cell>
          <cell r="I95">
            <v>3</v>
          </cell>
          <cell r="J95">
            <v>28</v>
          </cell>
          <cell r="K95">
            <v>9</v>
          </cell>
        </row>
        <row r="96">
          <cell r="A96" t="str">
            <v xml:space="preserve">      간식대 (정직 및 임직)</v>
          </cell>
          <cell r="C96" t="str">
            <v>개월</v>
          </cell>
          <cell r="D96">
            <v>3</v>
          </cell>
          <cell r="E96">
            <v>252000</v>
          </cell>
          <cell r="F96">
            <v>756000</v>
          </cell>
          <cell r="G96" t="str">
            <v>(</v>
          </cell>
          <cell r="H96">
            <v>1000</v>
          </cell>
          <cell r="I96">
            <v>1</v>
          </cell>
          <cell r="J96">
            <v>28</v>
          </cell>
          <cell r="K96">
            <v>9</v>
          </cell>
        </row>
        <row r="97">
          <cell r="A97" t="str">
            <v xml:space="preserve">      회식대</v>
          </cell>
          <cell r="C97" t="str">
            <v>개월</v>
          </cell>
          <cell r="D97">
            <v>3</v>
          </cell>
          <cell r="E97">
            <v>450000</v>
          </cell>
          <cell r="F97">
            <v>1350000</v>
          </cell>
          <cell r="G97" t="str">
            <v>(</v>
          </cell>
          <cell r="H97">
            <v>50000</v>
          </cell>
          <cell r="I97">
            <v>9</v>
          </cell>
        </row>
        <row r="98">
          <cell r="A98" t="str">
            <v xml:space="preserve">      작업복</v>
          </cell>
          <cell r="C98" t="str">
            <v>인</v>
          </cell>
          <cell r="D98">
            <v>9</v>
          </cell>
          <cell r="E98">
            <v>14500</v>
          </cell>
          <cell r="F98">
            <v>130500</v>
          </cell>
          <cell r="G98" t="str">
            <v>(</v>
          </cell>
          <cell r="H98" t="str">
            <v>하절복 1벌 :</v>
          </cell>
          <cell r="I98">
            <v>14500</v>
          </cell>
        </row>
        <row r="99">
          <cell r="A99" t="str">
            <v xml:space="preserve">      에어콘</v>
          </cell>
          <cell r="C99" t="str">
            <v>대</v>
          </cell>
          <cell r="D99">
            <v>4</v>
          </cell>
          <cell r="E99">
            <v>269000</v>
          </cell>
          <cell r="F99">
            <v>1076000</v>
          </cell>
          <cell r="G99" t="str">
            <v>(</v>
          </cell>
          <cell r="H99" t="str">
            <v>신규구매가의 50% 적용)</v>
          </cell>
        </row>
        <row r="100">
          <cell r="A100" t="str">
            <v xml:space="preserve">      기  타 (생수)</v>
          </cell>
          <cell r="C100" t="str">
            <v>개월</v>
          </cell>
          <cell r="D100">
            <v>3</v>
          </cell>
          <cell r="E100">
            <v>150000</v>
          </cell>
          <cell r="F100">
            <v>450000</v>
          </cell>
        </row>
        <row r="101">
          <cell r="A101" t="str">
            <v xml:space="preserve">      이사비용</v>
          </cell>
          <cell r="C101" t="str">
            <v>인</v>
          </cell>
          <cell r="D101">
            <v>1</v>
          </cell>
          <cell r="E101">
            <v>500000</v>
          </cell>
          <cell r="F101">
            <v>500000</v>
          </cell>
        </row>
        <row r="102">
          <cell r="A102" t="str">
            <v xml:space="preserve">      현장부임비</v>
          </cell>
          <cell r="C102" t="str">
            <v>인</v>
          </cell>
          <cell r="D102">
            <v>1</v>
          </cell>
          <cell r="E102">
            <v>25000</v>
          </cell>
          <cell r="F102">
            <v>25000</v>
          </cell>
        </row>
        <row r="104">
          <cell r="A104" t="str">
            <v>소    계</v>
          </cell>
          <cell r="F104">
            <v>13359500</v>
          </cell>
        </row>
        <row r="106">
          <cell r="A106" t="str">
            <v xml:space="preserve"> 4-2) 여비 교통비</v>
          </cell>
        </row>
        <row r="107">
          <cell r="A107" t="str">
            <v xml:space="preserve">      출  장  비</v>
          </cell>
          <cell r="C107" t="str">
            <v>개월</v>
          </cell>
          <cell r="D107">
            <v>3</v>
          </cell>
          <cell r="E107">
            <v>150000</v>
          </cell>
          <cell r="F107">
            <v>450000</v>
          </cell>
          <cell r="G107" t="str">
            <v>(</v>
          </cell>
          <cell r="H107">
            <v>150000</v>
          </cell>
        </row>
        <row r="108">
          <cell r="A108" t="str">
            <v xml:space="preserve">      시내교통비</v>
          </cell>
          <cell r="C108" t="str">
            <v>개월</v>
          </cell>
          <cell r="D108">
            <v>3</v>
          </cell>
          <cell r="E108">
            <v>60000</v>
          </cell>
          <cell r="F108">
            <v>180000</v>
          </cell>
          <cell r="G108" t="str">
            <v>(</v>
          </cell>
          <cell r="H108">
            <v>60000</v>
          </cell>
        </row>
        <row r="110">
          <cell r="A110" t="str">
            <v>소    계</v>
          </cell>
          <cell r="F110">
            <v>630000</v>
          </cell>
        </row>
        <row r="112">
          <cell r="A112" t="str">
            <v xml:space="preserve"> 4-3) 경차량 유지비</v>
          </cell>
        </row>
        <row r="113">
          <cell r="A113" t="str">
            <v xml:space="preserve">      직원용</v>
          </cell>
          <cell r="C113" t="str">
            <v>개월</v>
          </cell>
          <cell r="D113">
            <v>3</v>
          </cell>
          <cell r="E113">
            <v>186340</v>
          </cell>
          <cell r="F113">
            <v>559020</v>
          </cell>
          <cell r="G113" t="str">
            <v>(</v>
          </cell>
          <cell r="H113">
            <v>110</v>
          </cell>
          <cell r="I113">
            <v>847</v>
          </cell>
          <cell r="J113">
            <v>2</v>
          </cell>
        </row>
        <row r="114">
          <cell r="A114" t="str">
            <v xml:space="preserve">      업무용</v>
          </cell>
          <cell r="C114" t="str">
            <v>개월</v>
          </cell>
          <cell r="D114">
            <v>3</v>
          </cell>
          <cell r="E114">
            <v>254100</v>
          </cell>
          <cell r="F114">
            <v>762300</v>
          </cell>
          <cell r="G114" t="str">
            <v>(</v>
          </cell>
          <cell r="H114">
            <v>300</v>
          </cell>
          <cell r="I114">
            <v>847</v>
          </cell>
          <cell r="J114">
            <v>1</v>
          </cell>
        </row>
        <row r="115">
          <cell r="A115" t="str">
            <v xml:space="preserve">      공사용 및 출퇴근용(더블캡)</v>
          </cell>
          <cell r="C115" t="str">
            <v>개월</v>
          </cell>
          <cell r="D115">
            <v>3</v>
          </cell>
          <cell r="E115">
            <v>105600</v>
          </cell>
          <cell r="F115">
            <v>316800</v>
          </cell>
          <cell r="G115" t="str">
            <v>(</v>
          </cell>
          <cell r="H115">
            <v>300</v>
          </cell>
          <cell r="I115">
            <v>352</v>
          </cell>
          <cell r="J115">
            <v>1</v>
          </cell>
        </row>
        <row r="117">
          <cell r="A117" t="str">
            <v>소    계</v>
          </cell>
          <cell r="F117">
            <v>1638120</v>
          </cell>
        </row>
        <row r="119">
          <cell r="A119" t="str">
            <v xml:space="preserve"> 4-4) 난  방  비</v>
          </cell>
        </row>
        <row r="121">
          <cell r="A121" t="str">
            <v xml:space="preserve"> 4-5) 노무관리비</v>
          </cell>
        </row>
        <row r="122">
          <cell r="A122" t="str">
            <v xml:space="preserve">      작업독려비</v>
          </cell>
          <cell r="C122" t="str">
            <v>개월</v>
          </cell>
          <cell r="D122">
            <v>3</v>
          </cell>
          <cell r="E122">
            <v>50000</v>
          </cell>
          <cell r="F122">
            <v>150000</v>
          </cell>
          <cell r="G122" t="str">
            <v>(</v>
          </cell>
          <cell r="H122">
            <v>50000</v>
          </cell>
          <cell r="I122" t="str">
            <v>)</v>
          </cell>
        </row>
        <row r="124">
          <cell r="A124" t="str">
            <v>소    계</v>
          </cell>
          <cell r="F124">
            <v>150000</v>
          </cell>
        </row>
        <row r="126">
          <cell r="A126" t="str">
            <v xml:space="preserve"> 4-6) 제  경  비</v>
          </cell>
        </row>
        <row r="127">
          <cell r="A127" t="str">
            <v xml:space="preserve">      교제비</v>
          </cell>
          <cell r="C127" t="str">
            <v>개월</v>
          </cell>
          <cell r="D127">
            <v>3</v>
          </cell>
          <cell r="E127">
            <v>700000</v>
          </cell>
          <cell r="F127">
            <v>2100000</v>
          </cell>
        </row>
        <row r="128">
          <cell r="A128" t="str">
            <v xml:space="preserve">      사무용품 및 소모품비</v>
          </cell>
          <cell r="C128" t="str">
            <v>개월</v>
          </cell>
          <cell r="D128">
            <v>3</v>
          </cell>
          <cell r="E128">
            <v>150000</v>
          </cell>
          <cell r="F128">
            <v>450000</v>
          </cell>
        </row>
        <row r="129">
          <cell r="A129" t="str">
            <v xml:space="preserve">      유지수선비</v>
          </cell>
          <cell r="C129" t="str">
            <v>개월</v>
          </cell>
          <cell r="D129">
            <v>3</v>
          </cell>
          <cell r="E129">
            <v>80000</v>
          </cell>
          <cell r="F129">
            <v>240000</v>
          </cell>
        </row>
        <row r="130">
          <cell r="A130" t="str">
            <v xml:space="preserve">      가설소형장비손료 및 유지비</v>
          </cell>
          <cell r="C130" t="str">
            <v>개월</v>
          </cell>
          <cell r="D130">
            <v>3</v>
          </cell>
          <cell r="E130">
            <v>100000</v>
          </cell>
          <cell r="F130">
            <v>300000</v>
          </cell>
        </row>
        <row r="131">
          <cell r="A131" t="str">
            <v xml:space="preserve">      도서인쇄비</v>
          </cell>
          <cell r="C131" t="str">
            <v>개월</v>
          </cell>
          <cell r="D131">
            <v>3</v>
          </cell>
          <cell r="E131">
            <v>480000</v>
          </cell>
          <cell r="F131">
            <v>1440000</v>
          </cell>
        </row>
        <row r="132">
          <cell r="A132" t="str">
            <v xml:space="preserve">      양식인쇄비</v>
          </cell>
          <cell r="C132" t="str">
            <v>식</v>
          </cell>
          <cell r="D132">
            <v>1</v>
          </cell>
          <cell r="E132">
            <v>500000</v>
          </cell>
          <cell r="F132">
            <v>500000</v>
          </cell>
        </row>
        <row r="133">
          <cell r="A133" t="str">
            <v xml:space="preserve">      숙소관리유지비</v>
          </cell>
          <cell r="C133" t="str">
            <v>개월</v>
          </cell>
          <cell r="D133">
            <v>3</v>
          </cell>
          <cell r="E133">
            <v>200000</v>
          </cell>
          <cell r="F133">
            <v>600000</v>
          </cell>
        </row>
        <row r="135">
          <cell r="A135" t="str">
            <v>소    계</v>
          </cell>
          <cell r="F135">
            <v>5630000</v>
          </cell>
        </row>
        <row r="137">
          <cell r="A137" t="str">
            <v>계</v>
          </cell>
          <cell r="F137">
            <v>21407620</v>
          </cell>
        </row>
        <row r="140">
          <cell r="A140" t="str">
            <v xml:space="preserve"> 5. 통신,전력,상하수도료</v>
          </cell>
        </row>
        <row r="142">
          <cell r="A142" t="str">
            <v xml:space="preserve"> 5-1) 통신요금</v>
          </cell>
        </row>
        <row r="143">
          <cell r="A143" t="str">
            <v xml:space="preserve">      전화 및 우편요금</v>
          </cell>
          <cell r="C143" t="str">
            <v>개월</v>
          </cell>
          <cell r="D143">
            <v>3</v>
          </cell>
          <cell r="E143">
            <v>800000</v>
          </cell>
          <cell r="F143">
            <v>2400000</v>
          </cell>
        </row>
        <row r="144">
          <cell r="A144" t="str">
            <v xml:space="preserve">      ON-LINE 사용료</v>
          </cell>
          <cell r="C144" t="str">
            <v>개월</v>
          </cell>
          <cell r="D144">
            <v>3</v>
          </cell>
          <cell r="E144">
            <v>250000</v>
          </cell>
          <cell r="F144">
            <v>750000</v>
          </cell>
        </row>
        <row r="146">
          <cell r="A146" t="str">
            <v>소    계</v>
          </cell>
          <cell r="F146">
            <v>3150000</v>
          </cell>
        </row>
        <row r="148">
          <cell r="A148" t="str">
            <v xml:space="preserve"> 5-2) 전력요금</v>
          </cell>
        </row>
        <row r="150">
          <cell r="A150" t="str">
            <v xml:space="preserve"> 5-3) 상,하수도 요금</v>
          </cell>
        </row>
        <row r="151">
          <cell r="A151" t="str">
            <v xml:space="preserve">      오물수거비</v>
          </cell>
          <cell r="C151" t="str">
            <v>개월</v>
          </cell>
          <cell r="D151">
            <v>3</v>
          </cell>
          <cell r="E151">
            <v>40000</v>
          </cell>
          <cell r="F151">
            <v>120000</v>
          </cell>
          <cell r="G151" t="str">
            <v>(</v>
          </cell>
          <cell r="H151">
            <v>40000</v>
          </cell>
          <cell r="I151" t="str">
            <v>)</v>
          </cell>
        </row>
        <row r="153">
          <cell r="A153" t="str">
            <v>소    계</v>
          </cell>
          <cell r="F153">
            <v>120000</v>
          </cell>
        </row>
        <row r="155">
          <cell r="A155" t="str">
            <v>계</v>
          </cell>
          <cell r="F155">
            <v>3270000</v>
          </cell>
        </row>
        <row r="158">
          <cell r="A158" t="str">
            <v xml:space="preserve"> 6. 차량임차,비품,사무기기비</v>
          </cell>
        </row>
        <row r="160">
          <cell r="A160" t="str">
            <v xml:space="preserve"> 6-1) 차량임차비</v>
          </cell>
        </row>
        <row r="161">
          <cell r="A161" t="str">
            <v xml:space="preserve">      업무용</v>
          </cell>
          <cell r="C161" t="str">
            <v>개월</v>
          </cell>
          <cell r="D161">
            <v>3</v>
          </cell>
          <cell r="E161">
            <v>300000</v>
          </cell>
          <cell r="F161">
            <v>900000</v>
          </cell>
        </row>
        <row r="162">
          <cell r="A162" t="str">
            <v xml:space="preserve">      공사용 및 출퇴근용(더블캡)</v>
          </cell>
          <cell r="C162" t="str">
            <v>개월</v>
          </cell>
          <cell r="D162">
            <v>3</v>
          </cell>
          <cell r="E162">
            <v>1200000</v>
          </cell>
          <cell r="F162">
            <v>3600000</v>
          </cell>
        </row>
        <row r="164">
          <cell r="A164" t="str">
            <v>소    계</v>
          </cell>
          <cell r="F164">
            <v>4500000</v>
          </cell>
        </row>
        <row r="166">
          <cell r="A166" t="str">
            <v xml:space="preserve"> 6-2) 집기비품비</v>
          </cell>
          <cell r="G166" t="str">
            <v>(</v>
          </cell>
          <cell r="H166" t="str">
            <v>신규구매가의 50% 적용)</v>
          </cell>
        </row>
        <row r="167">
          <cell r="A167" t="str">
            <v xml:space="preserve">      협소탁자</v>
          </cell>
          <cell r="B167" t="str">
            <v>무전기거취대</v>
          </cell>
          <cell r="C167" t="str">
            <v>개</v>
          </cell>
          <cell r="D167">
            <v>1</v>
          </cell>
          <cell r="E167">
            <v>31000</v>
          </cell>
          <cell r="F167">
            <v>31000</v>
          </cell>
        </row>
        <row r="168">
          <cell r="A168" t="str">
            <v xml:space="preserve">      화일박스</v>
          </cell>
          <cell r="B168" t="str">
            <v>2단</v>
          </cell>
          <cell r="C168" t="str">
            <v>개</v>
          </cell>
          <cell r="D168">
            <v>2</v>
          </cell>
          <cell r="E168">
            <v>25000</v>
          </cell>
          <cell r="F168">
            <v>50000</v>
          </cell>
        </row>
        <row r="169">
          <cell r="A169" t="str">
            <v xml:space="preserve">      화일박스</v>
          </cell>
          <cell r="B169" t="str">
            <v>4단</v>
          </cell>
          <cell r="C169" t="str">
            <v>개</v>
          </cell>
          <cell r="D169">
            <v>2</v>
          </cell>
          <cell r="E169">
            <v>31000</v>
          </cell>
          <cell r="F169">
            <v>62000</v>
          </cell>
        </row>
        <row r="171">
          <cell r="A171" t="str">
            <v>소    계</v>
          </cell>
          <cell r="F171">
            <v>143000</v>
          </cell>
        </row>
        <row r="173">
          <cell r="A173" t="str">
            <v xml:space="preserve"> 6-3) 사무기기비</v>
          </cell>
          <cell r="G173" t="str">
            <v>(</v>
          </cell>
          <cell r="H173" t="str">
            <v>신규구매가의 50% 적용)</v>
          </cell>
        </row>
        <row r="174">
          <cell r="A174" t="str">
            <v xml:space="preserve">      P.C</v>
          </cell>
          <cell r="C174" t="str">
            <v>대</v>
          </cell>
          <cell r="D174">
            <v>2</v>
          </cell>
          <cell r="E174">
            <v>750000</v>
          </cell>
          <cell r="F174">
            <v>1500000</v>
          </cell>
        </row>
        <row r="175">
          <cell r="A175" t="str">
            <v xml:space="preserve">      PRINTER</v>
          </cell>
          <cell r="C175" t="str">
            <v>대</v>
          </cell>
          <cell r="D175">
            <v>1</v>
          </cell>
          <cell r="E175">
            <v>500000</v>
          </cell>
          <cell r="F175">
            <v>500000</v>
          </cell>
        </row>
        <row r="177">
          <cell r="A177" t="str">
            <v>소    계</v>
          </cell>
          <cell r="F177">
            <v>2000000</v>
          </cell>
        </row>
        <row r="179">
          <cell r="A179" t="str">
            <v>계</v>
          </cell>
          <cell r="F179">
            <v>6643000</v>
          </cell>
        </row>
        <row r="182">
          <cell r="A182" t="str">
            <v xml:space="preserve"> 7. 기타 비용</v>
          </cell>
        </row>
        <row r="184">
          <cell r="A184" t="str">
            <v xml:space="preserve"> 7-1) 기,준공식비</v>
          </cell>
          <cell r="C184" t="str">
            <v>식</v>
          </cell>
          <cell r="D184">
            <v>1</v>
          </cell>
          <cell r="F184">
            <v>1000000</v>
          </cell>
        </row>
        <row r="185">
          <cell r="A185" t="str">
            <v xml:space="preserve"> 7-2) 보  상  비</v>
          </cell>
          <cell r="C185" t="str">
            <v>식</v>
          </cell>
          <cell r="D185">
            <v>1</v>
          </cell>
          <cell r="F185" t="str">
            <v>별도품의</v>
          </cell>
        </row>
        <row r="186">
          <cell r="A186" t="str">
            <v xml:space="preserve"> 7-3) 설계변경비</v>
          </cell>
          <cell r="C186" t="str">
            <v>식</v>
          </cell>
          <cell r="D186">
            <v>1</v>
          </cell>
          <cell r="F186">
            <v>999443</v>
          </cell>
        </row>
        <row r="187">
          <cell r="A187" t="str">
            <v xml:space="preserve"> 7-4) 구조검토 용역비</v>
          </cell>
        </row>
        <row r="188">
          <cell r="A188" t="str">
            <v xml:space="preserve"> 7-5) 기성 및 ESC. 검사비</v>
          </cell>
        </row>
        <row r="189">
          <cell r="A189" t="str">
            <v xml:space="preserve"> 7-6) 준공서류 작성비</v>
          </cell>
        </row>
        <row r="191">
          <cell r="A191" t="str">
            <v>계</v>
          </cell>
          <cell r="F191">
            <v>1999443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LC004"/>
      <sheetName val="CAT_5"/>
      <sheetName val="현장관리비"/>
      <sheetName val="실행내역"/>
      <sheetName val="XZLC004_PART2"/>
      <sheetName val="장비명"/>
      <sheetName val="내역서"/>
      <sheetName val="EQUIPMENT"/>
      <sheetName val="Steel"/>
      <sheetName val="추진실적"/>
      <sheetName val="06생산"/>
      <sheetName val="재고량(1Q)"/>
      <sheetName val="06기초"/>
      <sheetName val="생산량(1Q)"/>
      <sheetName val="Sheet4"/>
      <sheetName val="갑지(추정)"/>
      <sheetName val="XZLC003_PART1"/>
      <sheetName val="98비정기소모"/>
      <sheetName val="간접비내역-1"/>
      <sheetName val="FACTOR"/>
      <sheetName val="도장수량(하1)"/>
      <sheetName val="주형"/>
      <sheetName val="ABUT수량-A1"/>
    </sheetNames>
    <sheetDataSet>
      <sheetData sheetId="0" refreshError="1">
        <row r="30">
          <cell r="F30">
            <v>28</v>
          </cell>
        </row>
        <row r="31">
          <cell r="F31">
            <v>0</v>
          </cell>
        </row>
        <row r="32">
          <cell r="F32">
            <v>0</v>
          </cell>
        </row>
        <row r="33">
          <cell r="F33">
            <v>272</v>
          </cell>
        </row>
        <row r="34">
          <cell r="F34">
            <v>0</v>
          </cell>
        </row>
        <row r="35">
          <cell r="F35">
            <v>0</v>
          </cell>
        </row>
        <row r="36">
          <cell r="F36">
            <v>63</v>
          </cell>
        </row>
        <row r="37">
          <cell r="F37">
            <v>0</v>
          </cell>
        </row>
        <row r="38">
          <cell r="F38">
            <v>0</v>
          </cell>
        </row>
        <row r="39">
          <cell r="F39">
            <v>20</v>
          </cell>
        </row>
        <row r="40">
          <cell r="F40">
            <v>0</v>
          </cell>
        </row>
        <row r="41">
          <cell r="F41">
            <v>0</v>
          </cell>
        </row>
        <row r="42">
          <cell r="F42">
            <v>120</v>
          </cell>
        </row>
        <row r="43">
          <cell r="F43">
            <v>0</v>
          </cell>
        </row>
        <row r="44">
          <cell r="F44">
            <v>0</v>
          </cell>
        </row>
        <row r="45">
          <cell r="F45">
            <v>80</v>
          </cell>
        </row>
        <row r="47">
          <cell r="F47">
            <v>500</v>
          </cell>
        </row>
        <row r="48">
          <cell r="F48">
            <v>0</v>
          </cell>
        </row>
        <row r="49">
          <cell r="F49">
            <v>0</v>
          </cell>
        </row>
        <row r="50">
          <cell r="F50">
            <v>40</v>
          </cell>
        </row>
        <row r="63">
          <cell r="F63">
            <v>150</v>
          </cell>
        </row>
        <row r="72">
          <cell r="F72">
            <v>179750</v>
          </cell>
        </row>
        <row r="76">
          <cell r="F76">
            <v>19800</v>
          </cell>
        </row>
        <row r="77">
          <cell r="F77">
            <v>0</v>
          </cell>
        </row>
        <row r="78">
          <cell r="F78">
            <v>153620</v>
          </cell>
        </row>
        <row r="79">
          <cell r="F79">
            <v>0</v>
          </cell>
        </row>
        <row r="80">
          <cell r="F80">
            <v>12335</v>
          </cell>
        </row>
        <row r="81">
          <cell r="F81">
            <v>0</v>
          </cell>
        </row>
        <row r="82">
          <cell r="F82">
            <v>0</v>
          </cell>
        </row>
        <row r="83">
          <cell r="F83">
            <v>0</v>
          </cell>
        </row>
        <row r="84">
          <cell r="F84">
            <v>165000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s"/>
      <sheetName val="AILC004"/>
      <sheetName val="현장관리비"/>
      <sheetName val="실행내역"/>
      <sheetName val="sum"/>
      <sheetName val="장비명"/>
      <sheetName val="단가표"/>
      <sheetName val="CAT_5"/>
      <sheetName val="studbolt no."/>
      <sheetName val="studbolt size"/>
      <sheetName val="item sort no"/>
      <sheetName val="FACTOR"/>
      <sheetName val="LEGEND"/>
      <sheetName val="CAL."/>
      <sheetName val="Piping Design Data"/>
      <sheetName val="cost breakdown template"/>
      <sheetName val="Sheet5"/>
      <sheetName val="XZLC004_PART2"/>
      <sheetName val="XZLC003_PART1"/>
      <sheetName val="음료실행"/>
      <sheetName val="당초"/>
      <sheetName val="손익분기점 데이터"/>
      <sheetName val="도급"/>
    </sheetNames>
    <sheetDataSet>
      <sheetData sheetId="0" refreshError="1"/>
      <sheetData sheetId="1" refreshError="1">
        <row r="2">
          <cell r="A2" t="str">
            <v>PROJECT LEVEL</v>
          </cell>
          <cell r="B2" t="str">
            <v>WBS CODE</v>
          </cell>
          <cell r="C2" t="str">
            <v>DESCRIPTION</v>
          </cell>
          <cell r="D2" t="str">
            <v>QUANTITY</v>
          </cell>
          <cell r="E2" t="str">
            <v>UNITS</v>
          </cell>
          <cell r="F2" t="str">
            <v>TOTAL MANHOURS</v>
          </cell>
          <cell r="G2" t="str">
            <v>TOTAL LABOR COST</v>
          </cell>
          <cell r="H2" t="str">
            <v>TOTAL MAT'L COST</v>
          </cell>
          <cell r="I2" t="str">
            <v>TOTAL S/C COST</v>
          </cell>
          <cell r="J2" t="str">
            <v>TOTAL COST</v>
          </cell>
          <cell r="L2" t="str">
            <v>CYCLE &amp; LVL 1 DKADU PLANT</v>
          </cell>
          <cell r="M2" t="str">
            <v>WBS CODE</v>
          </cell>
          <cell r="N2" t="str">
            <v>DESCRIPTION</v>
          </cell>
          <cell r="O2" t="str">
            <v>QUANTITY</v>
          </cell>
          <cell r="P2" t="str">
            <v>UNITS</v>
          </cell>
          <cell r="Q2" t="str">
            <v>TOTAL MANHOURS</v>
          </cell>
          <cell r="R2" t="str">
            <v>TOTAL LABOR COST</v>
          </cell>
          <cell r="S2" t="str">
            <v>TOTAL MAT'L COST</v>
          </cell>
          <cell r="T2" t="str">
            <v>TOTAL S/C COST</v>
          </cell>
          <cell r="U2" t="str">
            <v>TOTAL COST</v>
          </cell>
          <cell r="W2" t="str">
            <v>LEVEL 2 DKADU PLANT PG.1</v>
          </cell>
          <cell r="X2" t="str">
            <v>WBS CODE</v>
          </cell>
          <cell r="Y2" t="str">
            <v>DESCRIPTION</v>
          </cell>
          <cell r="Z2" t="str">
            <v>QUANTITY</v>
          </cell>
          <cell r="AA2" t="str">
            <v>UNITS</v>
          </cell>
          <cell r="AB2" t="str">
            <v>TOTAL MANHOURS</v>
          </cell>
          <cell r="AC2" t="str">
            <v>TOTAL LABOR COST</v>
          </cell>
          <cell r="AD2" t="str">
            <v>TOTAL MAT'L COST</v>
          </cell>
          <cell r="AE2" t="str">
            <v>TOTAL S/C COST</v>
          </cell>
          <cell r="AF2" t="str">
            <v>TOTAL COST</v>
          </cell>
          <cell r="AG2">
            <v>0</v>
          </cell>
          <cell r="AH2" t="str">
            <v>LEVEL 3 DKADU PLANT PG 1</v>
          </cell>
          <cell r="AI2" t="str">
            <v>WBS CODE</v>
          </cell>
          <cell r="AJ2" t="str">
            <v>DESCRIPTION</v>
          </cell>
          <cell r="AK2" t="str">
            <v>QUANTITY</v>
          </cell>
          <cell r="AL2" t="str">
            <v>UNITS</v>
          </cell>
          <cell r="AM2" t="str">
            <v>TOTAL MANHOURS</v>
          </cell>
          <cell r="AN2" t="str">
            <v>TOTAL LABOR COST</v>
          </cell>
          <cell r="AO2" t="str">
            <v>TOTAL MAT'L COST</v>
          </cell>
          <cell r="AP2" t="str">
            <v>TOTAL S/C COST</v>
          </cell>
          <cell r="AQ2" t="str">
            <v>TOTAL COST</v>
          </cell>
          <cell r="AR2">
            <v>0</v>
          </cell>
        </row>
        <row r="3">
          <cell r="A3" t="str">
            <v>PLANT LEVEL</v>
          </cell>
        </row>
        <row r="4">
          <cell r="B4" t="str">
            <v>1AA--</v>
          </cell>
          <cell r="C4" t="str">
            <v>DKADU PLANT  ENGINEERING/PROCUREMENT</v>
          </cell>
          <cell r="F4">
            <v>6250</v>
          </cell>
          <cell r="G4">
            <v>0</v>
          </cell>
          <cell r="H4">
            <v>0</v>
          </cell>
          <cell r="I4">
            <v>0</v>
          </cell>
          <cell r="J4">
            <v>0</v>
          </cell>
          <cell r="M4" t="str">
            <v>1AAA-</v>
          </cell>
          <cell r="N4" t="str">
            <v>DKADU PLANT  - DIRECT ENGINEERING</v>
          </cell>
          <cell r="Q4">
            <v>5340</v>
          </cell>
          <cell r="R4">
            <v>0</v>
          </cell>
          <cell r="S4">
            <v>0</v>
          </cell>
          <cell r="T4">
            <v>0</v>
          </cell>
          <cell r="U4">
            <v>0</v>
          </cell>
          <cell r="X4" t="str">
            <v>1AAAA</v>
          </cell>
          <cell r="Y4" t="str">
            <v>DKADU PLANT  - DIR. ENG.  PROCESS</v>
          </cell>
          <cell r="AF4">
            <v>0</v>
          </cell>
          <cell r="AG4">
            <v>0</v>
          </cell>
          <cell r="AH4">
            <v>0</v>
          </cell>
          <cell r="AI4" t="str">
            <v>1ABAAA</v>
          </cell>
          <cell r="AJ4" t="str">
            <v>DEMETHANISER FEED DRUM</v>
          </cell>
          <cell r="AK4">
            <v>1</v>
          </cell>
          <cell r="AL4" t="str">
            <v>EA</v>
          </cell>
          <cell r="AM4">
            <v>0</v>
          </cell>
          <cell r="AN4">
            <v>0</v>
          </cell>
          <cell r="AO4">
            <v>461000</v>
          </cell>
          <cell r="AP4">
            <v>0</v>
          </cell>
          <cell r="AQ4">
            <v>461000</v>
          </cell>
          <cell r="AR4">
            <v>0</v>
          </cell>
        </row>
        <row r="5">
          <cell r="B5" t="str">
            <v>1AB--</v>
          </cell>
          <cell r="C5" t="str">
            <v>DKADU PLANT  FABRICATION/DELIVERY</v>
          </cell>
          <cell r="F5">
            <v>0</v>
          </cell>
          <cell r="G5">
            <v>0</v>
          </cell>
          <cell r="H5">
            <v>28083700</v>
          </cell>
          <cell r="I5">
            <v>0</v>
          </cell>
          <cell r="J5">
            <v>28083700</v>
          </cell>
          <cell r="M5" t="str">
            <v>1AAH-</v>
          </cell>
          <cell r="N5" t="str">
            <v>DKADU PLANT  EQUIPMENT SPECIFICATION</v>
          </cell>
          <cell r="Q5">
            <v>910</v>
          </cell>
          <cell r="R5">
            <v>0</v>
          </cell>
          <cell r="S5">
            <v>0</v>
          </cell>
          <cell r="T5">
            <v>0</v>
          </cell>
          <cell r="U5">
            <v>0</v>
          </cell>
          <cell r="X5" t="str">
            <v>1AAAB</v>
          </cell>
          <cell r="Y5" t="str">
            <v>DKADU PLANT  - DIR. ENG.  PERMITS</v>
          </cell>
          <cell r="AF5">
            <v>0</v>
          </cell>
          <cell r="AG5">
            <v>0</v>
          </cell>
          <cell r="AH5">
            <v>0</v>
          </cell>
          <cell r="AI5" t="str">
            <v>1ABAAB</v>
          </cell>
          <cell r="AJ5" t="str">
            <v>RECYCLE EXPANDER OUTLET DRUM</v>
          </cell>
          <cell r="AK5">
            <v>1</v>
          </cell>
          <cell r="AL5" t="str">
            <v>EA</v>
          </cell>
          <cell r="AM5">
            <v>0</v>
          </cell>
          <cell r="AN5">
            <v>0</v>
          </cell>
          <cell r="AO5">
            <v>610000</v>
          </cell>
          <cell r="AP5">
            <v>0</v>
          </cell>
          <cell r="AQ5">
            <v>610000</v>
          </cell>
          <cell r="AR5">
            <v>0</v>
          </cell>
        </row>
        <row r="6">
          <cell r="B6" t="str">
            <v>1AC--</v>
          </cell>
          <cell r="C6" t="str">
            <v>DKADU PLANT  CONSTRUCTION</v>
          </cell>
          <cell r="F6">
            <v>212160</v>
          </cell>
          <cell r="G6">
            <v>2551320</v>
          </cell>
          <cell r="H6">
            <v>0</v>
          </cell>
          <cell r="I6">
            <v>0</v>
          </cell>
          <cell r="J6">
            <v>2551320</v>
          </cell>
          <cell r="M6" t="str">
            <v>1AAI-</v>
          </cell>
          <cell r="N6" t="str">
            <v>DKADU PLANT  - ENGINEERING PROCUREMENT</v>
          </cell>
          <cell r="Q6">
            <v>0</v>
          </cell>
          <cell r="R6">
            <v>0</v>
          </cell>
          <cell r="S6">
            <v>0</v>
          </cell>
          <cell r="T6">
            <v>0</v>
          </cell>
          <cell r="U6">
            <v>0</v>
          </cell>
          <cell r="X6" t="str">
            <v>1AAAC</v>
          </cell>
          <cell r="Y6" t="str">
            <v>DKADU PLANT  - DIR. ENG.  CIVIL/STRUCTURAL</v>
          </cell>
          <cell r="AF6">
            <v>0</v>
          </cell>
          <cell r="AG6">
            <v>0</v>
          </cell>
          <cell r="AH6">
            <v>0</v>
          </cell>
          <cell r="AI6" t="str">
            <v>1ABAAC</v>
          </cell>
          <cell r="AJ6" t="str">
            <v>RECYCLE EXPANDER INLET DRUM</v>
          </cell>
          <cell r="AK6">
            <v>1</v>
          </cell>
          <cell r="AL6" t="str">
            <v>EA</v>
          </cell>
          <cell r="AM6">
            <v>0</v>
          </cell>
          <cell r="AN6">
            <v>0</v>
          </cell>
          <cell r="AO6">
            <v>827000</v>
          </cell>
          <cell r="AP6">
            <v>0</v>
          </cell>
          <cell r="AQ6">
            <v>827000</v>
          </cell>
          <cell r="AR6">
            <v>0</v>
          </cell>
        </row>
        <row r="7">
          <cell r="B7" t="str">
            <v>1AD--</v>
          </cell>
          <cell r="C7" t="str">
            <v>DKADU PLANT  COMMISSIONING, STARTUP &amp; TRAINING</v>
          </cell>
          <cell r="F7">
            <v>0</v>
          </cell>
          <cell r="G7">
            <v>0</v>
          </cell>
          <cell r="H7">
            <v>0</v>
          </cell>
          <cell r="I7">
            <v>0</v>
          </cell>
          <cell r="J7">
            <v>0</v>
          </cell>
          <cell r="M7" t="str">
            <v>1AAJ-</v>
          </cell>
          <cell r="N7" t="str">
            <v>DKADU PLANT  - INDIRECT ENGINEERING</v>
          </cell>
          <cell r="Q7">
            <v>0</v>
          </cell>
          <cell r="R7">
            <v>0</v>
          </cell>
          <cell r="S7">
            <v>0</v>
          </cell>
          <cell r="T7">
            <v>0</v>
          </cell>
          <cell r="U7">
            <v>0</v>
          </cell>
          <cell r="X7" t="str">
            <v>1AAAD</v>
          </cell>
          <cell r="Y7" t="str">
            <v>DKADU PLANT  - DIR. ENG.  MECHANICAL</v>
          </cell>
          <cell r="Z7">
            <v>60</v>
          </cell>
          <cell r="AA7" t="str">
            <v>EA</v>
          </cell>
          <cell r="AB7">
            <v>5340</v>
          </cell>
          <cell r="AF7">
            <v>0</v>
          </cell>
          <cell r="AG7">
            <v>0</v>
          </cell>
          <cell r="AH7">
            <v>0</v>
          </cell>
          <cell r="AI7" t="str">
            <v>1ABAAD</v>
          </cell>
          <cell r="AJ7" t="str">
            <v>LP BOOSTER COMPRESSOR KNOCK-OUT DRUM</v>
          </cell>
          <cell r="AK7">
            <v>1</v>
          </cell>
          <cell r="AL7" t="str">
            <v>EA</v>
          </cell>
          <cell r="AM7">
            <v>0</v>
          </cell>
          <cell r="AN7">
            <v>0</v>
          </cell>
          <cell r="AO7">
            <v>43000</v>
          </cell>
          <cell r="AP7">
            <v>0</v>
          </cell>
          <cell r="AQ7">
            <v>43000</v>
          </cell>
          <cell r="AR7">
            <v>0</v>
          </cell>
        </row>
        <row r="8">
          <cell r="B8" t="str">
            <v>1A---</v>
          </cell>
          <cell r="C8" t="str">
            <v xml:space="preserve">SUBTOTAL DKADU PLANT </v>
          </cell>
          <cell r="F8">
            <v>218410</v>
          </cell>
          <cell r="G8">
            <v>2551320</v>
          </cell>
          <cell r="H8">
            <v>28083700</v>
          </cell>
          <cell r="I8">
            <v>0</v>
          </cell>
          <cell r="J8">
            <v>30635020</v>
          </cell>
          <cell r="M8" t="str">
            <v>1AA--</v>
          </cell>
          <cell r="N8" t="str">
            <v>SUBTOTAL DKADU PLANT  - ENGINEERING/PROCUREMENT</v>
          </cell>
          <cell r="Q8">
            <v>6250</v>
          </cell>
          <cell r="R8">
            <v>0</v>
          </cell>
          <cell r="S8">
            <v>0</v>
          </cell>
          <cell r="T8">
            <v>0</v>
          </cell>
          <cell r="U8">
            <v>0</v>
          </cell>
          <cell r="X8" t="str">
            <v>1AAAE</v>
          </cell>
          <cell r="Y8" t="str">
            <v>DKADU PLANT  - DIR. ENG.  PIPING</v>
          </cell>
          <cell r="AF8">
            <v>0</v>
          </cell>
          <cell r="AG8">
            <v>0</v>
          </cell>
          <cell r="AH8">
            <v>0</v>
          </cell>
          <cell r="AI8" t="str">
            <v>1ABAAE</v>
          </cell>
          <cell r="AJ8" t="str">
            <v>RAW NGL SURGE DRUM</v>
          </cell>
          <cell r="AK8">
            <v>1</v>
          </cell>
          <cell r="AL8" t="str">
            <v>EA</v>
          </cell>
          <cell r="AM8">
            <v>0</v>
          </cell>
          <cell r="AN8">
            <v>0</v>
          </cell>
          <cell r="AO8">
            <v>96000</v>
          </cell>
          <cell r="AP8">
            <v>0</v>
          </cell>
          <cell r="AQ8">
            <v>96000</v>
          </cell>
          <cell r="AR8">
            <v>0</v>
          </cell>
        </row>
        <row r="9">
          <cell r="X9" t="str">
            <v>1AAAF</v>
          </cell>
          <cell r="Y9" t="str">
            <v>DKADU PLANT  - DIR. ENG.  ELECTRICAL</v>
          </cell>
          <cell r="AF9">
            <v>0</v>
          </cell>
          <cell r="AG9">
            <v>0</v>
          </cell>
          <cell r="AH9">
            <v>0</v>
          </cell>
          <cell r="AI9" t="str">
            <v>1ABAAF</v>
          </cell>
          <cell r="AJ9" t="str">
            <v>RECYCLE COMPRESSORS SUCTION SCRUBBERS</v>
          </cell>
          <cell r="AK9">
            <v>3</v>
          </cell>
          <cell r="AL9" t="str">
            <v>EA</v>
          </cell>
          <cell r="AM9">
            <v>0</v>
          </cell>
          <cell r="AN9">
            <v>0</v>
          </cell>
          <cell r="AO9">
            <v>286000</v>
          </cell>
          <cell r="AP9">
            <v>0</v>
          </cell>
          <cell r="AQ9">
            <v>286000</v>
          </cell>
          <cell r="AR9">
            <v>0</v>
          </cell>
        </row>
        <row r="10">
          <cell r="B10" t="str">
            <v>1BA--</v>
          </cell>
          <cell r="C10" t="str">
            <v>NGL-4 PLANT  ENGINEERING/PROCUREMENT</v>
          </cell>
          <cell r="F10">
            <v>10006</v>
          </cell>
          <cell r="G10">
            <v>0</v>
          </cell>
          <cell r="H10">
            <v>0</v>
          </cell>
          <cell r="I10">
            <v>0</v>
          </cell>
          <cell r="J10">
            <v>0</v>
          </cell>
          <cell r="M10" t="str">
            <v>1ABA-</v>
          </cell>
          <cell r="N10" t="str">
            <v>DKADU PLANT  - FAB/DELIVERY - MAJOR EQUIPMENT</v>
          </cell>
          <cell r="Q10">
            <v>0</v>
          </cell>
          <cell r="R10">
            <v>0</v>
          </cell>
          <cell r="S10">
            <v>28083700</v>
          </cell>
          <cell r="T10">
            <v>0</v>
          </cell>
          <cell r="U10">
            <v>28083700</v>
          </cell>
          <cell r="X10" t="str">
            <v>1AAAG</v>
          </cell>
          <cell r="Y10" t="str">
            <v>DKADU PLANT  - DIR. ENG.  INSTRUMENTATION</v>
          </cell>
          <cell r="AF10">
            <v>0</v>
          </cell>
          <cell r="AG10">
            <v>0</v>
          </cell>
          <cell r="AH10">
            <v>0</v>
          </cell>
          <cell r="AI10" t="str">
            <v>1ABAAX</v>
          </cell>
          <cell r="AJ10" t="str">
            <v>OTHER PRESSURE VESSELS</v>
          </cell>
          <cell r="AK10">
            <v>4</v>
          </cell>
          <cell r="AL10" t="str">
            <v>EA</v>
          </cell>
          <cell r="AM10">
            <v>0</v>
          </cell>
          <cell r="AN10">
            <v>0</v>
          </cell>
          <cell r="AO10">
            <v>135000</v>
          </cell>
          <cell r="AP10">
            <v>0</v>
          </cell>
          <cell r="AQ10">
            <v>135000</v>
          </cell>
          <cell r="AR10">
            <v>0</v>
          </cell>
        </row>
        <row r="11">
          <cell r="B11" t="str">
            <v>1BB--</v>
          </cell>
          <cell r="C11" t="str">
            <v>NGL-4 PLANT  FABRICATION/DELIVERY</v>
          </cell>
          <cell r="F11">
            <v>0</v>
          </cell>
          <cell r="G11">
            <v>0</v>
          </cell>
          <cell r="H11">
            <v>0</v>
          </cell>
          <cell r="I11">
            <v>0</v>
          </cell>
          <cell r="J11">
            <v>0</v>
          </cell>
          <cell r="M11" t="str">
            <v>1ABB-</v>
          </cell>
          <cell r="N11" t="str">
            <v>DKADU PLANT  - FAB/DELIVERY - BULKS</v>
          </cell>
          <cell r="Q11">
            <v>0</v>
          </cell>
          <cell r="R11">
            <v>0</v>
          </cell>
          <cell r="S11">
            <v>0</v>
          </cell>
          <cell r="T11">
            <v>0</v>
          </cell>
          <cell r="U11">
            <v>0</v>
          </cell>
          <cell r="X11" t="str">
            <v>1AAAH</v>
          </cell>
          <cell r="Y11" t="str">
            <v>DKADU PLANT  - DIR. ENG.  ARCHITECTURAL</v>
          </cell>
          <cell r="AF11">
            <v>0</v>
          </cell>
          <cell r="AG11">
            <v>0</v>
          </cell>
          <cell r="AH11">
            <v>0</v>
          </cell>
          <cell r="AI11" t="str">
            <v>1ABAA-</v>
          </cell>
          <cell r="AJ11" t="str">
            <v>SUBTOTAL PRESSURE VESSELS</v>
          </cell>
          <cell r="AK11">
            <v>12</v>
          </cell>
          <cell r="AL11">
            <v>0</v>
          </cell>
          <cell r="AM11">
            <v>0</v>
          </cell>
          <cell r="AN11">
            <v>0</v>
          </cell>
          <cell r="AO11">
            <v>2458000</v>
          </cell>
          <cell r="AP11">
            <v>0</v>
          </cell>
          <cell r="AQ11">
            <v>2458000</v>
          </cell>
          <cell r="AR11">
            <v>0</v>
          </cell>
        </row>
        <row r="12">
          <cell r="B12" t="str">
            <v>1BC--</v>
          </cell>
          <cell r="C12" t="str">
            <v>NGL-4 PLANT  CONSTRUCTION</v>
          </cell>
          <cell r="F12">
            <v>376990</v>
          </cell>
          <cell r="G12">
            <v>5042400</v>
          </cell>
          <cell r="H12">
            <v>0</v>
          </cell>
          <cell r="I12">
            <v>0</v>
          </cell>
          <cell r="J12">
            <v>5042400</v>
          </cell>
          <cell r="M12" t="str">
            <v>1ABC-</v>
          </cell>
          <cell r="N12" t="str">
            <v>DKADU  - FAB/DELIVERY - ENGINEERING SPECIALTIES</v>
          </cell>
          <cell r="Q12">
            <v>0</v>
          </cell>
          <cell r="R12">
            <v>0</v>
          </cell>
          <cell r="S12">
            <v>0</v>
          </cell>
          <cell r="T12">
            <v>0</v>
          </cell>
          <cell r="U12">
            <v>0</v>
          </cell>
          <cell r="X12" t="str">
            <v>1AAAI</v>
          </cell>
          <cell r="Y12" t="str">
            <v>DKADU  - DIR. ENG.  PIPELINES</v>
          </cell>
          <cell r="Z12" t="str">
            <v>N/A</v>
          </cell>
          <cell r="AA12" t="str">
            <v>N/A</v>
          </cell>
          <cell r="AB12" t="str">
            <v>N/A</v>
          </cell>
          <cell r="AC12" t="str">
            <v>N/A</v>
          </cell>
          <cell r="AD12" t="str">
            <v>N/A</v>
          </cell>
          <cell r="AE12" t="str">
            <v>N/A</v>
          </cell>
          <cell r="AF12" t="str">
            <v>N/A</v>
          </cell>
          <cell r="AG12">
            <v>0</v>
          </cell>
          <cell r="AH12">
            <v>0</v>
          </cell>
          <cell r="AI12">
            <v>0</v>
          </cell>
          <cell r="AJ12">
            <v>0</v>
          </cell>
          <cell r="AK12">
            <v>0</v>
          </cell>
          <cell r="AL12">
            <v>0</v>
          </cell>
          <cell r="AM12">
            <v>0</v>
          </cell>
          <cell r="AN12">
            <v>0</v>
          </cell>
          <cell r="AO12">
            <v>0</v>
          </cell>
          <cell r="AP12">
            <v>0</v>
          </cell>
          <cell r="AQ12">
            <v>0</v>
          </cell>
          <cell r="AR12">
            <v>0</v>
          </cell>
        </row>
        <row r="13">
          <cell r="B13" t="str">
            <v>1BD--</v>
          </cell>
          <cell r="C13" t="str">
            <v>NGL-4 PLANT  COMMISSIONING, STARTUP &amp; TRAINING</v>
          </cell>
          <cell r="F13">
            <v>0</v>
          </cell>
          <cell r="G13">
            <v>0</v>
          </cell>
          <cell r="H13">
            <v>0</v>
          </cell>
          <cell r="I13">
            <v>0</v>
          </cell>
          <cell r="J13">
            <v>0</v>
          </cell>
          <cell r="M13" t="str">
            <v>1AB--</v>
          </cell>
          <cell r="N13" t="str">
            <v>SUBTOTAL DKADU  - FABRICATION/DELIVERY</v>
          </cell>
          <cell r="Q13">
            <v>0</v>
          </cell>
          <cell r="R13">
            <v>0</v>
          </cell>
          <cell r="S13">
            <v>28083700</v>
          </cell>
          <cell r="T13">
            <v>0</v>
          </cell>
          <cell r="U13">
            <v>28083700</v>
          </cell>
          <cell r="X13" t="str">
            <v>1AAA-</v>
          </cell>
          <cell r="Y13" t="str">
            <v>SUBTOTAL - DKADU  - DIRECT ENGINEERING</v>
          </cell>
          <cell r="Z13">
            <v>60</v>
          </cell>
          <cell r="AA13" t="str">
            <v>N/A</v>
          </cell>
          <cell r="AB13">
            <v>5340</v>
          </cell>
          <cell r="AC13">
            <v>0</v>
          </cell>
          <cell r="AD13">
            <v>0</v>
          </cell>
          <cell r="AE13">
            <v>0</v>
          </cell>
          <cell r="AF13">
            <v>0</v>
          </cell>
          <cell r="AG13">
            <v>0</v>
          </cell>
          <cell r="AH13">
            <v>0</v>
          </cell>
          <cell r="AI13" t="str">
            <v>1ABABA</v>
          </cell>
          <cell r="AJ13" t="str">
            <v>HP DEMETHANISER COLUMN</v>
          </cell>
          <cell r="AK13">
            <v>1</v>
          </cell>
          <cell r="AL13" t="str">
            <v>EA</v>
          </cell>
          <cell r="AM13">
            <v>0</v>
          </cell>
          <cell r="AN13">
            <v>0</v>
          </cell>
          <cell r="AO13">
            <v>2277000</v>
          </cell>
          <cell r="AP13">
            <v>0</v>
          </cell>
          <cell r="AQ13">
            <v>2277000</v>
          </cell>
          <cell r="AR13">
            <v>0</v>
          </cell>
        </row>
        <row r="14">
          <cell r="B14" t="str">
            <v>1B---</v>
          </cell>
          <cell r="C14" t="str">
            <v xml:space="preserve">SUBTOTAL NGL-4 PLANT </v>
          </cell>
          <cell r="F14">
            <v>386996</v>
          </cell>
          <cell r="G14">
            <v>5042400</v>
          </cell>
          <cell r="H14">
            <v>0</v>
          </cell>
          <cell r="I14">
            <v>0</v>
          </cell>
          <cell r="J14">
            <v>5042400</v>
          </cell>
          <cell r="AI14" t="str">
            <v>1ABABB</v>
          </cell>
          <cell r="AJ14" t="str">
            <v>LP DEMETHANISER COLUMN</v>
          </cell>
          <cell r="AK14">
            <v>1</v>
          </cell>
          <cell r="AL14" t="str">
            <v>EA</v>
          </cell>
          <cell r="AO14">
            <v>992000</v>
          </cell>
          <cell r="AQ14">
            <v>992000</v>
          </cell>
        </row>
        <row r="15">
          <cell r="M15" t="str">
            <v>1ACA-</v>
          </cell>
          <cell r="N15" t="str">
            <v>DKADU  - CONSTRUCTION - CIVIL</v>
          </cell>
          <cell r="Q15">
            <v>0</v>
          </cell>
          <cell r="R15">
            <v>0</v>
          </cell>
          <cell r="S15">
            <v>0</v>
          </cell>
          <cell r="T15">
            <v>0</v>
          </cell>
          <cell r="U15">
            <v>0</v>
          </cell>
          <cell r="X15" t="str">
            <v>1AAHA</v>
          </cell>
          <cell r="Y15" t="str">
            <v>DKADU  - EQUIP. SPECS - PRESSURE VESSELS</v>
          </cell>
          <cell r="Z15">
            <v>12</v>
          </cell>
          <cell r="AA15" t="str">
            <v>EA</v>
          </cell>
          <cell r="AB15">
            <v>130</v>
          </cell>
          <cell r="AF15">
            <v>0</v>
          </cell>
          <cell r="AG15">
            <v>0</v>
          </cell>
          <cell r="AH15">
            <v>0</v>
          </cell>
          <cell r="AI15" t="str">
            <v>1ABABX</v>
          </cell>
          <cell r="AJ15" t="str">
            <v>OTHER COLUMNS</v>
          </cell>
          <cell r="AK15">
            <v>0</v>
          </cell>
          <cell r="AL15">
            <v>0</v>
          </cell>
          <cell r="AM15">
            <v>0</v>
          </cell>
          <cell r="AN15">
            <v>0</v>
          </cell>
          <cell r="AO15">
            <v>0</v>
          </cell>
          <cell r="AP15">
            <v>0</v>
          </cell>
          <cell r="AQ15">
            <v>0</v>
          </cell>
          <cell r="AR15">
            <v>0</v>
          </cell>
        </row>
        <row r="16">
          <cell r="B16" t="str">
            <v>1CA--</v>
          </cell>
          <cell r="C16" t="str">
            <v>NFGP UPGRADE  ENGINEERING/PROCUREMENT</v>
          </cell>
          <cell r="F16">
            <v>3072</v>
          </cell>
          <cell r="G16">
            <v>0</v>
          </cell>
          <cell r="H16">
            <v>0</v>
          </cell>
          <cell r="I16">
            <v>0</v>
          </cell>
          <cell r="J16">
            <v>0</v>
          </cell>
          <cell r="M16" t="str">
            <v>1ACB-</v>
          </cell>
          <cell r="N16" t="str">
            <v>DKADU  - CONSTRUCTION - MAJOR EQUIPMENT</v>
          </cell>
          <cell r="Q16">
            <v>212160</v>
          </cell>
          <cell r="R16">
            <v>2551320</v>
          </cell>
          <cell r="S16">
            <v>0</v>
          </cell>
          <cell r="T16">
            <v>0</v>
          </cell>
          <cell r="U16">
            <v>2551320</v>
          </cell>
          <cell r="X16" t="str">
            <v>1AAHB</v>
          </cell>
          <cell r="Y16" t="str">
            <v>DKADU  - EQUIP. SPECS - COLUMNS</v>
          </cell>
          <cell r="Z16">
            <v>2</v>
          </cell>
          <cell r="AA16" t="str">
            <v>EA</v>
          </cell>
          <cell r="AB16">
            <v>120</v>
          </cell>
          <cell r="AF16">
            <v>0</v>
          </cell>
          <cell r="AG16">
            <v>0</v>
          </cell>
          <cell r="AH16">
            <v>0</v>
          </cell>
          <cell r="AI16" t="str">
            <v>1ABAB</v>
          </cell>
          <cell r="AJ16" t="str">
            <v>SUBTOTAL COLUMNS</v>
          </cell>
          <cell r="AK16">
            <v>2</v>
          </cell>
          <cell r="AL16">
            <v>0</v>
          </cell>
          <cell r="AM16">
            <v>0</v>
          </cell>
          <cell r="AN16">
            <v>0</v>
          </cell>
          <cell r="AO16">
            <v>3269000</v>
          </cell>
          <cell r="AP16">
            <v>0</v>
          </cell>
          <cell r="AQ16">
            <v>3269000</v>
          </cell>
          <cell r="AR16">
            <v>0</v>
          </cell>
        </row>
        <row r="17">
          <cell r="B17" t="str">
            <v>1CB--</v>
          </cell>
          <cell r="C17" t="str">
            <v>NFGP UPGRADE  FABRICATION/DELIVERY</v>
          </cell>
          <cell r="F17">
            <v>0</v>
          </cell>
          <cell r="G17">
            <v>0</v>
          </cell>
          <cell r="H17">
            <v>0</v>
          </cell>
          <cell r="I17">
            <v>0</v>
          </cell>
          <cell r="J17">
            <v>0</v>
          </cell>
          <cell r="M17" t="str">
            <v>1ACC-</v>
          </cell>
          <cell r="N17" t="str">
            <v>DKADU  - CONSTRUCTION - BULKS</v>
          </cell>
          <cell r="Q17">
            <v>0</v>
          </cell>
          <cell r="R17">
            <v>0</v>
          </cell>
          <cell r="S17">
            <v>0</v>
          </cell>
          <cell r="T17">
            <v>0</v>
          </cell>
          <cell r="U17">
            <v>0</v>
          </cell>
          <cell r="X17" t="str">
            <v>1AAHC</v>
          </cell>
          <cell r="Y17" t="str">
            <v>DKADU  - EQUIP. SPECS - REACTORS</v>
          </cell>
          <cell r="AF17">
            <v>0</v>
          </cell>
          <cell r="AG17">
            <v>0</v>
          </cell>
          <cell r="AH17">
            <v>0</v>
          </cell>
          <cell r="AI17">
            <v>0</v>
          </cell>
          <cell r="AJ17">
            <v>0</v>
          </cell>
          <cell r="AK17">
            <v>0</v>
          </cell>
          <cell r="AL17">
            <v>0</v>
          </cell>
          <cell r="AM17">
            <v>0</v>
          </cell>
          <cell r="AN17">
            <v>0</v>
          </cell>
          <cell r="AO17">
            <v>0</v>
          </cell>
          <cell r="AP17">
            <v>0</v>
          </cell>
          <cell r="AQ17">
            <v>0</v>
          </cell>
          <cell r="AR17">
            <v>0</v>
          </cell>
        </row>
        <row r="18">
          <cell r="B18" t="str">
            <v>1CC--</v>
          </cell>
          <cell r="C18" t="str">
            <v>NFGP UPGRADE  CONSTRUCTION</v>
          </cell>
          <cell r="F18">
            <v>48970</v>
          </cell>
          <cell r="G18">
            <v>859300</v>
          </cell>
          <cell r="H18">
            <v>0</v>
          </cell>
          <cell r="I18">
            <v>0</v>
          </cell>
          <cell r="J18">
            <v>859300</v>
          </cell>
          <cell r="M18" t="str">
            <v>1ACD-</v>
          </cell>
          <cell r="N18" t="str">
            <v>DKADU  - CONSTRUCTION - CONSTRUCTION SPECIALTIES</v>
          </cell>
          <cell r="Q18">
            <v>0</v>
          </cell>
          <cell r="R18">
            <v>0</v>
          </cell>
          <cell r="S18">
            <v>0</v>
          </cell>
          <cell r="T18">
            <v>0</v>
          </cell>
          <cell r="U18">
            <v>0</v>
          </cell>
          <cell r="X18" t="str">
            <v>1AAHD</v>
          </cell>
          <cell r="Y18" t="str">
            <v>DKADU  - EQUIP. SPECS - FIELD ERECTED TANKS</v>
          </cell>
          <cell r="Z18" t="str">
            <v>N/A</v>
          </cell>
          <cell r="AA18" t="str">
            <v>N/A</v>
          </cell>
          <cell r="AB18" t="str">
            <v>N/A</v>
          </cell>
          <cell r="AC18" t="str">
            <v>N/A</v>
          </cell>
          <cell r="AD18" t="str">
            <v>N/A</v>
          </cell>
          <cell r="AE18" t="str">
            <v>N/A</v>
          </cell>
          <cell r="AF18" t="str">
            <v>N/A</v>
          </cell>
          <cell r="AG18">
            <v>0</v>
          </cell>
          <cell r="AH18">
            <v>0</v>
          </cell>
          <cell r="AI18" t="str">
            <v>1ABAEA</v>
          </cell>
          <cell r="AJ18" t="str">
            <v>DEMETHANIZER BOTTOM BOOSTER PUMP W/ DRIVERS</v>
          </cell>
          <cell r="AK18">
            <v>3</v>
          </cell>
          <cell r="AL18" t="str">
            <v>EA</v>
          </cell>
          <cell r="AM18">
            <v>0</v>
          </cell>
          <cell r="AN18">
            <v>0</v>
          </cell>
          <cell r="AO18">
            <v>390000</v>
          </cell>
          <cell r="AP18">
            <v>0</v>
          </cell>
          <cell r="AQ18">
            <v>390000</v>
          </cell>
          <cell r="AR18">
            <v>0</v>
          </cell>
        </row>
        <row r="19">
          <cell r="B19" t="str">
            <v>1CD--</v>
          </cell>
          <cell r="C19" t="str">
            <v>NFGP UPGRADE  COMMISSIONING, STARTUP &amp; TRAINING</v>
          </cell>
          <cell r="F19">
            <v>0</v>
          </cell>
          <cell r="G19">
            <v>0</v>
          </cell>
          <cell r="H19">
            <v>0</v>
          </cell>
          <cell r="I19">
            <v>0</v>
          </cell>
          <cell r="J19">
            <v>0</v>
          </cell>
          <cell r="M19" t="str">
            <v>1ACE-</v>
          </cell>
          <cell r="N19" t="str">
            <v>DKADU  - CONSTRUCTION - OTHER DIRECT WORK</v>
          </cell>
          <cell r="Q19">
            <v>0</v>
          </cell>
          <cell r="R19">
            <v>0</v>
          </cell>
          <cell r="S19">
            <v>0</v>
          </cell>
          <cell r="T19">
            <v>0</v>
          </cell>
          <cell r="U19">
            <v>0</v>
          </cell>
          <cell r="X19" t="str">
            <v>1AAHE</v>
          </cell>
          <cell r="Y19" t="str">
            <v>DKADU  - EQUIP. SPECS - PUMPS</v>
          </cell>
          <cell r="Z19">
            <v>7</v>
          </cell>
          <cell r="AA19" t="str">
            <v>EA</v>
          </cell>
          <cell r="AB19">
            <v>150</v>
          </cell>
          <cell r="AF19">
            <v>0</v>
          </cell>
          <cell r="AG19">
            <v>0</v>
          </cell>
          <cell r="AH19">
            <v>0</v>
          </cell>
          <cell r="AI19" t="str">
            <v>1ABAEB</v>
          </cell>
          <cell r="AJ19" t="str">
            <v>NGL PIPELINE PUMP W/ DRIVERS</v>
          </cell>
          <cell r="AK19">
            <v>3</v>
          </cell>
          <cell r="AL19" t="str">
            <v>EA</v>
          </cell>
          <cell r="AM19">
            <v>0</v>
          </cell>
          <cell r="AN19">
            <v>0</v>
          </cell>
          <cell r="AO19">
            <v>561000</v>
          </cell>
          <cell r="AP19">
            <v>0</v>
          </cell>
          <cell r="AQ19">
            <v>561000</v>
          </cell>
          <cell r="AR19">
            <v>0</v>
          </cell>
        </row>
        <row r="20">
          <cell r="B20" t="str">
            <v>1C---</v>
          </cell>
          <cell r="C20" t="str">
            <v xml:space="preserve">SUBTOTAL NFGP UPGRADE </v>
          </cell>
          <cell r="F20">
            <v>52042</v>
          </cell>
          <cell r="G20">
            <v>859300</v>
          </cell>
          <cell r="H20">
            <v>0</v>
          </cell>
          <cell r="I20">
            <v>0</v>
          </cell>
          <cell r="J20">
            <v>859300</v>
          </cell>
          <cell r="M20" t="str">
            <v>1ACF-</v>
          </cell>
          <cell r="N20" t="str">
            <v>DKADU  - CONSTRUCTION - INDIRECTS</v>
          </cell>
          <cell r="Q20">
            <v>0</v>
          </cell>
          <cell r="R20">
            <v>0</v>
          </cell>
          <cell r="S20">
            <v>0</v>
          </cell>
          <cell r="T20">
            <v>0</v>
          </cell>
          <cell r="U20">
            <v>0</v>
          </cell>
          <cell r="X20" t="str">
            <v>1AAHF</v>
          </cell>
          <cell r="Y20" t="str">
            <v>DKADU  - EQUIP. SPECS - HEAT EXCHANGERS - S &amp; T</v>
          </cell>
          <cell r="Z20">
            <v>18</v>
          </cell>
          <cell r="AA20" t="str">
            <v>EA</v>
          </cell>
          <cell r="AB20">
            <v>160</v>
          </cell>
          <cell r="AF20">
            <v>0</v>
          </cell>
          <cell r="AG20">
            <v>0</v>
          </cell>
          <cell r="AH20">
            <v>0</v>
          </cell>
          <cell r="AI20" t="str">
            <v>1ABAEX</v>
          </cell>
          <cell r="AJ20" t="str">
            <v>OTHER PUMPS</v>
          </cell>
          <cell r="AK20">
            <v>1</v>
          </cell>
          <cell r="AL20" t="str">
            <v>EA</v>
          </cell>
          <cell r="AM20">
            <v>0</v>
          </cell>
          <cell r="AN20">
            <v>0</v>
          </cell>
          <cell r="AO20">
            <v>6000</v>
          </cell>
          <cell r="AP20">
            <v>0</v>
          </cell>
          <cell r="AQ20">
            <v>6000</v>
          </cell>
          <cell r="AR20">
            <v>0</v>
          </cell>
        </row>
        <row r="21">
          <cell r="M21" t="str">
            <v>1AC--</v>
          </cell>
          <cell r="N21" t="str">
            <v>SUBTOTAL DKADU PLANT  - CONSTRUCTION</v>
          </cell>
          <cell r="Q21">
            <v>212160</v>
          </cell>
          <cell r="R21">
            <v>2551320</v>
          </cell>
          <cell r="S21">
            <v>0</v>
          </cell>
          <cell r="T21">
            <v>0</v>
          </cell>
          <cell r="U21">
            <v>2551320</v>
          </cell>
          <cell r="X21" t="str">
            <v>1AAHG</v>
          </cell>
          <cell r="Y21" t="str">
            <v>DKADU PLANT  - EQUIP. SPECS - HEAT EXCHANGERS - FINNED</v>
          </cell>
          <cell r="AF21">
            <v>0</v>
          </cell>
          <cell r="AG21">
            <v>0</v>
          </cell>
          <cell r="AH21">
            <v>0</v>
          </cell>
          <cell r="AI21" t="str">
            <v>1ABAE-</v>
          </cell>
          <cell r="AJ21" t="str">
            <v>SUBTOTAL PUMPS</v>
          </cell>
          <cell r="AK21">
            <v>7</v>
          </cell>
          <cell r="AL21">
            <v>0</v>
          </cell>
          <cell r="AM21">
            <v>0</v>
          </cell>
          <cell r="AN21">
            <v>0</v>
          </cell>
          <cell r="AO21">
            <v>957000</v>
          </cell>
          <cell r="AP21">
            <v>0</v>
          </cell>
          <cell r="AQ21">
            <v>957000</v>
          </cell>
          <cell r="AR21">
            <v>0</v>
          </cell>
        </row>
        <row r="22">
          <cell r="B22" t="str">
            <v>1DA--</v>
          </cell>
          <cell r="C22" t="str">
            <v>PIPELINE ENGINEERING/PROCUREMENT</v>
          </cell>
          <cell r="F22">
            <v>0</v>
          </cell>
          <cell r="G22">
            <v>0</v>
          </cell>
          <cell r="H22">
            <v>0</v>
          </cell>
          <cell r="I22">
            <v>0</v>
          </cell>
          <cell r="J22">
            <v>0</v>
          </cell>
          <cell r="X22" t="str">
            <v>1AAHH</v>
          </cell>
          <cell r="Y22" t="str">
            <v>DKADU PLANT  - EQUIP. SPECS - EXTRUDERS</v>
          </cell>
          <cell r="Z22" t="str">
            <v>N/A</v>
          </cell>
          <cell r="AA22" t="str">
            <v>N/A</v>
          </cell>
          <cell r="AB22" t="str">
            <v>N/A</v>
          </cell>
          <cell r="AC22" t="str">
            <v>N/A</v>
          </cell>
          <cell r="AD22" t="str">
            <v>N/A</v>
          </cell>
          <cell r="AE22" t="str">
            <v>N/A</v>
          </cell>
          <cell r="AF22" t="str">
            <v>N/A</v>
          </cell>
          <cell r="AG22">
            <v>0</v>
          </cell>
          <cell r="AH22">
            <v>0</v>
          </cell>
          <cell r="AI22">
            <v>0</v>
          </cell>
          <cell r="AJ22">
            <v>0</v>
          </cell>
          <cell r="AK22">
            <v>0</v>
          </cell>
          <cell r="AL22">
            <v>0</v>
          </cell>
          <cell r="AM22">
            <v>0</v>
          </cell>
          <cell r="AN22">
            <v>0</v>
          </cell>
          <cell r="AO22">
            <v>0</v>
          </cell>
          <cell r="AP22">
            <v>0</v>
          </cell>
        </row>
        <row r="23">
          <cell r="B23" t="str">
            <v>1DB--</v>
          </cell>
          <cell r="C23" t="str">
            <v>PIPELINE  FABRICATION/DELIVERY</v>
          </cell>
          <cell r="F23">
            <v>0</v>
          </cell>
          <cell r="G23">
            <v>0</v>
          </cell>
          <cell r="H23">
            <v>0</v>
          </cell>
          <cell r="I23">
            <v>0</v>
          </cell>
          <cell r="J23">
            <v>0</v>
          </cell>
          <cell r="M23" t="str">
            <v>1ADA-</v>
          </cell>
          <cell r="N23" t="str">
            <v>DKADU PLANT  - COMMISSIONING</v>
          </cell>
          <cell r="Q23">
            <v>0</v>
          </cell>
          <cell r="R23">
            <v>0</v>
          </cell>
          <cell r="S23">
            <v>0</v>
          </cell>
          <cell r="T23">
            <v>0</v>
          </cell>
          <cell r="U23">
            <v>0</v>
          </cell>
          <cell r="X23" t="str">
            <v>1AAHI</v>
          </cell>
          <cell r="Y23" t="str">
            <v>DKADU PLANT  - EQUIP. SPECS - COMPRESSORS</v>
          </cell>
          <cell r="Z23">
            <v>15</v>
          </cell>
          <cell r="AA23" t="str">
            <v>EA</v>
          </cell>
          <cell r="AB23">
            <v>250</v>
          </cell>
          <cell r="AF23">
            <v>0</v>
          </cell>
          <cell r="AG23">
            <v>0</v>
          </cell>
          <cell r="AH23">
            <v>0</v>
          </cell>
          <cell r="AI23" t="str">
            <v>1ABAFA</v>
          </cell>
          <cell r="AJ23" t="str">
            <v>DEMETHANIZER FEED CHILLER W/ OH REFLUX COOLER</v>
          </cell>
          <cell r="AK23">
            <v>2</v>
          </cell>
          <cell r="AL23" t="str">
            <v>EA</v>
          </cell>
          <cell r="AM23">
            <v>0</v>
          </cell>
          <cell r="AN23">
            <v>0</v>
          </cell>
          <cell r="AO23">
            <v>2298000</v>
          </cell>
          <cell r="AP23">
            <v>0</v>
          </cell>
          <cell r="AQ23">
            <v>2298000</v>
          </cell>
          <cell r="AR23">
            <v>0</v>
          </cell>
        </row>
        <row r="24">
          <cell r="B24" t="str">
            <v>1DC--</v>
          </cell>
          <cell r="C24" t="str">
            <v>PIPELINE CONSTRUCTION</v>
          </cell>
          <cell r="F24">
            <v>0</v>
          </cell>
          <cell r="G24">
            <v>0</v>
          </cell>
          <cell r="H24">
            <v>0</v>
          </cell>
          <cell r="I24">
            <v>0</v>
          </cell>
          <cell r="J24">
            <v>0</v>
          </cell>
          <cell r="M24" t="str">
            <v>1ADB-</v>
          </cell>
          <cell r="N24" t="str">
            <v>DKADU PLANT  -STARTUP</v>
          </cell>
          <cell r="Q24">
            <v>0</v>
          </cell>
          <cell r="R24">
            <v>0</v>
          </cell>
          <cell r="S24">
            <v>0</v>
          </cell>
          <cell r="T24">
            <v>0</v>
          </cell>
          <cell r="U24">
            <v>0</v>
          </cell>
          <cell r="X24" t="str">
            <v>1AAHJ</v>
          </cell>
          <cell r="Y24" t="str">
            <v>DKADU PLANT  - EQUIP. SPECS - GENERATORS</v>
          </cell>
          <cell r="Z24" t="str">
            <v>N/A</v>
          </cell>
          <cell r="AA24" t="str">
            <v>N/A</v>
          </cell>
          <cell r="AB24" t="str">
            <v>N/A</v>
          </cell>
          <cell r="AC24" t="str">
            <v>N/A</v>
          </cell>
          <cell r="AD24" t="str">
            <v>N/A</v>
          </cell>
          <cell r="AE24" t="str">
            <v>N/A</v>
          </cell>
          <cell r="AF24" t="str">
            <v>N/A</v>
          </cell>
          <cell r="AG24">
            <v>0</v>
          </cell>
          <cell r="AH24">
            <v>0</v>
          </cell>
          <cell r="AI24" t="str">
            <v>1ABAFB</v>
          </cell>
          <cell r="AJ24" t="str">
            <v>RECYCLE GAS PREHEATER</v>
          </cell>
          <cell r="AK24">
            <v>1</v>
          </cell>
          <cell r="AL24" t="str">
            <v>EA</v>
          </cell>
          <cell r="AM24">
            <v>0</v>
          </cell>
          <cell r="AN24">
            <v>0</v>
          </cell>
          <cell r="AO24">
            <v>1149000</v>
          </cell>
          <cell r="AP24">
            <v>0</v>
          </cell>
          <cell r="AQ24">
            <v>1149000</v>
          </cell>
          <cell r="AR24">
            <v>0</v>
          </cell>
        </row>
        <row r="25">
          <cell r="B25" t="str">
            <v>1DD--</v>
          </cell>
          <cell r="C25" t="str">
            <v>PIPELINE COMMISSIONING, STARTUP &amp; TRAINING</v>
          </cell>
          <cell r="F25">
            <v>0</v>
          </cell>
          <cell r="G25">
            <v>0</v>
          </cell>
          <cell r="H25">
            <v>0</v>
          </cell>
          <cell r="I25">
            <v>0</v>
          </cell>
          <cell r="J25">
            <v>0</v>
          </cell>
          <cell r="M25" t="str">
            <v>1ADC-</v>
          </cell>
          <cell r="N25" t="str">
            <v>DKADU PLANT  -TRAINING</v>
          </cell>
          <cell r="Q25">
            <v>0</v>
          </cell>
          <cell r="R25">
            <v>0</v>
          </cell>
          <cell r="S25">
            <v>0</v>
          </cell>
          <cell r="T25">
            <v>0</v>
          </cell>
          <cell r="U25">
            <v>0</v>
          </cell>
          <cell r="X25" t="str">
            <v>1AAHK</v>
          </cell>
          <cell r="Y25" t="str">
            <v>DKADU PLANT  - EQUIP. SPECS - MOTORS &amp; DRIVERS</v>
          </cell>
          <cell r="AF25">
            <v>0</v>
          </cell>
          <cell r="AG25">
            <v>0</v>
          </cell>
          <cell r="AH25">
            <v>0</v>
          </cell>
          <cell r="AI25" t="str">
            <v>1ABAFC</v>
          </cell>
          <cell r="AJ25" t="str">
            <v>RECYCLE GAS/GAS EXCHANGERS</v>
          </cell>
          <cell r="AK25">
            <v>2</v>
          </cell>
          <cell r="AL25" t="str">
            <v>EA</v>
          </cell>
          <cell r="AM25">
            <v>0</v>
          </cell>
          <cell r="AN25">
            <v>0</v>
          </cell>
          <cell r="AO25">
            <v>385000</v>
          </cell>
          <cell r="AP25">
            <v>0</v>
          </cell>
          <cell r="AQ25">
            <v>385000</v>
          </cell>
          <cell r="AR25">
            <v>0</v>
          </cell>
        </row>
        <row r="26">
          <cell r="B26" t="str">
            <v>1D---</v>
          </cell>
          <cell r="C26" t="str">
            <v>SUBTOTAL PIPELINE</v>
          </cell>
          <cell r="F26">
            <v>0</v>
          </cell>
          <cell r="G26">
            <v>0</v>
          </cell>
          <cell r="H26">
            <v>0</v>
          </cell>
          <cell r="I26">
            <v>0</v>
          </cell>
          <cell r="J26">
            <v>0</v>
          </cell>
          <cell r="M26" t="str">
            <v>1AD--</v>
          </cell>
          <cell r="N26" t="str">
            <v>SUBTOTAL DKADU PLANT  - COMMISSIONING, STARTUP &amp; TRAINING</v>
          </cell>
          <cell r="Q26">
            <v>0</v>
          </cell>
          <cell r="R26">
            <v>0</v>
          </cell>
          <cell r="S26">
            <v>0</v>
          </cell>
          <cell r="T26">
            <v>0</v>
          </cell>
          <cell r="U26">
            <v>0</v>
          </cell>
          <cell r="X26" t="str">
            <v>1AAHL</v>
          </cell>
          <cell r="Y26" t="str">
            <v>DKADU PLANT  - EQUIP. SPECS - FIRED EQUIPMENT</v>
          </cell>
          <cell r="Z26" t="str">
            <v>N/A</v>
          </cell>
          <cell r="AA26" t="str">
            <v>N/A</v>
          </cell>
          <cell r="AB26" t="str">
            <v>N/A</v>
          </cell>
          <cell r="AC26" t="str">
            <v>N/A</v>
          </cell>
          <cell r="AD26" t="str">
            <v>N/A</v>
          </cell>
          <cell r="AE26" t="str">
            <v>N/A</v>
          </cell>
          <cell r="AF26" t="str">
            <v>N/A</v>
          </cell>
          <cell r="AG26">
            <v>0</v>
          </cell>
          <cell r="AH26">
            <v>0</v>
          </cell>
          <cell r="AI26" t="str">
            <v>1ABAFD</v>
          </cell>
          <cell r="AJ26" t="str">
            <v>LP GAS/GAS EXCHANGERS</v>
          </cell>
          <cell r="AK26">
            <v>4</v>
          </cell>
          <cell r="AL26" t="str">
            <v>EA</v>
          </cell>
          <cell r="AM26">
            <v>0</v>
          </cell>
          <cell r="AN26">
            <v>0</v>
          </cell>
          <cell r="AO26">
            <v>1935000</v>
          </cell>
          <cell r="AP26">
            <v>0</v>
          </cell>
          <cell r="AQ26">
            <v>1935000</v>
          </cell>
          <cell r="AR26">
            <v>0</v>
          </cell>
        </row>
        <row r="27">
          <cell r="X27" t="str">
            <v>1AAHM</v>
          </cell>
          <cell r="Y27" t="str">
            <v>DKADU PLANT  - EQUIP. SPECS - BLOWERS, FANS</v>
          </cell>
          <cell r="Z27" t="str">
            <v>N/A</v>
          </cell>
          <cell r="AA27" t="str">
            <v>N/A</v>
          </cell>
          <cell r="AB27" t="str">
            <v>N/A</v>
          </cell>
          <cell r="AC27" t="str">
            <v>N/A</v>
          </cell>
          <cell r="AD27" t="str">
            <v>N/A</v>
          </cell>
          <cell r="AE27" t="str">
            <v>N/A</v>
          </cell>
          <cell r="AF27" t="str">
            <v>N/A</v>
          </cell>
          <cell r="AI27" t="str">
            <v>1ABAFE</v>
          </cell>
          <cell r="AJ27" t="str">
            <v>LP DEMETHANIZER REBOILER</v>
          </cell>
          <cell r="AK27">
            <v>1</v>
          </cell>
          <cell r="AL27" t="str">
            <v>EA</v>
          </cell>
          <cell r="AO27">
            <v>610000</v>
          </cell>
          <cell r="AQ27">
            <v>610000</v>
          </cell>
        </row>
        <row r="28">
          <cell r="B28" t="str">
            <v>1EA--</v>
          </cell>
          <cell r="C28" t="str">
            <v>TANK ENGINEERING/PROCUREMENT</v>
          </cell>
          <cell r="F28">
            <v>0</v>
          </cell>
          <cell r="G28">
            <v>0</v>
          </cell>
          <cell r="H28">
            <v>0</v>
          </cell>
          <cell r="I28">
            <v>0</v>
          </cell>
          <cell r="J28">
            <v>0</v>
          </cell>
          <cell r="X28" t="str">
            <v>1AAHN</v>
          </cell>
          <cell r="Y28" t="str">
            <v>DKADU PLANT  - EQUIP. SPECS - FILTERS</v>
          </cell>
          <cell r="Z28" t="str">
            <v>N/A</v>
          </cell>
          <cell r="AA28" t="str">
            <v>N/A</v>
          </cell>
          <cell r="AB28" t="str">
            <v>N/A</v>
          </cell>
          <cell r="AC28" t="str">
            <v>N/A</v>
          </cell>
          <cell r="AD28" t="str">
            <v>N/A</v>
          </cell>
          <cell r="AE28" t="str">
            <v>N/A</v>
          </cell>
          <cell r="AF28" t="str">
            <v>N/A</v>
          </cell>
          <cell r="AG28">
            <v>0</v>
          </cell>
          <cell r="AH28">
            <v>0</v>
          </cell>
          <cell r="AI28" t="str">
            <v>1ABAFF</v>
          </cell>
          <cell r="AJ28" t="str">
            <v>UPPER SIDE REBOILER</v>
          </cell>
          <cell r="AK28">
            <v>1</v>
          </cell>
          <cell r="AL28" t="str">
            <v>EA</v>
          </cell>
          <cell r="AM28">
            <v>0</v>
          </cell>
          <cell r="AN28">
            <v>0</v>
          </cell>
          <cell r="AO28">
            <v>792000</v>
          </cell>
          <cell r="AP28">
            <v>0</v>
          </cell>
          <cell r="AQ28">
            <v>792000</v>
          </cell>
        </row>
        <row r="29">
          <cell r="B29" t="str">
            <v>1EB--</v>
          </cell>
          <cell r="C29" t="str">
            <v>TANK       FABRICATION/DELIVERY</v>
          </cell>
          <cell r="F29">
            <v>0</v>
          </cell>
          <cell r="G29">
            <v>0</v>
          </cell>
          <cell r="H29">
            <v>0</v>
          </cell>
          <cell r="I29">
            <v>0</v>
          </cell>
          <cell r="J29">
            <v>0</v>
          </cell>
          <cell r="X29" t="str">
            <v>1AAHO</v>
          </cell>
          <cell r="Y29" t="str">
            <v>DKADU PLANT  - EQUIP. SPECS - FLARES</v>
          </cell>
          <cell r="Z29" t="str">
            <v>N/A</v>
          </cell>
          <cell r="AA29" t="str">
            <v>N/A</v>
          </cell>
          <cell r="AB29" t="str">
            <v>N/A</v>
          </cell>
          <cell r="AC29" t="str">
            <v>N/A</v>
          </cell>
          <cell r="AD29" t="str">
            <v>N/A</v>
          </cell>
          <cell r="AE29" t="str">
            <v>N/A</v>
          </cell>
          <cell r="AF29" t="str">
            <v>N/A</v>
          </cell>
          <cell r="AG29">
            <v>0</v>
          </cell>
          <cell r="AH29">
            <v>0</v>
          </cell>
          <cell r="AI29" t="str">
            <v>1ABAFG</v>
          </cell>
          <cell r="AJ29" t="str">
            <v>RECYCLE COMPRESSOR AFTER COOLER</v>
          </cell>
          <cell r="AK29">
            <v>3</v>
          </cell>
          <cell r="AL29" t="str">
            <v>EA</v>
          </cell>
          <cell r="AM29">
            <v>0</v>
          </cell>
          <cell r="AN29">
            <v>0</v>
          </cell>
          <cell r="AO29">
            <v>1138000</v>
          </cell>
          <cell r="AP29">
            <v>0</v>
          </cell>
          <cell r="AQ29">
            <v>1138000</v>
          </cell>
        </row>
        <row r="30">
          <cell r="B30" t="str">
            <v>1EC--</v>
          </cell>
          <cell r="C30" t="str">
            <v>TANK CONSTRUCTION</v>
          </cell>
          <cell r="F30">
            <v>0</v>
          </cell>
          <cell r="G30">
            <v>0</v>
          </cell>
          <cell r="H30">
            <v>0</v>
          </cell>
          <cell r="I30">
            <v>0</v>
          </cell>
          <cell r="J30">
            <v>0</v>
          </cell>
          <cell r="X30" t="str">
            <v>1AAHP</v>
          </cell>
          <cell r="Y30" t="str">
            <v>DKADU PLANT  - EQUIP. SPECS - SOLIDS HANDLING EQUIPMENT</v>
          </cell>
          <cell r="Z30" t="str">
            <v>N/A</v>
          </cell>
          <cell r="AA30" t="str">
            <v>N/A</v>
          </cell>
          <cell r="AB30" t="str">
            <v>N/A</v>
          </cell>
          <cell r="AC30" t="str">
            <v>N/A</v>
          </cell>
          <cell r="AD30" t="str">
            <v>N/A</v>
          </cell>
          <cell r="AE30" t="str">
            <v>N/A</v>
          </cell>
          <cell r="AF30" t="str">
            <v>N/A</v>
          </cell>
          <cell r="AG30">
            <v>0</v>
          </cell>
          <cell r="AH30">
            <v>0</v>
          </cell>
          <cell r="AI30" t="str">
            <v>1ABAFX</v>
          </cell>
          <cell r="AJ30" t="str">
            <v>OTHER SHELL &amp; TUBE EXCHANGERS</v>
          </cell>
          <cell r="AK30">
            <v>4</v>
          </cell>
          <cell r="AL30" t="str">
            <v>EA</v>
          </cell>
          <cell r="AM30">
            <v>0</v>
          </cell>
          <cell r="AN30">
            <v>0</v>
          </cell>
          <cell r="AO30">
            <v>862000</v>
          </cell>
          <cell r="AP30">
            <v>0</v>
          </cell>
          <cell r="AQ30">
            <v>862000</v>
          </cell>
        </row>
        <row r="31">
          <cell r="B31" t="str">
            <v>1ED--</v>
          </cell>
          <cell r="C31" t="str">
            <v>TANK COMMISSIONING, STARTUP &amp; TRAINING</v>
          </cell>
          <cell r="F31">
            <v>0</v>
          </cell>
          <cell r="G31">
            <v>0</v>
          </cell>
          <cell r="H31">
            <v>0</v>
          </cell>
          <cell r="I31">
            <v>0</v>
          </cell>
          <cell r="J31">
            <v>0</v>
          </cell>
          <cell r="X31" t="str">
            <v>1AAHQ</v>
          </cell>
          <cell r="Y31" t="str">
            <v>DKADU PLANT  - EQUIP. SPECS - PACKAGED EQUIPMENT</v>
          </cell>
          <cell r="Z31" t="str">
            <v>N/A</v>
          </cell>
          <cell r="AA31" t="str">
            <v>N/A</v>
          </cell>
          <cell r="AB31" t="str">
            <v>N/A</v>
          </cell>
          <cell r="AC31" t="str">
            <v>N/A</v>
          </cell>
          <cell r="AD31" t="str">
            <v>N/A</v>
          </cell>
          <cell r="AE31" t="str">
            <v>N/A</v>
          </cell>
          <cell r="AF31" t="str">
            <v>N/A</v>
          </cell>
          <cell r="AG31">
            <v>0</v>
          </cell>
          <cell r="AH31">
            <v>0</v>
          </cell>
          <cell r="AI31" t="str">
            <v>1ABAF-</v>
          </cell>
          <cell r="AJ31" t="str">
            <v>SUBTOTAL HEAT EXCHANGERS - SHELL &amp; TUBE</v>
          </cell>
          <cell r="AK31">
            <v>18</v>
          </cell>
          <cell r="AL31">
            <v>0</v>
          </cell>
          <cell r="AM31">
            <v>0</v>
          </cell>
          <cell r="AN31">
            <v>0</v>
          </cell>
          <cell r="AO31">
            <v>9169000</v>
          </cell>
          <cell r="AP31">
            <v>0</v>
          </cell>
          <cell r="AQ31">
            <v>9169000</v>
          </cell>
        </row>
        <row r="32">
          <cell r="B32" t="str">
            <v>1E---</v>
          </cell>
          <cell r="C32" t="str">
            <v>SUBTOTAL TANK</v>
          </cell>
          <cell r="F32">
            <v>0</v>
          </cell>
          <cell r="G32">
            <v>0</v>
          </cell>
          <cell r="H32">
            <v>0</v>
          </cell>
          <cell r="I32">
            <v>0</v>
          </cell>
          <cell r="J32">
            <v>0</v>
          </cell>
          <cell r="X32" t="str">
            <v>1AAHX</v>
          </cell>
          <cell r="Y32" t="str">
            <v>DKADU PLANT  - EQUIP. SPECS - OTHERS</v>
          </cell>
          <cell r="Z32">
            <v>6</v>
          </cell>
          <cell r="AA32" t="str">
            <v>EA</v>
          </cell>
          <cell r="AB32">
            <v>100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X33" t="str">
            <v>1AAH-</v>
          </cell>
          <cell r="Y33" t="str">
            <v xml:space="preserve">SUBTOTAL - DKADU PLANT  - EQUIP. SPECS </v>
          </cell>
          <cell r="Z33">
            <v>60</v>
          </cell>
          <cell r="AA33" t="str">
            <v>N/A</v>
          </cell>
          <cell r="AB33">
            <v>910</v>
          </cell>
          <cell r="AC33">
            <v>0</v>
          </cell>
          <cell r="AD33">
            <v>0</v>
          </cell>
          <cell r="AE33">
            <v>0</v>
          </cell>
          <cell r="AF33">
            <v>0</v>
          </cell>
          <cell r="AI33" t="str">
            <v>1ABAGX</v>
          </cell>
          <cell r="AJ33" t="str">
            <v>OTHER EXCHANGERS - FINNED</v>
          </cell>
          <cell r="AQ33">
            <v>0</v>
          </cell>
        </row>
        <row r="34">
          <cell r="AI34" t="str">
            <v>1ABAG-</v>
          </cell>
          <cell r="AJ34" t="str">
            <v>SUBTOTAL - HEAT EXCHANGERS - FINNED</v>
          </cell>
          <cell r="AK34">
            <v>0</v>
          </cell>
          <cell r="AL34">
            <v>0</v>
          </cell>
          <cell r="AM34">
            <v>0</v>
          </cell>
          <cell r="AN34">
            <v>0</v>
          </cell>
          <cell r="AO34">
            <v>0</v>
          </cell>
          <cell r="AP34">
            <v>0</v>
          </cell>
          <cell r="AQ34">
            <v>0</v>
          </cell>
        </row>
        <row r="35">
          <cell r="B35" t="str">
            <v>1----</v>
          </cell>
          <cell r="C35" t="str">
            <v>TOTAL NGL-4 PROJECT</v>
          </cell>
          <cell r="F35">
            <v>657448</v>
          </cell>
          <cell r="G35">
            <v>8453020</v>
          </cell>
          <cell r="H35">
            <v>28083700</v>
          </cell>
          <cell r="I35">
            <v>0</v>
          </cell>
          <cell r="J35">
            <v>36536720</v>
          </cell>
        </row>
        <row r="40">
          <cell r="W40" t="str">
            <v>LEVEL 2 DKADU PLANT PG.2</v>
          </cell>
          <cell r="X40" t="str">
            <v>WBS CODE</v>
          </cell>
          <cell r="Y40" t="str">
            <v>DESCRIPTION</v>
          </cell>
          <cell r="Z40" t="str">
            <v>QUANTITY</v>
          </cell>
          <cell r="AA40" t="str">
            <v>UNITS</v>
          </cell>
          <cell r="AB40" t="str">
            <v>TOTAL MANHOURS</v>
          </cell>
          <cell r="AC40" t="str">
            <v>TOTAL LABOR COST</v>
          </cell>
          <cell r="AD40" t="str">
            <v>TOTAL MAT'L COST</v>
          </cell>
          <cell r="AE40" t="str">
            <v>TOTAL S/C COST</v>
          </cell>
          <cell r="AF40" t="str">
            <v>TOTAL COST</v>
          </cell>
          <cell r="AH40" t="str">
            <v>LEVEL 3 DKADU PLANT PG 2</v>
          </cell>
          <cell r="AI40" t="str">
            <v>WBS CODE</v>
          </cell>
          <cell r="AJ40" t="str">
            <v>DESCRIPTION</v>
          </cell>
          <cell r="AK40" t="str">
            <v>QUANTITY</v>
          </cell>
          <cell r="AL40" t="str">
            <v>UNITS</v>
          </cell>
          <cell r="AM40" t="str">
            <v>TOTAL MANHOURS</v>
          </cell>
          <cell r="AN40" t="str">
            <v>TOTAL LABOR COST</v>
          </cell>
          <cell r="AO40" t="str">
            <v>TOTAL MAT'L COST</v>
          </cell>
          <cell r="AP40" t="str">
            <v>TOTAL S/C COST</v>
          </cell>
          <cell r="AQ40" t="str">
            <v>TOTAL COST</v>
          </cell>
        </row>
        <row r="42">
          <cell r="X42" t="str">
            <v>1AAIA</v>
          </cell>
          <cell r="Y42" t="str">
            <v>DKADU PLANT  - PROCUREMENT PRESSURE VESSELS</v>
          </cell>
          <cell r="AF42">
            <v>0</v>
          </cell>
          <cell r="AG42">
            <v>0</v>
          </cell>
          <cell r="AH42">
            <v>0</v>
          </cell>
          <cell r="AI42" t="str">
            <v>1ABAIA</v>
          </cell>
          <cell r="AJ42" t="str">
            <v>GAS RECYCLE COMPRESSORS W/TURBINES</v>
          </cell>
          <cell r="AK42">
            <v>3</v>
          </cell>
          <cell r="AL42" t="str">
            <v>EA</v>
          </cell>
          <cell r="AM42">
            <v>0</v>
          </cell>
          <cell r="AN42">
            <v>0</v>
          </cell>
          <cell r="AO42">
            <v>0</v>
          </cell>
          <cell r="AP42">
            <v>0</v>
          </cell>
          <cell r="AQ42">
            <v>0</v>
          </cell>
          <cell r="AR42">
            <v>0</v>
          </cell>
        </row>
        <row r="43">
          <cell r="X43" t="str">
            <v>1AAIB</v>
          </cell>
          <cell r="Y43" t="str">
            <v>DKADU PLANT  - PROCUREMENT   COLUMNS</v>
          </cell>
          <cell r="AF43">
            <v>0</v>
          </cell>
          <cell r="AG43">
            <v>0</v>
          </cell>
          <cell r="AH43">
            <v>0</v>
          </cell>
          <cell r="AI43" t="str">
            <v>1ABAIB</v>
          </cell>
          <cell r="AJ43" t="str">
            <v>RECYCLE EXPANDER COMP. W/DRIVERS</v>
          </cell>
          <cell r="AK43">
            <v>1</v>
          </cell>
          <cell r="AL43" t="str">
            <v>EA</v>
          </cell>
          <cell r="AM43">
            <v>0</v>
          </cell>
          <cell r="AN43">
            <v>0</v>
          </cell>
          <cell r="AO43">
            <v>1544000</v>
          </cell>
          <cell r="AP43">
            <v>0</v>
          </cell>
          <cell r="AQ43">
            <v>1544000</v>
          </cell>
          <cell r="AR43">
            <v>0</v>
          </cell>
        </row>
        <row r="44">
          <cell r="X44" t="str">
            <v>1AAIC</v>
          </cell>
          <cell r="Y44" t="str">
            <v>DKADU PLANT  - PROCUREMENT   REACTORS</v>
          </cell>
          <cell r="AF44">
            <v>0</v>
          </cell>
          <cell r="AG44">
            <v>0</v>
          </cell>
          <cell r="AH44">
            <v>0</v>
          </cell>
          <cell r="AI44" t="str">
            <v>1ABAIC</v>
          </cell>
          <cell r="AJ44" t="str">
            <v>INJECTION COMPRESSORS</v>
          </cell>
          <cell r="AK44">
            <v>2</v>
          </cell>
          <cell r="AL44" t="str">
            <v>EA</v>
          </cell>
          <cell r="AM44">
            <v>0</v>
          </cell>
          <cell r="AN44">
            <v>0</v>
          </cell>
          <cell r="AO44">
            <v>7338000</v>
          </cell>
          <cell r="AP44">
            <v>0</v>
          </cell>
          <cell r="AQ44">
            <v>7338000</v>
          </cell>
          <cell r="AR44">
            <v>0</v>
          </cell>
        </row>
        <row r="45">
          <cell r="X45" t="str">
            <v>1AAID</v>
          </cell>
          <cell r="Y45" t="str">
            <v>DKADU PLANT  - PROCUREMENT   FIELD ERECTED TANKS</v>
          </cell>
          <cell r="Z45" t="str">
            <v>N/A</v>
          </cell>
          <cell r="AA45" t="str">
            <v>N/A</v>
          </cell>
          <cell r="AB45" t="str">
            <v>N/A</v>
          </cell>
          <cell r="AC45" t="str">
            <v>N/A</v>
          </cell>
          <cell r="AD45" t="str">
            <v>N/A</v>
          </cell>
          <cell r="AE45" t="str">
            <v>N/A</v>
          </cell>
          <cell r="AF45" t="str">
            <v>N/A</v>
          </cell>
          <cell r="AI45" t="str">
            <v>1ABAID</v>
          </cell>
          <cell r="AJ45" t="str">
            <v>LP BOOSTER COMPRESSORS</v>
          </cell>
          <cell r="AK45">
            <v>2</v>
          </cell>
          <cell r="AL45" t="str">
            <v>EA</v>
          </cell>
          <cell r="AO45">
            <v>2963000</v>
          </cell>
          <cell r="AQ45">
            <v>2963000</v>
          </cell>
        </row>
        <row r="46">
          <cell r="X46" t="str">
            <v>1AAIE</v>
          </cell>
          <cell r="Y46" t="str">
            <v>DKADU PLANT  - PROCUREMENT   PUMPS</v>
          </cell>
          <cell r="AF46">
            <v>0</v>
          </cell>
          <cell r="AG46">
            <v>0</v>
          </cell>
          <cell r="AH46">
            <v>0</v>
          </cell>
          <cell r="AI46" t="str">
            <v>1ABAIX</v>
          </cell>
          <cell r="AJ46" t="str">
            <v>OTHER COMPRESSORS</v>
          </cell>
          <cell r="AK46">
            <v>1</v>
          </cell>
          <cell r="AL46" t="str">
            <v>EA</v>
          </cell>
          <cell r="AM46">
            <v>0</v>
          </cell>
          <cell r="AN46">
            <v>0</v>
          </cell>
          <cell r="AO46">
            <v>143000</v>
          </cell>
          <cell r="AP46">
            <v>0</v>
          </cell>
          <cell r="AQ46">
            <v>143000</v>
          </cell>
          <cell r="AR46">
            <v>0</v>
          </cell>
        </row>
        <row r="47">
          <cell r="X47" t="str">
            <v>1AAIF</v>
          </cell>
          <cell r="Y47" t="str">
            <v>DKADU PLANT  - PROCUREMENT   HEAT EXCHANGERS - S &amp; T</v>
          </cell>
          <cell r="AF47">
            <v>0</v>
          </cell>
          <cell r="AG47">
            <v>0</v>
          </cell>
          <cell r="AH47">
            <v>0</v>
          </cell>
          <cell r="AI47" t="str">
            <v>1ABAI</v>
          </cell>
          <cell r="AJ47" t="str">
            <v>SUBTOTAL - COMPRESSORS</v>
          </cell>
          <cell r="AK47">
            <v>9</v>
          </cell>
          <cell r="AL47">
            <v>0</v>
          </cell>
          <cell r="AM47">
            <v>0</v>
          </cell>
          <cell r="AN47">
            <v>0</v>
          </cell>
          <cell r="AO47">
            <v>11988000</v>
          </cell>
          <cell r="AP47">
            <v>0</v>
          </cell>
          <cell r="AQ47">
            <v>11988000</v>
          </cell>
          <cell r="AR47">
            <v>0</v>
          </cell>
        </row>
        <row r="48">
          <cell r="X48" t="str">
            <v>1AAIG</v>
          </cell>
          <cell r="Y48" t="str">
            <v>DKADU PLANT  - PROCUREMENT   HEAT EXCHANGERS - FINNED</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X49" t="str">
            <v>1AAIH</v>
          </cell>
          <cell r="Y49" t="str">
            <v>DKADU PLANT  - PROCUREMENT   EXTRUDERS</v>
          </cell>
          <cell r="Z49" t="str">
            <v>N/A</v>
          </cell>
          <cell r="AA49" t="str">
            <v>N/A</v>
          </cell>
          <cell r="AB49" t="str">
            <v>N/A</v>
          </cell>
          <cell r="AC49" t="str">
            <v>N/A</v>
          </cell>
          <cell r="AD49" t="str">
            <v>N/A</v>
          </cell>
          <cell r="AE49" t="str">
            <v>N/A</v>
          </cell>
          <cell r="AF49" t="str">
            <v>N/A</v>
          </cell>
          <cell r="AI49" t="str">
            <v>1ABAKA</v>
          </cell>
          <cell r="AJ49" t="str">
            <v>GAS TURBINE DRIVERS</v>
          </cell>
          <cell r="AQ49">
            <v>0</v>
          </cell>
        </row>
        <row r="50">
          <cell r="X50" t="str">
            <v>1AAII</v>
          </cell>
          <cell r="Y50" t="str">
            <v>DKADU PLANT  - PROCUREMENT   COMPRESSORS</v>
          </cell>
          <cell r="AF50">
            <v>0</v>
          </cell>
          <cell r="AG50">
            <v>0</v>
          </cell>
          <cell r="AH50">
            <v>0</v>
          </cell>
          <cell r="AI50" t="str">
            <v>1ABAKX</v>
          </cell>
          <cell r="AJ50" t="str">
            <v>OTHER DRIVERS</v>
          </cell>
          <cell r="AK50">
            <v>0</v>
          </cell>
          <cell r="AL50">
            <v>0</v>
          </cell>
          <cell r="AM50">
            <v>0</v>
          </cell>
          <cell r="AN50">
            <v>0</v>
          </cell>
          <cell r="AO50">
            <v>0</v>
          </cell>
          <cell r="AP50">
            <v>0</v>
          </cell>
          <cell r="AQ50">
            <v>0</v>
          </cell>
          <cell r="AR50">
            <v>0</v>
          </cell>
        </row>
        <row r="51">
          <cell r="X51" t="str">
            <v>1AAIJ</v>
          </cell>
          <cell r="Y51" t="str">
            <v>DKADU PLANT  - PROCUREMENT   GENERATORS</v>
          </cell>
          <cell r="Z51" t="str">
            <v>N/A</v>
          </cell>
          <cell r="AA51" t="str">
            <v>N/A</v>
          </cell>
          <cell r="AB51" t="str">
            <v>N/A</v>
          </cell>
          <cell r="AC51" t="str">
            <v>N/A</v>
          </cell>
          <cell r="AD51" t="str">
            <v>N/A</v>
          </cell>
          <cell r="AE51" t="str">
            <v>N/A</v>
          </cell>
          <cell r="AF51" t="str">
            <v>N/A</v>
          </cell>
          <cell r="AI51" t="str">
            <v>1ABAK-</v>
          </cell>
          <cell r="AJ51" t="str">
            <v>SUBTOTAL MOTORS &amp; DRIVERS</v>
          </cell>
          <cell r="AK51">
            <v>0</v>
          </cell>
          <cell r="AL51">
            <v>0</v>
          </cell>
          <cell r="AM51">
            <v>0</v>
          </cell>
          <cell r="AN51">
            <v>0</v>
          </cell>
          <cell r="AO51">
            <v>0</v>
          </cell>
          <cell r="AP51">
            <v>0</v>
          </cell>
          <cell r="AQ51">
            <v>0</v>
          </cell>
        </row>
        <row r="52">
          <cell r="X52" t="str">
            <v>1AAIK</v>
          </cell>
          <cell r="Y52" t="str">
            <v>DKADU PLANT  - PROCUREMENT   MOTORS &amp; DRIVERS</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X53" t="str">
            <v>1AAIL</v>
          </cell>
          <cell r="Y53" t="str">
            <v>DKADU PLANT  - PROCUREMENT   FIRED EQUIPMENT</v>
          </cell>
          <cell r="Z53" t="str">
            <v>N/A</v>
          </cell>
          <cell r="AA53" t="str">
            <v>N/A</v>
          </cell>
          <cell r="AB53" t="str">
            <v>N/A</v>
          </cell>
          <cell r="AC53" t="str">
            <v>N/A</v>
          </cell>
          <cell r="AD53" t="str">
            <v>N/A</v>
          </cell>
          <cell r="AE53" t="str">
            <v>N/A</v>
          </cell>
          <cell r="AF53" t="str">
            <v>N/A</v>
          </cell>
          <cell r="AI53" t="str">
            <v>1ABAXA</v>
          </cell>
          <cell r="AJ53" t="str">
            <v>METHANOL INJECTION SKID</v>
          </cell>
          <cell r="AK53">
            <v>1</v>
          </cell>
          <cell r="AL53" t="str">
            <v>LOT</v>
          </cell>
          <cell r="AO53">
            <v>176000</v>
          </cell>
          <cell r="AQ53">
            <v>176000</v>
          </cell>
        </row>
        <row r="54">
          <cell r="X54" t="str">
            <v>1AAIM</v>
          </cell>
          <cell r="Y54" t="str">
            <v>DKADU PLANT  - PROCUREMENT   BLOWERS &amp; FANS</v>
          </cell>
          <cell r="Z54" t="str">
            <v>N/A</v>
          </cell>
          <cell r="AA54" t="str">
            <v>N/A</v>
          </cell>
          <cell r="AB54" t="str">
            <v>N/A</v>
          </cell>
          <cell r="AC54" t="str">
            <v>N/A</v>
          </cell>
          <cell r="AD54" t="str">
            <v>N/A</v>
          </cell>
          <cell r="AE54" t="str">
            <v>N/A</v>
          </cell>
          <cell r="AF54" t="str">
            <v>N/A</v>
          </cell>
          <cell r="AI54" t="str">
            <v>1ABAXX</v>
          </cell>
          <cell r="AJ54" t="str">
            <v>OTHER EQUIPMENT</v>
          </cell>
          <cell r="AK54">
            <v>4</v>
          </cell>
          <cell r="AL54" t="str">
            <v>EA</v>
          </cell>
          <cell r="AO54">
            <v>66700</v>
          </cell>
          <cell r="AQ54">
            <v>66700</v>
          </cell>
        </row>
        <row r="55">
          <cell r="X55" t="str">
            <v>1AAIN</v>
          </cell>
          <cell r="Y55" t="str">
            <v>DKADU PLANT  - PROCUREMENT   FILTERS</v>
          </cell>
          <cell r="Z55" t="str">
            <v>N/A</v>
          </cell>
          <cell r="AA55" t="str">
            <v>N/A</v>
          </cell>
          <cell r="AB55" t="str">
            <v>N/A</v>
          </cell>
          <cell r="AC55" t="str">
            <v>N/A</v>
          </cell>
          <cell r="AD55" t="str">
            <v>N/A</v>
          </cell>
          <cell r="AE55" t="str">
            <v>N/A</v>
          </cell>
          <cell r="AF55" t="str">
            <v>N/A</v>
          </cell>
          <cell r="AI55" t="str">
            <v>1ABAX-</v>
          </cell>
          <cell r="AJ55" t="str">
            <v>SUBTOTAL OTHER EQUIPMENT</v>
          </cell>
          <cell r="AK55">
            <v>5</v>
          </cell>
          <cell r="AL55">
            <v>0</v>
          </cell>
          <cell r="AM55">
            <v>0</v>
          </cell>
          <cell r="AN55">
            <v>0</v>
          </cell>
          <cell r="AO55">
            <v>242700</v>
          </cell>
          <cell r="AP55">
            <v>0</v>
          </cell>
          <cell r="AQ55">
            <v>242700</v>
          </cell>
        </row>
        <row r="56">
          <cell r="X56" t="str">
            <v>1AAIO</v>
          </cell>
          <cell r="Y56" t="str">
            <v>DKADU PLANT  - PROCUREMENT   FLARES</v>
          </cell>
          <cell r="Z56" t="str">
            <v>N/A</v>
          </cell>
          <cell r="AA56" t="str">
            <v>N/A</v>
          </cell>
          <cell r="AB56" t="str">
            <v>N/A</v>
          </cell>
          <cell r="AC56" t="str">
            <v>N/A</v>
          </cell>
          <cell r="AD56" t="str">
            <v>N/A</v>
          </cell>
          <cell r="AE56" t="str">
            <v>N/A</v>
          </cell>
          <cell r="AF56" t="str">
            <v>N/A</v>
          </cell>
        </row>
        <row r="57">
          <cell r="X57" t="str">
            <v>1AAIP</v>
          </cell>
          <cell r="Y57" t="str">
            <v>DKADU PLANT  - PROCUREMENT   SOLIDS HANDLING EQUIPMENT</v>
          </cell>
          <cell r="Z57" t="str">
            <v>N/A</v>
          </cell>
          <cell r="AA57" t="str">
            <v>N/A</v>
          </cell>
          <cell r="AB57" t="str">
            <v>N/A</v>
          </cell>
          <cell r="AC57" t="str">
            <v>N/A</v>
          </cell>
          <cell r="AD57" t="str">
            <v>N/A</v>
          </cell>
          <cell r="AE57" t="str">
            <v>N/A</v>
          </cell>
          <cell r="AF57" t="str">
            <v>N/A</v>
          </cell>
        </row>
        <row r="58">
          <cell r="X58" t="str">
            <v>1AAIQ</v>
          </cell>
          <cell r="Y58" t="str">
            <v>DKADU PLANT  - PROCUREMENT   PACKAGED EQUIPMENT</v>
          </cell>
          <cell r="Z58" t="str">
            <v>N/A</v>
          </cell>
          <cell r="AA58" t="str">
            <v>N/A</v>
          </cell>
          <cell r="AB58" t="str">
            <v>N/A</v>
          </cell>
          <cell r="AC58" t="str">
            <v>N/A</v>
          </cell>
          <cell r="AD58" t="str">
            <v>N/A</v>
          </cell>
          <cell r="AE58" t="str">
            <v>N/A</v>
          </cell>
          <cell r="AF58" t="str">
            <v>N/A</v>
          </cell>
        </row>
        <row r="59">
          <cell r="X59" t="str">
            <v>1AAIT</v>
          </cell>
          <cell r="Y59" t="str">
            <v>DKADU PLANT  - PROCUREMENT   BULKS</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X60" t="str">
            <v>1AAIX</v>
          </cell>
          <cell r="Y60" t="str">
            <v>DKADU PLANT  - PROCUREMENT   OTHER</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X61" t="str">
            <v>1AAI-</v>
          </cell>
          <cell r="Y61" t="str">
            <v>SUBTOTAL - DKADU PLANT  - PROCUREMENT</v>
          </cell>
          <cell r="Z61">
            <v>0</v>
          </cell>
          <cell r="AA61" t="str">
            <v>N/A</v>
          </cell>
          <cell r="AB61">
            <v>0</v>
          </cell>
          <cell r="AC61">
            <v>0</v>
          </cell>
          <cell r="AD61">
            <v>0</v>
          </cell>
          <cell r="AE61">
            <v>0</v>
          </cell>
          <cell r="AF61">
            <v>0</v>
          </cell>
        </row>
        <row r="63">
          <cell r="X63" t="str">
            <v>1AAJA</v>
          </cell>
          <cell r="Y63" t="str">
            <v>DKADU PLANT  - INDIRECT ENG'G CONTRACTS</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X64" t="str">
            <v>1AAJB</v>
          </cell>
          <cell r="Y64" t="str">
            <v>DKADU PLANT  - INDIRECT ENG'G PROJECT MANAGEMENT</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X65" t="str">
            <v>1AAJC</v>
          </cell>
          <cell r="Y65" t="str">
            <v>DKADU PLANT  - INDIRECT ENG'G ENGINEERING/NON-TECH</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X66" t="str">
            <v>1AAJX</v>
          </cell>
          <cell r="Y66" t="str">
            <v>DKADU PLANT  - INDIRECT ENG'G OTHER</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X67" t="str">
            <v>1AAJ-</v>
          </cell>
          <cell r="Y67" t="str">
            <v>SUBTOTAL - DKADU PLANT  - INDIRECT ENGINEERING</v>
          </cell>
          <cell r="Z67">
            <v>0</v>
          </cell>
          <cell r="AA67" t="str">
            <v>N/A</v>
          </cell>
          <cell r="AB67">
            <v>0</v>
          </cell>
          <cell r="AC67">
            <v>0</v>
          </cell>
          <cell r="AD67">
            <v>0</v>
          </cell>
          <cell r="AE67">
            <v>0</v>
          </cell>
          <cell r="AF67">
            <v>0</v>
          </cell>
        </row>
        <row r="78">
          <cell r="W78" t="str">
            <v>LEVEL 2 DKADU PLANT PG.3</v>
          </cell>
          <cell r="X78" t="str">
            <v>WBS CODE</v>
          </cell>
          <cell r="Y78" t="str">
            <v>DESCRIPTION</v>
          </cell>
          <cell r="Z78" t="str">
            <v>QUANTITY</v>
          </cell>
          <cell r="AA78" t="str">
            <v>UNITS</v>
          </cell>
          <cell r="AB78" t="str">
            <v>TOTAL MANHOURS</v>
          </cell>
          <cell r="AC78" t="str">
            <v>TOTAL LABOR COST</v>
          </cell>
          <cell r="AD78" t="str">
            <v>TOTAL MAT'L COST</v>
          </cell>
          <cell r="AE78" t="str">
            <v>TOTAL S/C COST</v>
          </cell>
          <cell r="AF78" t="str">
            <v>TOTAL COST</v>
          </cell>
        </row>
        <row r="80">
          <cell r="X80" t="str">
            <v>1ABAA</v>
          </cell>
          <cell r="Y80" t="str">
            <v>DKADU PLANT  - FAB/DELIVERY MAJOR EQUIP PRESSURE VESSELS</v>
          </cell>
          <cell r="Z80">
            <v>12</v>
          </cell>
          <cell r="AA80">
            <v>0</v>
          </cell>
          <cell r="AB80">
            <v>0</v>
          </cell>
          <cell r="AC80">
            <v>0</v>
          </cell>
          <cell r="AD80">
            <v>2458000</v>
          </cell>
          <cell r="AE80">
            <v>0</v>
          </cell>
          <cell r="AF80">
            <v>2458000</v>
          </cell>
        </row>
        <row r="81">
          <cell r="X81" t="str">
            <v>1ABAB</v>
          </cell>
          <cell r="Y81" t="str">
            <v>DKADU PLANT  - FAB/DELIVERY MAJOR EQUIP COLUMNS</v>
          </cell>
          <cell r="Z81">
            <v>2</v>
          </cell>
          <cell r="AA81">
            <v>0</v>
          </cell>
          <cell r="AB81">
            <v>0</v>
          </cell>
          <cell r="AC81">
            <v>0</v>
          </cell>
          <cell r="AD81">
            <v>3269000</v>
          </cell>
          <cell r="AE81">
            <v>0</v>
          </cell>
          <cell r="AF81">
            <v>3269000</v>
          </cell>
        </row>
        <row r="82">
          <cell r="X82" t="str">
            <v>1ABAC</v>
          </cell>
          <cell r="Y82" t="str">
            <v>DKADU PLANT  - FAB/DELIVERY MAJOR EQUIP REACTORS</v>
          </cell>
          <cell r="Z82" t="str">
            <v>N/A</v>
          </cell>
          <cell r="AA82" t="str">
            <v>N/A</v>
          </cell>
          <cell r="AB82" t="str">
            <v>N/A</v>
          </cell>
          <cell r="AC82" t="str">
            <v>N/A</v>
          </cell>
          <cell r="AD82" t="str">
            <v>N/A</v>
          </cell>
          <cell r="AE82" t="str">
            <v>N/A</v>
          </cell>
          <cell r="AF82" t="str">
            <v>N/A</v>
          </cell>
        </row>
        <row r="83">
          <cell r="X83" t="str">
            <v>1ABAD</v>
          </cell>
          <cell r="Y83" t="str">
            <v>DKADU PLANT  - FAB/DELIVERY MAJOR EQUIP FIELD ERECTED TANKS</v>
          </cell>
          <cell r="Z83" t="str">
            <v>N/A</v>
          </cell>
          <cell r="AA83" t="str">
            <v>N/A</v>
          </cell>
          <cell r="AB83" t="str">
            <v>N/A</v>
          </cell>
          <cell r="AC83" t="str">
            <v>N/A</v>
          </cell>
          <cell r="AD83" t="str">
            <v>N/A</v>
          </cell>
          <cell r="AE83" t="str">
            <v>N/A</v>
          </cell>
          <cell r="AF83" t="str">
            <v>N/A</v>
          </cell>
        </row>
        <row r="84">
          <cell r="X84" t="str">
            <v>1ABAE</v>
          </cell>
          <cell r="Y84" t="str">
            <v>DKADU PLANT  - FAB/DELIVERY MAJOR EQUIP PUMPS</v>
          </cell>
          <cell r="Z84">
            <v>7</v>
          </cell>
          <cell r="AA84">
            <v>0</v>
          </cell>
          <cell r="AB84">
            <v>0</v>
          </cell>
          <cell r="AC84">
            <v>0</v>
          </cell>
          <cell r="AD84">
            <v>957000</v>
          </cell>
          <cell r="AE84">
            <v>0</v>
          </cell>
          <cell r="AF84">
            <v>957000</v>
          </cell>
        </row>
        <row r="85">
          <cell r="X85" t="str">
            <v>1ABAF</v>
          </cell>
          <cell r="Y85" t="str">
            <v>DKADU PLANT  - FAB/DELIVERY MAJOR EQUIP HEAT EXCHANGERS S&amp;T</v>
          </cell>
          <cell r="Z85">
            <v>18</v>
          </cell>
          <cell r="AA85">
            <v>0</v>
          </cell>
          <cell r="AB85">
            <v>0</v>
          </cell>
          <cell r="AC85">
            <v>0</v>
          </cell>
          <cell r="AD85">
            <v>9169000</v>
          </cell>
          <cell r="AE85">
            <v>0</v>
          </cell>
          <cell r="AF85">
            <v>9169000</v>
          </cell>
        </row>
        <row r="86">
          <cell r="X86" t="str">
            <v>1ABAG</v>
          </cell>
          <cell r="Y86" t="str">
            <v>DKADU PLANT  - FAB/DELIVERY MAJOR EQUIP HEAT EXCHANGERS FINNED</v>
          </cell>
          <cell r="Z86">
            <v>0</v>
          </cell>
          <cell r="AA86">
            <v>0</v>
          </cell>
          <cell r="AB86">
            <v>0</v>
          </cell>
          <cell r="AC86">
            <v>0</v>
          </cell>
          <cell r="AD86">
            <v>0</v>
          </cell>
          <cell r="AE86">
            <v>0</v>
          </cell>
          <cell r="AF86">
            <v>0</v>
          </cell>
        </row>
        <row r="87">
          <cell r="X87" t="str">
            <v>1ABAH</v>
          </cell>
          <cell r="Y87" t="str">
            <v>DKADU PLANT  - FAB/DELIVERY MAJOR EQUIP EXTRUDERS</v>
          </cell>
          <cell r="Z87" t="str">
            <v>N/A</v>
          </cell>
          <cell r="AA87" t="str">
            <v>N/A</v>
          </cell>
          <cell r="AB87" t="str">
            <v>N/A</v>
          </cell>
          <cell r="AC87" t="str">
            <v>N/A</v>
          </cell>
          <cell r="AD87" t="str">
            <v>N/A</v>
          </cell>
          <cell r="AE87" t="str">
            <v>N/A</v>
          </cell>
          <cell r="AF87" t="str">
            <v>N/A</v>
          </cell>
        </row>
        <row r="88">
          <cell r="X88" t="str">
            <v>1ABAI</v>
          </cell>
          <cell r="Y88" t="str">
            <v>DKADU PLANT  - FAB/DELIVERY MAJOR EQUIP COMPRESSORS</v>
          </cell>
          <cell r="Z88">
            <v>9</v>
          </cell>
          <cell r="AA88">
            <v>0</v>
          </cell>
          <cell r="AB88">
            <v>0</v>
          </cell>
          <cell r="AC88">
            <v>0</v>
          </cell>
          <cell r="AD88">
            <v>11988000</v>
          </cell>
          <cell r="AE88">
            <v>0</v>
          </cell>
          <cell r="AF88">
            <v>11988000</v>
          </cell>
        </row>
        <row r="89">
          <cell r="X89" t="str">
            <v>1ABAJ</v>
          </cell>
          <cell r="Y89" t="str">
            <v>DKADU PLANT  - FAB/DELIVERY MAJOR EQUIP GENERATORS</v>
          </cell>
          <cell r="Z89" t="str">
            <v>N/A</v>
          </cell>
          <cell r="AA89" t="str">
            <v>N/A</v>
          </cell>
          <cell r="AB89" t="str">
            <v>N/A</v>
          </cell>
          <cell r="AC89" t="str">
            <v>N/A</v>
          </cell>
          <cell r="AD89" t="str">
            <v>N/A</v>
          </cell>
          <cell r="AE89" t="str">
            <v>N/A</v>
          </cell>
          <cell r="AF89" t="str">
            <v>N/A</v>
          </cell>
        </row>
        <row r="90">
          <cell r="X90" t="str">
            <v>1ABAK</v>
          </cell>
          <cell r="Y90" t="str">
            <v>DKADU PLANT  - FAB/DELIVERY MAJOR EQUIP MOTORS &amp; DRIVERS</v>
          </cell>
          <cell r="Z90">
            <v>0</v>
          </cell>
          <cell r="AA90">
            <v>0</v>
          </cell>
          <cell r="AB90">
            <v>0</v>
          </cell>
          <cell r="AC90">
            <v>0</v>
          </cell>
          <cell r="AD90">
            <v>0</v>
          </cell>
          <cell r="AE90">
            <v>0</v>
          </cell>
          <cell r="AF90">
            <v>0</v>
          </cell>
        </row>
        <row r="91">
          <cell r="X91" t="str">
            <v>1ABAL</v>
          </cell>
          <cell r="Y91" t="str">
            <v>DKADU PLANT  - FAB/DELIVERY MAJOR EQUIP FIRED EQUIPMENT</v>
          </cell>
          <cell r="Z91" t="str">
            <v>N/A</v>
          </cell>
          <cell r="AA91" t="str">
            <v>N/A</v>
          </cell>
          <cell r="AB91" t="str">
            <v>N/A</v>
          </cell>
          <cell r="AC91" t="str">
            <v>N/A</v>
          </cell>
          <cell r="AD91" t="str">
            <v>N/A</v>
          </cell>
          <cell r="AE91" t="str">
            <v>N/A</v>
          </cell>
          <cell r="AF91" t="str">
            <v>N/A</v>
          </cell>
        </row>
        <row r="92">
          <cell r="X92" t="str">
            <v>1ABAM</v>
          </cell>
          <cell r="Y92" t="str">
            <v>DKADU PLANT  - FAB/DELIVERY MAJOR EQUIP BLOWERS, FANS</v>
          </cell>
          <cell r="Z92" t="str">
            <v>N/A</v>
          </cell>
          <cell r="AA92" t="str">
            <v>N/A</v>
          </cell>
          <cell r="AB92" t="str">
            <v>N/A</v>
          </cell>
          <cell r="AC92" t="str">
            <v>N/A</v>
          </cell>
          <cell r="AD92" t="str">
            <v>N/A</v>
          </cell>
          <cell r="AE92" t="str">
            <v>N/A</v>
          </cell>
          <cell r="AF92" t="str">
            <v>N/A</v>
          </cell>
        </row>
        <row r="93">
          <cell r="X93" t="str">
            <v>1ABAN</v>
          </cell>
          <cell r="Y93" t="str">
            <v>DKADU PLANT  - FAB/DELIVERY MAJOR EQUIP FILTERS</v>
          </cell>
          <cell r="Z93" t="str">
            <v>N/A</v>
          </cell>
          <cell r="AA93" t="str">
            <v>N/A</v>
          </cell>
          <cell r="AB93" t="str">
            <v>N/A</v>
          </cell>
          <cell r="AC93" t="str">
            <v>N/A</v>
          </cell>
          <cell r="AD93" t="str">
            <v>N/A</v>
          </cell>
          <cell r="AE93" t="str">
            <v>N/A</v>
          </cell>
          <cell r="AF93" t="str">
            <v>N/A</v>
          </cell>
        </row>
        <row r="94">
          <cell r="X94" t="str">
            <v>1ABAO</v>
          </cell>
          <cell r="Y94" t="str">
            <v>DKADU PLANT  - FAB/DELIVERY MAJOR EQUIP FLARES</v>
          </cell>
          <cell r="Z94" t="str">
            <v>N/A</v>
          </cell>
          <cell r="AA94" t="str">
            <v>N/A</v>
          </cell>
          <cell r="AB94" t="str">
            <v>N/A</v>
          </cell>
          <cell r="AC94" t="str">
            <v>N/A</v>
          </cell>
          <cell r="AD94" t="str">
            <v>N/A</v>
          </cell>
          <cell r="AE94" t="str">
            <v>N/A</v>
          </cell>
          <cell r="AF94" t="str">
            <v>N/A</v>
          </cell>
        </row>
        <row r="95">
          <cell r="X95" t="str">
            <v>1ABAP</v>
          </cell>
          <cell r="Y95" t="str">
            <v>DKADU PLANT  - FAB/DELIVERY MAJOR EQUIP SOLIDS HANDLING EQUIPMENT</v>
          </cell>
          <cell r="Z95" t="str">
            <v>N/A</v>
          </cell>
          <cell r="AA95" t="str">
            <v>N/A</v>
          </cell>
          <cell r="AB95" t="str">
            <v>N/A</v>
          </cell>
          <cell r="AC95" t="str">
            <v>N/A</v>
          </cell>
          <cell r="AD95" t="str">
            <v>N/A</v>
          </cell>
          <cell r="AE95" t="str">
            <v>N/A</v>
          </cell>
          <cell r="AF95" t="str">
            <v>N/A</v>
          </cell>
        </row>
        <row r="96">
          <cell r="X96" t="str">
            <v>1ABAQ</v>
          </cell>
          <cell r="Y96" t="str">
            <v>DKADU PLANT  - FAB/DELIVERY MAJOR EQUIP PACKAGED EQUIPMENT</v>
          </cell>
          <cell r="Z96" t="str">
            <v>N/A</v>
          </cell>
          <cell r="AA96" t="str">
            <v>N/A</v>
          </cell>
          <cell r="AB96" t="str">
            <v>N/A</v>
          </cell>
          <cell r="AC96" t="str">
            <v>N/A</v>
          </cell>
          <cell r="AD96" t="str">
            <v>N/A</v>
          </cell>
          <cell r="AE96" t="str">
            <v>N/A</v>
          </cell>
          <cell r="AF96" t="str">
            <v>N/A</v>
          </cell>
        </row>
        <row r="97">
          <cell r="X97" t="str">
            <v>1ABAX</v>
          </cell>
          <cell r="Y97" t="str">
            <v>DKADU PLANT  - FAB/DELIVERY MAJOR EQUIP OTHER</v>
          </cell>
          <cell r="Z97">
            <v>5</v>
          </cell>
          <cell r="AA97">
            <v>0</v>
          </cell>
          <cell r="AB97">
            <v>0</v>
          </cell>
          <cell r="AC97">
            <v>0</v>
          </cell>
          <cell r="AD97">
            <v>242700</v>
          </cell>
          <cell r="AE97">
            <v>0</v>
          </cell>
          <cell r="AF97">
            <v>242700</v>
          </cell>
        </row>
        <row r="98">
          <cell r="X98" t="str">
            <v>1ABA-</v>
          </cell>
          <cell r="Y98" t="str">
            <v>SUBTOTAL - DKADU PLANT  - FAB/DELIVERY MAJOR EQUIP.</v>
          </cell>
          <cell r="Z98">
            <v>53</v>
          </cell>
          <cell r="AA98" t="str">
            <v>N/A</v>
          </cell>
          <cell r="AB98">
            <v>0</v>
          </cell>
          <cell r="AC98">
            <v>0</v>
          </cell>
          <cell r="AD98">
            <v>28083700</v>
          </cell>
          <cell r="AE98">
            <v>0</v>
          </cell>
          <cell r="AF98">
            <v>28083700</v>
          </cell>
        </row>
        <row r="100">
          <cell r="X100" t="str">
            <v>1ABBA</v>
          </cell>
          <cell r="Y100" t="str">
            <v>DKADU PLANT  - FAB/DELIVERY BULKS - IMBEDS</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X101" t="str">
            <v>1ABBB</v>
          </cell>
          <cell r="Y101" t="str">
            <v>DKADU PLANT  - FAB/DELIVERY BULKS - STRUCTURAL</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X102" t="str">
            <v>1ABBC</v>
          </cell>
          <cell r="Y102" t="str">
            <v>DKADU PLANT  - FAB/DELIVERY BULKS - PIPING</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X103" t="str">
            <v>1ABBD</v>
          </cell>
          <cell r="Y103" t="str">
            <v>DKADU PLANT  - FAB/DELIVERY BULKS - ELECTRICAL</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X104" t="str">
            <v>1ABBE</v>
          </cell>
          <cell r="Y104" t="str">
            <v>DKADU PLANT  - FAB/DELIVERY BULKS - INSTRUMENTATION</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X105" t="str">
            <v>1ABBF</v>
          </cell>
          <cell r="Y105" t="str">
            <v>DKADU PLANT  - FAB/DELIVERY BULKS - PIPELINES</v>
          </cell>
          <cell r="Z105" t="str">
            <v>N/A</v>
          </cell>
          <cell r="AA105" t="str">
            <v>N/A</v>
          </cell>
          <cell r="AB105" t="str">
            <v>N/A</v>
          </cell>
          <cell r="AC105" t="str">
            <v>N/A</v>
          </cell>
          <cell r="AD105" t="str">
            <v>N/A</v>
          </cell>
          <cell r="AE105" t="str">
            <v>N/A</v>
          </cell>
          <cell r="AF105" t="str">
            <v>N/A</v>
          </cell>
        </row>
        <row r="106">
          <cell r="X106" t="str">
            <v>1ABB-</v>
          </cell>
          <cell r="Y106" t="str">
            <v>SUBTOTAL - DKADU PLANT  - FAB/DELIVERY BULKS</v>
          </cell>
          <cell r="Z106">
            <v>0</v>
          </cell>
          <cell r="AA106" t="str">
            <v>N/A</v>
          </cell>
          <cell r="AB106">
            <v>0</v>
          </cell>
          <cell r="AC106">
            <v>0</v>
          </cell>
          <cell r="AD106">
            <v>0</v>
          </cell>
          <cell r="AE106">
            <v>0</v>
          </cell>
          <cell r="AF106">
            <v>0</v>
          </cell>
        </row>
        <row r="108">
          <cell r="X108" t="str">
            <v>1ABCA</v>
          </cell>
          <cell r="Y108" t="str">
            <v>DKADU PLANT  - FAB/DELIVERY ENG. SPECIALTIES - BUILDINGS</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X109" t="str">
            <v>1ABCB</v>
          </cell>
          <cell r="Y109" t="str">
            <v>DKADU PLANT  - FAB/DELIVERY ENG. SPECIALTIES - GENERAL</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X110" t="str">
            <v>1ABC-</v>
          </cell>
          <cell r="Y110" t="str">
            <v>SUBTOTAL - DKADU PLANT  - FAB/DELIVERY ENGINEERING SPECIALTIES</v>
          </cell>
          <cell r="Z110">
            <v>0</v>
          </cell>
          <cell r="AA110" t="str">
            <v>N/A</v>
          </cell>
          <cell r="AB110">
            <v>0</v>
          </cell>
          <cell r="AC110">
            <v>0</v>
          </cell>
          <cell r="AD110">
            <v>0</v>
          </cell>
          <cell r="AE110">
            <v>0</v>
          </cell>
          <cell r="AF110">
            <v>0</v>
          </cell>
        </row>
        <row r="116">
          <cell r="W116" t="str">
            <v>LEVEL 2 DKADU PLANT PG.4</v>
          </cell>
          <cell r="X116" t="str">
            <v>WBS CODE</v>
          </cell>
          <cell r="Y116" t="str">
            <v>DESCRIPTION</v>
          </cell>
          <cell r="Z116" t="str">
            <v>QUANTITY</v>
          </cell>
          <cell r="AA116" t="str">
            <v>UNITS</v>
          </cell>
          <cell r="AB116" t="str">
            <v>TOTAL MANHOURS</v>
          </cell>
          <cell r="AC116" t="str">
            <v>TOTAL LABOR COST</v>
          </cell>
          <cell r="AD116" t="str">
            <v>TOTAL MAT'L COST</v>
          </cell>
          <cell r="AE116" t="str">
            <v>TOTAL S/C COST</v>
          </cell>
          <cell r="AF116" t="str">
            <v>TOTAL COST</v>
          </cell>
        </row>
        <row r="118">
          <cell r="X118" t="str">
            <v>1ACAA</v>
          </cell>
          <cell r="Y118" t="str">
            <v>DKADU PLANT  - CONSTRUCTION, CIVIL - SITE WORK</v>
          </cell>
          <cell r="AF118">
            <v>0</v>
          </cell>
          <cell r="AG118">
            <v>0</v>
          </cell>
        </row>
        <row r="119">
          <cell r="X119" t="str">
            <v>1ACAB</v>
          </cell>
          <cell r="Y119" t="str">
            <v>DKADU PLANT  - CONSTRUCTION, CIVIL - FOUNDATIONS</v>
          </cell>
          <cell r="AF119">
            <v>0</v>
          </cell>
          <cell r="AG119">
            <v>0</v>
          </cell>
        </row>
        <row r="120">
          <cell r="X120" t="str">
            <v>1ACA</v>
          </cell>
          <cell r="Y120" t="str">
            <v>SUBTOTAL - DKADU PLANT  - CONSTRUCTION, CIVIL</v>
          </cell>
          <cell r="Z120">
            <v>0</v>
          </cell>
          <cell r="AA120" t="str">
            <v>N/A</v>
          </cell>
          <cell r="AB120">
            <v>0</v>
          </cell>
          <cell r="AC120">
            <v>0</v>
          </cell>
          <cell r="AD120">
            <v>0</v>
          </cell>
          <cell r="AE120">
            <v>0</v>
          </cell>
          <cell r="AF120">
            <v>0</v>
          </cell>
        </row>
        <row r="122">
          <cell r="X122" t="str">
            <v>1ACBA</v>
          </cell>
          <cell r="Y122" t="str">
            <v>DKADU PLANT  - CONSTRUCTION, MAJOR EQUIPMENT - PRESSURE VESSELS</v>
          </cell>
          <cell r="Z122">
            <v>433.39999999999992</v>
          </cell>
          <cell r="AA122" t="str">
            <v>TON</v>
          </cell>
          <cell r="AB122">
            <v>6730</v>
          </cell>
          <cell r="AC122">
            <v>174700</v>
          </cell>
          <cell r="AF122">
            <v>174700</v>
          </cell>
          <cell r="AG122">
            <v>0</v>
          </cell>
        </row>
        <row r="123">
          <cell r="X123" t="str">
            <v>1ACBB</v>
          </cell>
          <cell r="Y123" t="str">
            <v>DKADU PLANT  - CONSTRUCTION, MAJOR EQUIPMENT - COLUMNS</v>
          </cell>
          <cell r="Z123">
            <v>840.3</v>
          </cell>
          <cell r="AA123" t="str">
            <v>TON</v>
          </cell>
          <cell r="AB123">
            <v>24640</v>
          </cell>
          <cell r="AC123">
            <v>504600</v>
          </cell>
          <cell r="AF123">
            <v>504600</v>
          </cell>
          <cell r="AG123">
            <v>0</v>
          </cell>
        </row>
        <row r="124">
          <cell r="X124" t="str">
            <v>1ACBC</v>
          </cell>
          <cell r="Y124" t="str">
            <v>DKADU PLANT  - CONSTRUCTION, MAJOR EQUIPMENT - REACTORS</v>
          </cell>
          <cell r="AF124">
            <v>0</v>
          </cell>
          <cell r="AG124">
            <v>0</v>
          </cell>
        </row>
        <row r="125">
          <cell r="X125" t="str">
            <v>1ACBD</v>
          </cell>
          <cell r="Y125" t="str">
            <v>DKADU PLANT  - CONSTRUCTION, MAJOR EQUIPMENT - FIELD ERECTED TANKS</v>
          </cell>
          <cell r="Z125" t="str">
            <v>N/A</v>
          </cell>
          <cell r="AA125" t="str">
            <v>N/A</v>
          </cell>
          <cell r="AB125" t="str">
            <v>N/A</v>
          </cell>
          <cell r="AC125" t="str">
            <v>N/A</v>
          </cell>
          <cell r="AD125" t="str">
            <v>N/A</v>
          </cell>
          <cell r="AE125" t="str">
            <v>N/A</v>
          </cell>
          <cell r="AF125" t="str">
            <v>N/A</v>
          </cell>
        </row>
        <row r="126">
          <cell r="X126" t="str">
            <v>1ACBE</v>
          </cell>
          <cell r="Y126" t="str">
            <v>DKADU PLANT  - CONSTRUCTION, MAJOR EQUIPMENT - PUMPS</v>
          </cell>
          <cell r="Z126">
            <v>39.200000000000003</v>
          </cell>
          <cell r="AA126" t="str">
            <v>TON</v>
          </cell>
          <cell r="AB126">
            <v>4050</v>
          </cell>
          <cell r="AC126">
            <v>39300</v>
          </cell>
          <cell r="AF126">
            <v>39300</v>
          </cell>
          <cell r="AG126">
            <v>0</v>
          </cell>
        </row>
        <row r="127">
          <cell r="X127" t="str">
            <v>1ACBF</v>
          </cell>
          <cell r="Y127" t="str">
            <v>DKADU PLANT  - CONSTRUCTION, MAJOR EQUIPMENT - HEAT EXCHANGERS S&amp;T</v>
          </cell>
          <cell r="Z127">
            <v>1338.5</v>
          </cell>
          <cell r="AA127" t="str">
            <v>TON</v>
          </cell>
          <cell r="AB127">
            <v>56000</v>
          </cell>
          <cell r="AC127">
            <v>753200</v>
          </cell>
          <cell r="AF127">
            <v>753200</v>
          </cell>
          <cell r="AG127">
            <v>0</v>
          </cell>
        </row>
        <row r="128">
          <cell r="X128" t="str">
            <v>1ACBG</v>
          </cell>
          <cell r="Y128" t="str">
            <v>DKADU PLANT  - CONSTRUCTION, MAJOR EQUIPMENT - HEAT EXCHANGERS FINNED</v>
          </cell>
          <cell r="AF128">
            <v>0</v>
          </cell>
          <cell r="AG128">
            <v>0</v>
          </cell>
        </row>
        <row r="129">
          <cell r="X129" t="str">
            <v>1ACBH</v>
          </cell>
          <cell r="Y129" t="str">
            <v>DKADU PLANT  - CONSTRUCTION, MAJOR EQUIPMENT - EXTRUDERS</v>
          </cell>
          <cell r="Z129" t="str">
            <v>N/A</v>
          </cell>
          <cell r="AA129" t="str">
            <v>N/A</v>
          </cell>
          <cell r="AB129" t="str">
            <v>N/A</v>
          </cell>
          <cell r="AC129" t="str">
            <v>N/A</v>
          </cell>
          <cell r="AD129" t="str">
            <v>N/A</v>
          </cell>
          <cell r="AE129" t="str">
            <v>N/A</v>
          </cell>
          <cell r="AF129" t="str">
            <v>N/A</v>
          </cell>
        </row>
        <row r="130">
          <cell r="X130" t="str">
            <v>1ACBI</v>
          </cell>
          <cell r="Y130" t="str">
            <v>DKADU PLANT  - CONSTRUCTION, MAJOR EQUIPMENT - COMPRESSORS</v>
          </cell>
          <cell r="Z130">
            <v>1380.5</v>
          </cell>
          <cell r="AA130" t="str">
            <v>TON</v>
          </cell>
          <cell r="AB130">
            <v>108180</v>
          </cell>
          <cell r="AC130">
            <v>955100</v>
          </cell>
          <cell r="AF130">
            <v>955100</v>
          </cell>
          <cell r="AG130">
            <v>0</v>
          </cell>
        </row>
        <row r="131">
          <cell r="X131" t="str">
            <v>1ACBJ</v>
          </cell>
          <cell r="Y131" t="str">
            <v>DKADU PLANT  - CONSTRUCTION, MAJOR EQUIPMENT - GENERATORS</v>
          </cell>
          <cell r="Z131" t="str">
            <v>N/A</v>
          </cell>
          <cell r="AA131" t="str">
            <v>N/A</v>
          </cell>
          <cell r="AB131" t="str">
            <v>N/A</v>
          </cell>
          <cell r="AC131" t="str">
            <v>N/A</v>
          </cell>
          <cell r="AD131" t="str">
            <v>N/A</v>
          </cell>
          <cell r="AE131" t="str">
            <v>N/A</v>
          </cell>
          <cell r="AF131" t="str">
            <v>N/A</v>
          </cell>
        </row>
        <row r="132">
          <cell r="X132" t="str">
            <v>1ACBK</v>
          </cell>
          <cell r="Y132" t="str">
            <v>DKADU PLANT  - CONSTRUCTION, MAJOR EQUIPMENT - MOTORS &amp; DRIVERS</v>
          </cell>
          <cell r="AF132">
            <v>0</v>
          </cell>
          <cell r="AG132">
            <v>0</v>
          </cell>
        </row>
        <row r="133">
          <cell r="X133" t="str">
            <v>1ACBL</v>
          </cell>
          <cell r="Y133" t="str">
            <v>DKADU PLANT  - CONSTRUCTION, MAJOR EQUIPMENT - FIRED EQUIPMENT</v>
          </cell>
          <cell r="Z133" t="str">
            <v>N/A</v>
          </cell>
          <cell r="AA133" t="str">
            <v>N/A</v>
          </cell>
          <cell r="AB133" t="str">
            <v>N/A</v>
          </cell>
          <cell r="AC133" t="str">
            <v>N/A</v>
          </cell>
          <cell r="AD133" t="str">
            <v>N/A</v>
          </cell>
          <cell r="AE133" t="str">
            <v>N/A</v>
          </cell>
          <cell r="AF133" t="str">
            <v>N/A</v>
          </cell>
        </row>
        <row r="134">
          <cell r="X134" t="str">
            <v>1ACBM</v>
          </cell>
          <cell r="Y134" t="str">
            <v>DKADU PLANT  - CONSTRUCTION, MAJOR EQUIPMENT - BLOWERS, FANS</v>
          </cell>
          <cell r="Z134" t="str">
            <v>N/A</v>
          </cell>
          <cell r="AA134" t="str">
            <v>N/A</v>
          </cell>
          <cell r="AB134" t="str">
            <v>N/A</v>
          </cell>
          <cell r="AC134" t="str">
            <v>N/A</v>
          </cell>
          <cell r="AD134" t="str">
            <v>N/A</v>
          </cell>
          <cell r="AE134" t="str">
            <v>N/A</v>
          </cell>
          <cell r="AF134" t="str">
            <v>N/A</v>
          </cell>
        </row>
        <row r="135">
          <cell r="X135" t="str">
            <v>1ACBN</v>
          </cell>
          <cell r="Y135" t="str">
            <v>DKADU PLANT  - CONSTRUCTION, MAJOR EQUIPMENT - FILTERS</v>
          </cell>
          <cell r="Z135" t="str">
            <v>N/A</v>
          </cell>
          <cell r="AA135" t="str">
            <v>N/A</v>
          </cell>
          <cell r="AB135" t="str">
            <v>N/A</v>
          </cell>
          <cell r="AC135" t="str">
            <v>N/A</v>
          </cell>
          <cell r="AD135" t="str">
            <v>N/A</v>
          </cell>
          <cell r="AE135" t="str">
            <v>N/A</v>
          </cell>
          <cell r="AF135" t="str">
            <v>N/A</v>
          </cell>
        </row>
        <row r="136">
          <cell r="X136" t="str">
            <v>1ACBO</v>
          </cell>
          <cell r="Y136" t="str">
            <v>DKADU PLANT  - CONSTRUCTION, MAJOR EQUIPMENT - FLARES</v>
          </cell>
          <cell r="Z136" t="str">
            <v>N/A</v>
          </cell>
          <cell r="AA136" t="str">
            <v>N/A</v>
          </cell>
          <cell r="AB136" t="str">
            <v>N/A</v>
          </cell>
          <cell r="AC136" t="str">
            <v>N/A</v>
          </cell>
          <cell r="AD136" t="str">
            <v>N/A</v>
          </cell>
          <cell r="AE136" t="str">
            <v>N/A</v>
          </cell>
          <cell r="AF136" t="str">
            <v>N/A</v>
          </cell>
        </row>
        <row r="137">
          <cell r="X137" t="str">
            <v>1ACBP</v>
          </cell>
          <cell r="Y137" t="str">
            <v>DKADU PLANT  - CONSTRUCTION, MAJOR EQUIPMENT - SOLIDS HANDLING EQUIPMENT</v>
          </cell>
          <cell r="Z137" t="str">
            <v>N/A</v>
          </cell>
          <cell r="AA137" t="str">
            <v>N/A</v>
          </cell>
          <cell r="AB137" t="str">
            <v>N/A</v>
          </cell>
          <cell r="AC137" t="str">
            <v>N/A</v>
          </cell>
          <cell r="AD137" t="str">
            <v>N/A</v>
          </cell>
          <cell r="AE137" t="str">
            <v>N/A</v>
          </cell>
          <cell r="AF137" t="str">
            <v>N/A</v>
          </cell>
        </row>
        <row r="138">
          <cell r="X138" t="str">
            <v>1ACBQ</v>
          </cell>
          <cell r="Y138" t="str">
            <v>DKADU PLANT  - CONSTRUCTION, MAJOR EQUIPMENT - PACKAGED EQUIPMENT</v>
          </cell>
          <cell r="Z138" t="str">
            <v>N/A</v>
          </cell>
          <cell r="AA138" t="str">
            <v>N/A</v>
          </cell>
          <cell r="AB138" t="str">
            <v>N/A</v>
          </cell>
          <cell r="AC138" t="str">
            <v>N/A</v>
          </cell>
          <cell r="AD138" t="str">
            <v>N/A</v>
          </cell>
          <cell r="AE138" t="str">
            <v>N/A</v>
          </cell>
          <cell r="AF138" t="str">
            <v>N/A</v>
          </cell>
        </row>
        <row r="139">
          <cell r="X139" t="str">
            <v>1ACBX</v>
          </cell>
          <cell r="Y139" t="str">
            <v>DKADU PLANT  - CONSTRUCTION, MAJOR EQUIPMENT - OTHERS</v>
          </cell>
          <cell r="Z139">
            <v>80.099999999999994</v>
          </cell>
          <cell r="AA139" t="str">
            <v>TON</v>
          </cell>
          <cell r="AB139">
            <v>12560</v>
          </cell>
          <cell r="AC139">
            <v>124420</v>
          </cell>
          <cell r="AF139">
            <v>124420</v>
          </cell>
          <cell r="AG139">
            <v>0</v>
          </cell>
        </row>
        <row r="140">
          <cell r="X140" t="str">
            <v>1ACB-</v>
          </cell>
          <cell r="Y140" t="str">
            <v>SUBTOTAL - DKADU PLANT  - CONSTRUCTION, MAJOR EQUIPMENT</v>
          </cell>
          <cell r="Z140">
            <v>4112</v>
          </cell>
          <cell r="AA140" t="str">
            <v>N/A</v>
          </cell>
          <cell r="AB140">
            <v>212160</v>
          </cell>
          <cell r="AC140">
            <v>2551320</v>
          </cell>
          <cell r="AD140">
            <v>0</v>
          </cell>
          <cell r="AE140">
            <v>0</v>
          </cell>
          <cell r="AF140">
            <v>2551320</v>
          </cell>
        </row>
        <row r="142">
          <cell r="X142" t="str">
            <v>1ACCA</v>
          </cell>
          <cell r="Y142" t="str">
            <v>DKADU PLANT  - CONSTRUCTION, BULKS - STRUCTURAL</v>
          </cell>
          <cell r="AF142">
            <v>0</v>
          </cell>
          <cell r="AG142">
            <v>0</v>
          </cell>
        </row>
        <row r="143">
          <cell r="X143" t="str">
            <v>1ACCB</v>
          </cell>
          <cell r="Y143" t="str">
            <v>DKADU PLANT  - CONSTRUCTION, BULKS - PIPING</v>
          </cell>
          <cell r="AF143">
            <v>0</v>
          </cell>
          <cell r="AG143">
            <v>0</v>
          </cell>
        </row>
        <row r="144">
          <cell r="X144" t="str">
            <v>1ACCC</v>
          </cell>
          <cell r="Y144" t="str">
            <v>DKADU PLANT  - CONSTRUCTION, BULKS - ELECTRICAL</v>
          </cell>
          <cell r="AF144">
            <v>0</v>
          </cell>
          <cell r="AG144">
            <v>0</v>
          </cell>
        </row>
        <row r="145">
          <cell r="X145" t="str">
            <v>1ACCD</v>
          </cell>
          <cell r="Y145" t="str">
            <v>DKADU PLANT  - CONSTRUCTION, BULKS - INSTRUMENTATION</v>
          </cell>
          <cell r="AF145">
            <v>0</v>
          </cell>
          <cell r="AG145">
            <v>0</v>
          </cell>
        </row>
        <row r="146">
          <cell r="X146" t="str">
            <v>1ACCE</v>
          </cell>
          <cell r="Y146" t="str">
            <v>DKADU PLANT  - CONSTRUCTION, BULKS - PIPELINES</v>
          </cell>
          <cell r="Z146" t="str">
            <v>N/A</v>
          </cell>
          <cell r="AA146" t="str">
            <v>N/A</v>
          </cell>
          <cell r="AB146" t="str">
            <v>N/A</v>
          </cell>
          <cell r="AC146" t="str">
            <v>N/A</v>
          </cell>
          <cell r="AD146" t="str">
            <v>N/A</v>
          </cell>
          <cell r="AE146" t="str">
            <v>N/A</v>
          </cell>
          <cell r="AF146" t="str">
            <v>N/A</v>
          </cell>
        </row>
        <row r="147">
          <cell r="X147" t="str">
            <v>1ACC-</v>
          </cell>
          <cell r="Y147" t="str">
            <v xml:space="preserve">SUBTOTAL - DKADU PLANT  - CONSTRUCTION, BULKS </v>
          </cell>
          <cell r="Z147">
            <v>0</v>
          </cell>
          <cell r="AA147" t="str">
            <v>N/A</v>
          </cell>
          <cell r="AB147">
            <v>0</v>
          </cell>
          <cell r="AC147">
            <v>0</v>
          </cell>
          <cell r="AD147">
            <v>0</v>
          </cell>
          <cell r="AE147">
            <v>0</v>
          </cell>
          <cell r="AF147">
            <v>0</v>
          </cell>
        </row>
        <row r="154">
          <cell r="W154" t="str">
            <v>LEVEL 2 DKADU PLANT PG 5</v>
          </cell>
          <cell r="X154" t="str">
            <v>WBS CODE</v>
          </cell>
          <cell r="Y154" t="str">
            <v>DESCRIPTION</v>
          </cell>
          <cell r="Z154" t="str">
            <v>QUANTITY</v>
          </cell>
          <cell r="AA154" t="str">
            <v>UNITS</v>
          </cell>
          <cell r="AB154" t="str">
            <v>TOTAL MANHOURS</v>
          </cell>
          <cell r="AC154" t="str">
            <v>TOTAL LABOR COST</v>
          </cell>
          <cell r="AD154" t="str">
            <v>TOTAL MAT'L COST</v>
          </cell>
          <cell r="AE154" t="str">
            <v>TOTAL S/C COST</v>
          </cell>
          <cell r="AF154" t="str">
            <v>TOTAL COST</v>
          </cell>
        </row>
        <row r="156">
          <cell r="X156" t="str">
            <v>1ACDA</v>
          </cell>
          <cell r="Y156" t="str">
            <v>DKADU PLANT  - CONSTRUCTION SPECIALTIES - BUILDINGS</v>
          </cell>
          <cell r="AF156">
            <v>0</v>
          </cell>
          <cell r="AG156">
            <v>0</v>
          </cell>
        </row>
        <row r="157">
          <cell r="X157" t="str">
            <v>1ACDB</v>
          </cell>
          <cell r="Y157" t="str">
            <v>DKADU PLANT  - CONSTRUCTION SPECIALTIES - GENERAL</v>
          </cell>
          <cell r="AF157">
            <v>0</v>
          </cell>
          <cell r="AG157">
            <v>0</v>
          </cell>
        </row>
        <row r="158">
          <cell r="X158" t="str">
            <v>1ACD-</v>
          </cell>
          <cell r="Y158" t="str">
            <v>SUBTOTAL - DKADU PLANT  - CONSTRUCTION SPECIALTIES</v>
          </cell>
          <cell r="Z158">
            <v>0</v>
          </cell>
          <cell r="AA158" t="str">
            <v>N/A</v>
          </cell>
          <cell r="AB158">
            <v>0</v>
          </cell>
          <cell r="AC158">
            <v>0</v>
          </cell>
          <cell r="AD158">
            <v>0</v>
          </cell>
          <cell r="AE158">
            <v>0</v>
          </cell>
          <cell r="AF158">
            <v>0</v>
          </cell>
        </row>
        <row r="160">
          <cell r="X160" t="str">
            <v>1ACEA</v>
          </cell>
          <cell r="Y160" t="str">
            <v>DKADU PLANT  - CONSTRUCTION, OTHER DIRECT WORK - FIRE PROTECTION</v>
          </cell>
          <cell r="AF160">
            <v>0</v>
          </cell>
          <cell r="AG160">
            <v>0</v>
          </cell>
        </row>
        <row r="161">
          <cell r="X161" t="str">
            <v>1ACEB</v>
          </cell>
          <cell r="Y161" t="str">
            <v>DKADU PLANT  - CONSTRUCTION, OTHER DIRECT WORK - FIREPROOFING</v>
          </cell>
          <cell r="AF161">
            <v>0</v>
          </cell>
          <cell r="AG161">
            <v>0</v>
          </cell>
        </row>
        <row r="162">
          <cell r="X162" t="str">
            <v>1ACEC</v>
          </cell>
          <cell r="Y162" t="str">
            <v>DKADU PLANT  - CONSTRUCTION, OTHER DIRECT WORK - INSULATION</v>
          </cell>
          <cell r="AF162">
            <v>0</v>
          </cell>
          <cell r="AG162">
            <v>0</v>
          </cell>
        </row>
        <row r="163">
          <cell r="X163" t="str">
            <v>1ACED</v>
          </cell>
          <cell r="Y163" t="str">
            <v>DKADU PLANT  - CONSTRUCTION, OTHER DIRECT WORK - PAINTING</v>
          </cell>
          <cell r="AF163">
            <v>0</v>
          </cell>
          <cell r="AG163">
            <v>0</v>
          </cell>
        </row>
        <row r="164">
          <cell r="X164" t="str">
            <v>1ACEE</v>
          </cell>
          <cell r="Y164" t="str">
            <v>DKADU PLANT  - CONSTRUCTION, OTHER DIRECT WORK - SHUTDOWN</v>
          </cell>
          <cell r="AF164">
            <v>0</v>
          </cell>
          <cell r="AG164">
            <v>0</v>
          </cell>
        </row>
        <row r="165">
          <cell r="X165" t="str">
            <v>1ACEF</v>
          </cell>
          <cell r="Y165" t="str">
            <v>DKADU PLANT  - CONSTRUCTION, OTHER DIRECT WORK - PRE-COMMISSIONING</v>
          </cell>
          <cell r="AF165">
            <v>0</v>
          </cell>
          <cell r="AG165">
            <v>0</v>
          </cell>
        </row>
        <row r="166">
          <cell r="X166" t="str">
            <v>1ACEG</v>
          </cell>
          <cell r="Y166" t="str">
            <v>DKADU PLANT  - CONSTRUCTION, OTHER DIRECT WORK - ENVIRONMENTAL</v>
          </cell>
          <cell r="AF166">
            <v>0</v>
          </cell>
          <cell r="AG166">
            <v>0</v>
          </cell>
        </row>
        <row r="167">
          <cell r="X167" t="str">
            <v>1ACEX</v>
          </cell>
          <cell r="Y167" t="str">
            <v>DKADU PLANT  - CONSTRUCTION, OTHER DIRECT WORK - OTHER</v>
          </cell>
          <cell r="AF167">
            <v>0</v>
          </cell>
          <cell r="AG167">
            <v>0</v>
          </cell>
        </row>
        <row r="168">
          <cell r="X168" t="str">
            <v>1ACE</v>
          </cell>
          <cell r="Y168" t="str">
            <v xml:space="preserve">SUBTOTAL - DKADU PLANT  - CONSTRUCTION, OTHER DIRECT WORK - </v>
          </cell>
          <cell r="Z168">
            <v>0</v>
          </cell>
          <cell r="AA168" t="str">
            <v>N/A</v>
          </cell>
          <cell r="AB168">
            <v>0</v>
          </cell>
          <cell r="AC168">
            <v>0</v>
          </cell>
          <cell r="AD168">
            <v>0</v>
          </cell>
          <cell r="AE168">
            <v>0</v>
          </cell>
          <cell r="AF168">
            <v>0</v>
          </cell>
        </row>
        <row r="170">
          <cell r="X170" t="str">
            <v>1ACFA</v>
          </cell>
          <cell r="Y170" t="str">
            <v>DKADU PLANT  - CONSTRUCTION INDIRECTS</v>
          </cell>
          <cell r="AF170">
            <v>0</v>
          </cell>
          <cell r="AG170">
            <v>0</v>
          </cell>
        </row>
        <row r="171">
          <cell r="X171" t="str">
            <v>1ACF</v>
          </cell>
          <cell r="Y171" t="str">
            <v>SUBTOTAL - DKADU PLANT  - CONSTRUCTION INDIRECTS</v>
          </cell>
          <cell r="Z171">
            <v>0</v>
          </cell>
          <cell r="AA171" t="str">
            <v>N/A</v>
          </cell>
          <cell r="AB171">
            <v>0</v>
          </cell>
          <cell r="AC171">
            <v>0</v>
          </cell>
          <cell r="AD171">
            <v>0</v>
          </cell>
          <cell r="AE171">
            <v>0</v>
          </cell>
          <cell r="AF171">
            <v>0</v>
          </cell>
        </row>
        <row r="173">
          <cell r="X173" t="str">
            <v>1ADAA</v>
          </cell>
          <cell r="Y173" t="str">
            <v>DKADU PLANT  - COMMISSIONING - PROCESS</v>
          </cell>
          <cell r="AF173">
            <v>0</v>
          </cell>
          <cell r="AG173">
            <v>0</v>
          </cell>
        </row>
        <row r="174">
          <cell r="X174" t="str">
            <v>1ADAB</v>
          </cell>
          <cell r="Y174" t="str">
            <v>DKADU PLANT  - COMMISSIONING - UTILITIES</v>
          </cell>
          <cell r="AF174">
            <v>0</v>
          </cell>
          <cell r="AG174">
            <v>0</v>
          </cell>
        </row>
        <row r="175">
          <cell r="X175" t="str">
            <v>1ADA-</v>
          </cell>
          <cell r="Y175" t="str">
            <v>SUBTOTAL - DKADU PLANT  - COMMISSIONING</v>
          </cell>
          <cell r="Z175">
            <v>0</v>
          </cell>
          <cell r="AA175" t="str">
            <v>N/A</v>
          </cell>
          <cell r="AB175">
            <v>0</v>
          </cell>
          <cell r="AC175">
            <v>0</v>
          </cell>
          <cell r="AD175">
            <v>0</v>
          </cell>
          <cell r="AE175">
            <v>0</v>
          </cell>
          <cell r="AF175">
            <v>0</v>
          </cell>
        </row>
        <row r="177">
          <cell r="X177" t="str">
            <v>1ADBA</v>
          </cell>
          <cell r="Y177" t="str">
            <v>DKADU PLANT  - STARTUP - PROCESS</v>
          </cell>
          <cell r="AF177">
            <v>0</v>
          </cell>
          <cell r="AG177">
            <v>0</v>
          </cell>
        </row>
        <row r="178">
          <cell r="X178" t="str">
            <v>1ADBB</v>
          </cell>
          <cell r="Y178" t="str">
            <v>DKADU PLANT  - STARTUP - UTILITIES</v>
          </cell>
          <cell r="AF178">
            <v>0</v>
          </cell>
          <cell r="AG178">
            <v>0</v>
          </cell>
        </row>
        <row r="179">
          <cell r="X179" t="str">
            <v>1ADB-</v>
          </cell>
          <cell r="Y179" t="str">
            <v>SUBTOTAL - DKADU PLANT  - STARTUP</v>
          </cell>
          <cell r="Z179">
            <v>0</v>
          </cell>
          <cell r="AA179" t="str">
            <v>N/A</v>
          </cell>
          <cell r="AB179">
            <v>0</v>
          </cell>
          <cell r="AC179">
            <v>0</v>
          </cell>
          <cell r="AD179">
            <v>0</v>
          </cell>
          <cell r="AE179">
            <v>0</v>
          </cell>
          <cell r="AF179">
            <v>0</v>
          </cell>
        </row>
        <row r="181">
          <cell r="X181" t="str">
            <v>1ADCA</v>
          </cell>
          <cell r="Y181" t="str">
            <v>DKADU PLANT  - TRAINING</v>
          </cell>
          <cell r="AF181">
            <v>0</v>
          </cell>
          <cell r="AG181">
            <v>0</v>
          </cell>
        </row>
        <row r="182">
          <cell r="X182" t="str">
            <v>1ADC-</v>
          </cell>
          <cell r="Y182" t="str">
            <v>SUBTOTAL - DKADU PLANT  - TRAINING</v>
          </cell>
          <cell r="Z182">
            <v>0</v>
          </cell>
          <cell r="AA182" t="str">
            <v>N/A</v>
          </cell>
          <cell r="AB182">
            <v>0</v>
          </cell>
          <cell r="AC182">
            <v>0</v>
          </cell>
          <cell r="AD182">
            <v>0</v>
          </cell>
          <cell r="AE182">
            <v>0</v>
          </cell>
          <cell r="AF182">
            <v>0</v>
          </cell>
        </row>
        <row r="192">
          <cell r="L192" t="str">
            <v>CYCLE &amp; LVL 1 NGL-4 PLANT</v>
          </cell>
          <cell r="M192" t="str">
            <v>WBS CODE</v>
          </cell>
          <cell r="N192" t="str">
            <v>DESCRIPTION</v>
          </cell>
          <cell r="O192" t="str">
            <v>QUANTITY</v>
          </cell>
          <cell r="P192" t="str">
            <v>UNITS</v>
          </cell>
          <cell r="Q192" t="str">
            <v>TOTAL MANHOURS</v>
          </cell>
          <cell r="R192" t="str">
            <v>TOTAL LABOR COST</v>
          </cell>
          <cell r="S192" t="str">
            <v>TOTAL MAT'L COST</v>
          </cell>
          <cell r="T192" t="str">
            <v>TOTAL S/C COST</v>
          </cell>
          <cell r="U192" t="str">
            <v>TOTAL COST</v>
          </cell>
          <cell r="W192" t="str">
            <v>LEVEL 2 NGL-4 PLANT PG.1</v>
          </cell>
          <cell r="X192" t="str">
            <v>WBS CODE</v>
          </cell>
          <cell r="Y192" t="str">
            <v>DESCRIPTION</v>
          </cell>
          <cell r="Z192" t="str">
            <v>QUANTITY</v>
          </cell>
          <cell r="AA192" t="str">
            <v>UNITS</v>
          </cell>
          <cell r="AB192" t="str">
            <v>TOTAL MANHOURS</v>
          </cell>
          <cell r="AC192" t="str">
            <v>TOTAL LABOR COST</v>
          </cell>
          <cell r="AD192" t="str">
            <v>TOTAL MAT'L COST</v>
          </cell>
          <cell r="AE192" t="str">
            <v>TOTAL S/C COST</v>
          </cell>
          <cell r="AF192" t="str">
            <v>TOTAL COST</v>
          </cell>
          <cell r="AG192">
            <v>0</v>
          </cell>
          <cell r="AH192" t="str">
            <v>LEVEL 3 NGL-4 PLANT PG 1</v>
          </cell>
          <cell r="AI192" t="str">
            <v>WBS CODE</v>
          </cell>
          <cell r="AJ192" t="str">
            <v>DESCRIPTION</v>
          </cell>
          <cell r="AK192" t="str">
            <v>QUANTITY</v>
          </cell>
          <cell r="AL192" t="str">
            <v>UNITS</v>
          </cell>
          <cell r="AM192" t="str">
            <v>TOTAL MANHOURS</v>
          </cell>
          <cell r="AN192" t="str">
            <v>TOTAL LABOR COST</v>
          </cell>
          <cell r="AO192" t="str">
            <v>TOTAL MAT'L COST</v>
          </cell>
          <cell r="AP192" t="str">
            <v>TOTAL S/C COST</v>
          </cell>
          <cell r="AQ192" t="str">
            <v>TOTAL COST</v>
          </cell>
          <cell r="AR192">
            <v>0</v>
          </cell>
        </row>
        <row r="194">
          <cell r="M194" t="str">
            <v>1BAA-</v>
          </cell>
          <cell r="N194" t="str">
            <v>NGL-4 PLANT  - DIRECT ENGINEERING</v>
          </cell>
          <cell r="Q194">
            <v>8136</v>
          </cell>
          <cell r="R194">
            <v>0</v>
          </cell>
          <cell r="S194">
            <v>0</v>
          </cell>
          <cell r="T194">
            <v>0</v>
          </cell>
          <cell r="U194">
            <v>0</v>
          </cell>
          <cell r="X194" t="str">
            <v>1BAAA</v>
          </cell>
          <cell r="Y194" t="str">
            <v>NGL-4 PLANT  - DIR. ENG.  PROCESS</v>
          </cell>
          <cell r="AF194">
            <v>0</v>
          </cell>
          <cell r="AG194">
            <v>0</v>
          </cell>
          <cell r="AH194">
            <v>0</v>
          </cell>
          <cell r="AI194" t="str">
            <v>1BBAAA</v>
          </cell>
          <cell r="AJ194" t="str">
            <v>DEETHANIZER OVERHEAD ACCUMULATOR DRUM</v>
          </cell>
          <cell r="AK194">
            <v>0</v>
          </cell>
          <cell r="AL194">
            <v>0</v>
          </cell>
          <cell r="AM194">
            <v>0</v>
          </cell>
          <cell r="AN194">
            <v>0</v>
          </cell>
          <cell r="AO194">
            <v>0</v>
          </cell>
          <cell r="AP194">
            <v>0</v>
          </cell>
          <cell r="AQ194">
            <v>0</v>
          </cell>
          <cell r="AR194">
            <v>0</v>
          </cell>
        </row>
        <row r="195">
          <cell r="M195" t="str">
            <v>1BAH-</v>
          </cell>
          <cell r="N195" t="str">
            <v>NGL-4 PLANT  EQUIPMENT SPECIFICATION</v>
          </cell>
          <cell r="Q195">
            <v>1870</v>
          </cell>
          <cell r="R195">
            <v>0</v>
          </cell>
          <cell r="S195">
            <v>0</v>
          </cell>
          <cell r="T195">
            <v>0</v>
          </cell>
          <cell r="U195">
            <v>0</v>
          </cell>
          <cell r="X195" t="str">
            <v>1BAAB</v>
          </cell>
          <cell r="Y195" t="str">
            <v>NGL-4 PLANT  - DIR. ENG.  PERMITS</v>
          </cell>
          <cell r="AF195">
            <v>0</v>
          </cell>
          <cell r="AG195">
            <v>0</v>
          </cell>
          <cell r="AH195">
            <v>0</v>
          </cell>
          <cell r="AI195" t="str">
            <v>1BBAAB</v>
          </cell>
          <cell r="AJ195" t="str">
            <v>PROPANE REFRIGERANT SURGE DRUMS</v>
          </cell>
          <cell r="AK195">
            <v>0</v>
          </cell>
          <cell r="AL195">
            <v>0</v>
          </cell>
          <cell r="AM195">
            <v>0</v>
          </cell>
          <cell r="AN195">
            <v>0</v>
          </cell>
          <cell r="AO195">
            <v>0</v>
          </cell>
          <cell r="AP195">
            <v>0</v>
          </cell>
          <cell r="AQ195">
            <v>0</v>
          </cell>
          <cell r="AR195">
            <v>0</v>
          </cell>
        </row>
        <row r="196">
          <cell r="M196" t="str">
            <v>1BAI-</v>
          </cell>
          <cell r="N196" t="str">
            <v>NGL-4 PLANT  - ENGINEERING PROCUREMENT</v>
          </cell>
          <cell r="Q196">
            <v>0</v>
          </cell>
          <cell r="R196">
            <v>0</v>
          </cell>
          <cell r="S196">
            <v>0</v>
          </cell>
          <cell r="T196">
            <v>0</v>
          </cell>
          <cell r="U196">
            <v>0</v>
          </cell>
          <cell r="X196" t="str">
            <v>1BAAC</v>
          </cell>
          <cell r="Y196" t="str">
            <v>NGL-4 PLANT  - DIR. ENG.  CIVIL/STRUCTURAL</v>
          </cell>
          <cell r="AF196">
            <v>0</v>
          </cell>
          <cell r="AG196">
            <v>0</v>
          </cell>
          <cell r="AH196">
            <v>0</v>
          </cell>
          <cell r="AI196" t="str">
            <v>1BBAAC</v>
          </cell>
          <cell r="AJ196" t="str">
            <v>PROPANE REFRIGERANT 1ST STAGE SUCTION DRUMS</v>
          </cell>
          <cell r="AK196">
            <v>0</v>
          </cell>
          <cell r="AL196">
            <v>0</v>
          </cell>
          <cell r="AM196">
            <v>0</v>
          </cell>
          <cell r="AN196">
            <v>0</v>
          </cell>
          <cell r="AO196">
            <v>0</v>
          </cell>
          <cell r="AP196">
            <v>0</v>
          </cell>
          <cell r="AQ196">
            <v>0</v>
          </cell>
          <cell r="AR196">
            <v>0</v>
          </cell>
        </row>
        <row r="197">
          <cell r="M197" t="str">
            <v>1BAJ-</v>
          </cell>
          <cell r="N197" t="str">
            <v>NGL-4 PLANT  - INDIRECT ENGINEERING</v>
          </cell>
          <cell r="Q197">
            <v>0</v>
          </cell>
          <cell r="R197">
            <v>0</v>
          </cell>
          <cell r="S197">
            <v>0</v>
          </cell>
          <cell r="T197">
            <v>0</v>
          </cell>
          <cell r="U197">
            <v>0</v>
          </cell>
          <cell r="X197" t="str">
            <v>1BAAD</v>
          </cell>
          <cell r="Y197" t="str">
            <v>NGL-4 PLANT  - DIR. ENG.  MECHANICAL</v>
          </cell>
          <cell r="Z197">
            <v>271</v>
          </cell>
          <cell r="AA197" t="str">
            <v>EA</v>
          </cell>
          <cell r="AB197">
            <v>8136</v>
          </cell>
          <cell r="AF197">
            <v>0</v>
          </cell>
          <cell r="AG197">
            <v>0</v>
          </cell>
          <cell r="AH197">
            <v>0</v>
          </cell>
          <cell r="AI197" t="str">
            <v>1BBAAD</v>
          </cell>
          <cell r="AJ197" t="str">
            <v>PROPANE REFRIGERANT 3RD STAGE SUCTION DRUMS</v>
          </cell>
          <cell r="AK197">
            <v>0</v>
          </cell>
          <cell r="AL197">
            <v>0</v>
          </cell>
          <cell r="AM197">
            <v>0</v>
          </cell>
          <cell r="AN197">
            <v>0</v>
          </cell>
          <cell r="AO197">
            <v>0</v>
          </cell>
          <cell r="AP197">
            <v>0</v>
          </cell>
          <cell r="AQ197">
            <v>0</v>
          </cell>
          <cell r="AR197">
            <v>0</v>
          </cell>
        </row>
        <row r="198">
          <cell r="M198" t="str">
            <v>1BA--</v>
          </cell>
          <cell r="N198" t="str">
            <v>SUBTOTAL NGL-4 PLANT  - ENGINEERING/PROCUREMENT</v>
          </cell>
          <cell r="Q198">
            <v>10006</v>
          </cell>
          <cell r="R198">
            <v>0</v>
          </cell>
          <cell r="S198">
            <v>0</v>
          </cell>
          <cell r="T198">
            <v>0</v>
          </cell>
          <cell r="U198">
            <v>0</v>
          </cell>
          <cell r="X198" t="str">
            <v>1BAAE</v>
          </cell>
          <cell r="Y198" t="str">
            <v>NGL-4 PLANT  - DIR. ENG.  PIPING</v>
          </cell>
          <cell r="AF198">
            <v>0</v>
          </cell>
          <cell r="AG198">
            <v>0</v>
          </cell>
          <cell r="AH198">
            <v>0</v>
          </cell>
          <cell r="AI198" t="str">
            <v>1BBAAE</v>
          </cell>
          <cell r="AJ198" t="str">
            <v>PROPANE REFRIGERANT 4TH STAGE SUCTION DRUMS</v>
          </cell>
          <cell r="AK198">
            <v>0</v>
          </cell>
          <cell r="AL198">
            <v>0</v>
          </cell>
          <cell r="AM198">
            <v>0</v>
          </cell>
          <cell r="AN198">
            <v>0</v>
          </cell>
          <cell r="AO198">
            <v>0</v>
          </cell>
          <cell r="AP198">
            <v>0</v>
          </cell>
          <cell r="AQ198">
            <v>0</v>
          </cell>
          <cell r="AR198">
            <v>0</v>
          </cell>
        </row>
        <row r="199">
          <cell r="X199" t="str">
            <v>1BAAF</v>
          </cell>
          <cell r="Y199" t="str">
            <v>NGL-4 PLANT  - DIR. ENG.  ELECTRICAL</v>
          </cell>
          <cell r="AF199">
            <v>0</v>
          </cell>
          <cell r="AG199">
            <v>0</v>
          </cell>
          <cell r="AH199">
            <v>0</v>
          </cell>
          <cell r="AI199" t="str">
            <v>1BBAAF</v>
          </cell>
          <cell r="AJ199" t="str">
            <v>NFGP FEED DRUM</v>
          </cell>
          <cell r="AK199">
            <v>0</v>
          </cell>
          <cell r="AL199">
            <v>0</v>
          </cell>
          <cell r="AM199">
            <v>0</v>
          </cell>
          <cell r="AN199">
            <v>0</v>
          </cell>
          <cell r="AO199">
            <v>0</v>
          </cell>
          <cell r="AP199">
            <v>0</v>
          </cell>
          <cell r="AQ199">
            <v>0</v>
          </cell>
          <cell r="AR199">
            <v>0</v>
          </cell>
        </row>
        <row r="200">
          <cell r="M200" t="str">
            <v>1BBA-</v>
          </cell>
          <cell r="N200" t="str">
            <v>NGL-4 PLANT  - FAB/DELIVERY - MAJOR EQUIPMENT</v>
          </cell>
          <cell r="Q200">
            <v>0</v>
          </cell>
          <cell r="R200">
            <v>0</v>
          </cell>
          <cell r="S200">
            <v>0</v>
          </cell>
          <cell r="T200">
            <v>0</v>
          </cell>
          <cell r="U200">
            <v>0</v>
          </cell>
          <cell r="X200" t="str">
            <v>1BAAG</v>
          </cell>
          <cell r="Y200" t="str">
            <v>NGL-4 PLANT  - DIR. ENG.  INSTRUMENTATION</v>
          </cell>
          <cell r="AF200">
            <v>0</v>
          </cell>
          <cell r="AG200">
            <v>0</v>
          </cell>
          <cell r="AH200">
            <v>0</v>
          </cell>
          <cell r="AI200" t="str">
            <v>1BBAAX</v>
          </cell>
          <cell r="AJ200" t="str">
            <v>OTHER PRESSURE VESSELS</v>
          </cell>
          <cell r="AK200">
            <v>0</v>
          </cell>
          <cell r="AL200">
            <v>0</v>
          </cell>
          <cell r="AM200">
            <v>0</v>
          </cell>
          <cell r="AN200">
            <v>0</v>
          </cell>
          <cell r="AO200">
            <v>0</v>
          </cell>
          <cell r="AP200">
            <v>0</v>
          </cell>
          <cell r="AQ200">
            <v>0</v>
          </cell>
          <cell r="AR200">
            <v>0</v>
          </cell>
        </row>
        <row r="201">
          <cell r="M201" t="str">
            <v>1BBB-</v>
          </cell>
          <cell r="N201" t="str">
            <v>NGL-4 PLANT  - FAB/DELIVERY - BULKS</v>
          </cell>
          <cell r="Q201">
            <v>0</v>
          </cell>
          <cell r="R201">
            <v>0</v>
          </cell>
          <cell r="S201">
            <v>0</v>
          </cell>
          <cell r="T201">
            <v>0</v>
          </cell>
          <cell r="U201">
            <v>0</v>
          </cell>
          <cell r="X201" t="str">
            <v>1BAAH</v>
          </cell>
          <cell r="Y201" t="str">
            <v>NGL-4 PLANT  - DIR. ENG.  ARCHITECTURAL</v>
          </cell>
          <cell r="AF201">
            <v>0</v>
          </cell>
          <cell r="AG201">
            <v>0</v>
          </cell>
          <cell r="AH201">
            <v>0</v>
          </cell>
          <cell r="AI201" t="str">
            <v>1BBAA-</v>
          </cell>
          <cell r="AJ201" t="str">
            <v>SUBTOTAL PRESSURE VESSELS</v>
          </cell>
          <cell r="AK201">
            <v>0</v>
          </cell>
          <cell r="AL201">
            <v>0</v>
          </cell>
          <cell r="AM201">
            <v>0</v>
          </cell>
          <cell r="AN201">
            <v>0</v>
          </cell>
          <cell r="AO201">
            <v>0</v>
          </cell>
          <cell r="AP201">
            <v>0</v>
          </cell>
          <cell r="AQ201">
            <v>0</v>
          </cell>
          <cell r="AR201">
            <v>0</v>
          </cell>
        </row>
        <row r="202">
          <cell r="M202" t="str">
            <v>1BBC-</v>
          </cell>
          <cell r="N202" t="str">
            <v>NGL-4 PLANT  - FAB/DELIVERY - ENGINEERING SPECIALTIES</v>
          </cell>
          <cell r="Q202">
            <v>0</v>
          </cell>
          <cell r="R202">
            <v>0</v>
          </cell>
          <cell r="S202">
            <v>0</v>
          </cell>
          <cell r="T202">
            <v>0</v>
          </cell>
          <cell r="U202">
            <v>0</v>
          </cell>
          <cell r="X202" t="str">
            <v>1BAAI</v>
          </cell>
          <cell r="Y202" t="str">
            <v>NGL-4 PLANT  - DIR. ENG.  PIPELINES</v>
          </cell>
          <cell r="Z202" t="str">
            <v>N/A</v>
          </cell>
          <cell r="AA202" t="str">
            <v>N/A</v>
          </cell>
          <cell r="AB202" t="str">
            <v>N/A</v>
          </cell>
          <cell r="AC202" t="str">
            <v>N/A</v>
          </cell>
          <cell r="AD202" t="str">
            <v>N/A</v>
          </cell>
          <cell r="AE202" t="str">
            <v>N/A</v>
          </cell>
          <cell r="AF202" t="str">
            <v>N/A</v>
          </cell>
          <cell r="AG202">
            <v>0</v>
          </cell>
          <cell r="AH202">
            <v>0</v>
          </cell>
          <cell r="AI202">
            <v>0</v>
          </cell>
          <cell r="AJ202">
            <v>0</v>
          </cell>
          <cell r="AK202">
            <v>0</v>
          </cell>
          <cell r="AL202">
            <v>0</v>
          </cell>
          <cell r="AM202">
            <v>0</v>
          </cell>
          <cell r="AN202">
            <v>0</v>
          </cell>
          <cell r="AO202">
            <v>0</v>
          </cell>
          <cell r="AP202">
            <v>0</v>
          </cell>
          <cell r="AQ202">
            <v>0</v>
          </cell>
          <cell r="AR202">
            <v>0</v>
          </cell>
        </row>
        <row r="203">
          <cell r="M203" t="str">
            <v>1BB--</v>
          </cell>
          <cell r="N203" t="str">
            <v>SUBTOTAL NGL-4 PLANT  - FABRICATION/DELIVERY</v>
          </cell>
          <cell r="Q203">
            <v>0</v>
          </cell>
          <cell r="R203">
            <v>0</v>
          </cell>
          <cell r="S203">
            <v>0</v>
          </cell>
          <cell r="T203">
            <v>0</v>
          </cell>
          <cell r="U203">
            <v>0</v>
          </cell>
          <cell r="X203" t="str">
            <v>1BAA-</v>
          </cell>
          <cell r="Y203" t="str">
            <v>SUBTOTAL - NGL-4 PLANT  - DIRECT ENGINEERING</v>
          </cell>
          <cell r="Z203">
            <v>271</v>
          </cell>
          <cell r="AA203" t="str">
            <v>N/A</v>
          </cell>
          <cell r="AB203">
            <v>8136</v>
          </cell>
          <cell r="AC203">
            <v>0</v>
          </cell>
          <cell r="AD203">
            <v>0</v>
          </cell>
          <cell r="AE203">
            <v>0</v>
          </cell>
          <cell r="AF203">
            <v>0</v>
          </cell>
          <cell r="AG203">
            <v>0</v>
          </cell>
          <cell r="AH203">
            <v>0</v>
          </cell>
          <cell r="AI203" t="str">
            <v>1BBABA</v>
          </cell>
          <cell r="AJ203" t="str">
            <v>DEETHANISER COLUMNS</v>
          </cell>
          <cell r="AK203">
            <v>0</v>
          </cell>
          <cell r="AL203">
            <v>0</v>
          </cell>
          <cell r="AM203">
            <v>0</v>
          </cell>
          <cell r="AN203">
            <v>0</v>
          </cell>
          <cell r="AO203">
            <v>0</v>
          </cell>
          <cell r="AP203">
            <v>0</v>
          </cell>
          <cell r="AQ203">
            <v>0</v>
          </cell>
          <cell r="AR203">
            <v>0</v>
          </cell>
        </row>
        <row r="204">
          <cell r="AI204" t="str">
            <v>1BBABB</v>
          </cell>
          <cell r="AJ204" t="str">
            <v>DEPROPANISER COLUMNS</v>
          </cell>
        </row>
        <row r="205">
          <cell r="M205" t="str">
            <v>1BCA-</v>
          </cell>
          <cell r="N205" t="str">
            <v>NGL-4 PLANT  - CONSTRUCTION - CIVIL</v>
          </cell>
          <cell r="Q205">
            <v>0</v>
          </cell>
          <cell r="R205">
            <v>0</v>
          </cell>
          <cell r="S205">
            <v>0</v>
          </cell>
          <cell r="T205">
            <v>0</v>
          </cell>
          <cell r="U205">
            <v>0</v>
          </cell>
          <cell r="X205" t="str">
            <v>1BAHA</v>
          </cell>
          <cell r="Y205" t="str">
            <v>NGL-4 PLANT  - EQUIP. SPECS - PRESSURE VESSELS</v>
          </cell>
          <cell r="Z205">
            <v>53</v>
          </cell>
          <cell r="AA205" t="str">
            <v>EA</v>
          </cell>
          <cell r="AB205">
            <v>170</v>
          </cell>
          <cell r="AF205">
            <v>0</v>
          </cell>
          <cell r="AG205">
            <v>0</v>
          </cell>
          <cell r="AH205">
            <v>0</v>
          </cell>
          <cell r="AI205" t="str">
            <v>1BBABC</v>
          </cell>
          <cell r="AJ205" t="str">
            <v>DEBUTANISER COLUMNS</v>
          </cell>
          <cell r="AK205">
            <v>0</v>
          </cell>
          <cell r="AL205">
            <v>0</v>
          </cell>
          <cell r="AM205">
            <v>0</v>
          </cell>
          <cell r="AN205">
            <v>0</v>
          </cell>
          <cell r="AO205">
            <v>0</v>
          </cell>
          <cell r="AP205">
            <v>0</v>
          </cell>
          <cell r="AQ205">
            <v>0</v>
          </cell>
          <cell r="AR205">
            <v>0</v>
          </cell>
        </row>
        <row r="206">
          <cell r="M206" t="str">
            <v>1BCB-</v>
          </cell>
          <cell r="N206" t="str">
            <v>NGL-4 PLANT  - CONSTRUCTION - MAJOR EQUIPMENT</v>
          </cell>
          <cell r="Q206">
            <v>376990</v>
          </cell>
          <cell r="R206">
            <v>5042400</v>
          </cell>
          <cell r="S206">
            <v>0</v>
          </cell>
          <cell r="T206">
            <v>0</v>
          </cell>
          <cell r="U206">
            <v>5042400</v>
          </cell>
          <cell r="X206" t="str">
            <v>1BAHB</v>
          </cell>
          <cell r="Y206" t="str">
            <v>NGL-4 PLANT  - EQUIP. SPECS - COLUMNS</v>
          </cell>
          <cell r="Z206">
            <v>18</v>
          </cell>
          <cell r="AA206" t="str">
            <v>EA</v>
          </cell>
          <cell r="AB206">
            <v>150</v>
          </cell>
          <cell r="AF206">
            <v>0</v>
          </cell>
          <cell r="AG206">
            <v>0</v>
          </cell>
          <cell r="AH206">
            <v>0</v>
          </cell>
          <cell r="AI206" t="str">
            <v>1BBABD</v>
          </cell>
          <cell r="AJ206" t="str">
            <v>PROPANE MOLECULAR SEIVE ABSORBER</v>
          </cell>
          <cell r="AK206">
            <v>0</v>
          </cell>
          <cell r="AL206">
            <v>0</v>
          </cell>
          <cell r="AM206">
            <v>0</v>
          </cell>
          <cell r="AN206">
            <v>0</v>
          </cell>
          <cell r="AO206">
            <v>0</v>
          </cell>
          <cell r="AP206">
            <v>0</v>
          </cell>
          <cell r="AQ206">
            <v>0</v>
          </cell>
          <cell r="AR206">
            <v>0</v>
          </cell>
        </row>
        <row r="207">
          <cell r="M207" t="str">
            <v>1BCC-</v>
          </cell>
          <cell r="N207" t="str">
            <v>NGL-4 PLANT  - CONSTRUCTION - BULKS</v>
          </cell>
          <cell r="Q207">
            <v>0</v>
          </cell>
          <cell r="R207">
            <v>0</v>
          </cell>
          <cell r="S207">
            <v>0</v>
          </cell>
          <cell r="T207">
            <v>0</v>
          </cell>
          <cell r="U207">
            <v>0</v>
          </cell>
          <cell r="X207" t="str">
            <v>1BAHC</v>
          </cell>
          <cell r="Y207" t="str">
            <v>NGL-4 PLANT  - EQUIP. SPECS - REACTORS</v>
          </cell>
          <cell r="Z207" t="str">
            <v>N/A</v>
          </cell>
          <cell r="AA207" t="str">
            <v>N/A</v>
          </cell>
          <cell r="AB207" t="str">
            <v>N/A</v>
          </cell>
          <cell r="AC207" t="str">
            <v>N/A</v>
          </cell>
          <cell r="AD207" t="str">
            <v>N/A</v>
          </cell>
          <cell r="AE207" t="str">
            <v>N/A</v>
          </cell>
          <cell r="AF207" t="str">
            <v>N/A</v>
          </cell>
          <cell r="AG207">
            <v>0</v>
          </cell>
          <cell r="AH207">
            <v>0</v>
          </cell>
          <cell r="AI207" t="str">
            <v>1BBABE</v>
          </cell>
          <cell r="AJ207" t="str">
            <v>BUTANE MOLECULAR SE9IVE ABSORBER</v>
          </cell>
          <cell r="AK207">
            <v>0</v>
          </cell>
          <cell r="AL207">
            <v>0</v>
          </cell>
          <cell r="AM207">
            <v>0</v>
          </cell>
          <cell r="AN207">
            <v>0</v>
          </cell>
          <cell r="AO207">
            <v>0</v>
          </cell>
          <cell r="AP207">
            <v>0</v>
          </cell>
          <cell r="AQ207">
            <v>0</v>
          </cell>
          <cell r="AR207">
            <v>0</v>
          </cell>
        </row>
        <row r="208">
          <cell r="M208" t="str">
            <v>1BCD-</v>
          </cell>
          <cell r="N208" t="str">
            <v>NGL-4 PLANT  - CONSTRUCTION - CONSTRUCTION SPECIALTIES</v>
          </cell>
          <cell r="Q208">
            <v>0</v>
          </cell>
          <cell r="R208">
            <v>0</v>
          </cell>
          <cell r="S208">
            <v>0</v>
          </cell>
          <cell r="T208">
            <v>0</v>
          </cell>
          <cell r="U208">
            <v>0</v>
          </cell>
          <cell r="X208" t="str">
            <v>1BAHD</v>
          </cell>
          <cell r="Y208" t="str">
            <v>NGL-4 PLANT  - EQUIP. SPECS - FIELD ERECTED TANKS</v>
          </cell>
          <cell r="Z208" t="str">
            <v>N/A</v>
          </cell>
          <cell r="AA208" t="str">
            <v>N/A</v>
          </cell>
          <cell r="AB208" t="str">
            <v>N/A</v>
          </cell>
          <cell r="AC208" t="str">
            <v>N/A</v>
          </cell>
          <cell r="AD208" t="str">
            <v>N/A</v>
          </cell>
          <cell r="AE208" t="str">
            <v>N/A</v>
          </cell>
          <cell r="AF208" t="str">
            <v>N/A</v>
          </cell>
          <cell r="AG208">
            <v>0</v>
          </cell>
          <cell r="AH208">
            <v>0</v>
          </cell>
          <cell r="AI208" t="str">
            <v>1BBABF</v>
          </cell>
          <cell r="AJ208" t="str">
            <v>REGENERATED GAS ALUMINUM DRYER</v>
          </cell>
          <cell r="AK208">
            <v>0</v>
          </cell>
          <cell r="AL208">
            <v>0</v>
          </cell>
          <cell r="AM208">
            <v>0</v>
          </cell>
          <cell r="AN208">
            <v>0</v>
          </cell>
          <cell r="AO208">
            <v>0</v>
          </cell>
          <cell r="AP208">
            <v>0</v>
          </cell>
          <cell r="AQ208">
            <v>0</v>
          </cell>
          <cell r="AR208">
            <v>0</v>
          </cell>
        </row>
        <row r="209">
          <cell r="M209" t="str">
            <v>1BCE-</v>
          </cell>
          <cell r="N209" t="str">
            <v>NGL-4 PLANT  - CONSTRUCTION - OTHER DIRECT WORK</v>
          </cell>
          <cell r="Q209">
            <v>0</v>
          </cell>
          <cell r="R209">
            <v>0</v>
          </cell>
          <cell r="S209">
            <v>0</v>
          </cell>
          <cell r="T209">
            <v>0</v>
          </cell>
          <cell r="U209">
            <v>0</v>
          </cell>
          <cell r="X209" t="str">
            <v>1BAHE</v>
          </cell>
          <cell r="Y209" t="str">
            <v>NGL-4 PLANT  - EQUIP. SPECS - PUMPS</v>
          </cell>
          <cell r="Z209">
            <v>102</v>
          </cell>
          <cell r="AA209" t="str">
            <v>EA</v>
          </cell>
          <cell r="AB209">
            <v>210</v>
          </cell>
          <cell r="AF209">
            <v>0</v>
          </cell>
          <cell r="AG209">
            <v>0</v>
          </cell>
          <cell r="AH209">
            <v>0</v>
          </cell>
          <cell r="AI209" t="str">
            <v>1BBABX</v>
          </cell>
          <cell r="AJ209" t="str">
            <v>OTHER COLUMNS</v>
          </cell>
          <cell r="AK209">
            <v>0</v>
          </cell>
          <cell r="AL209">
            <v>0</v>
          </cell>
          <cell r="AM209">
            <v>0</v>
          </cell>
          <cell r="AN209">
            <v>0</v>
          </cell>
          <cell r="AO209">
            <v>0</v>
          </cell>
          <cell r="AP209">
            <v>0</v>
          </cell>
          <cell r="AQ209">
            <v>0</v>
          </cell>
          <cell r="AR209">
            <v>0</v>
          </cell>
        </row>
        <row r="210">
          <cell r="M210" t="str">
            <v>1BCF-</v>
          </cell>
          <cell r="N210" t="str">
            <v>NGL-4 PLANT  - CONSTRUCTION - INDIRECTS</v>
          </cell>
          <cell r="Q210">
            <v>0</v>
          </cell>
          <cell r="R210">
            <v>0</v>
          </cell>
          <cell r="S210">
            <v>0</v>
          </cell>
          <cell r="T210">
            <v>0</v>
          </cell>
          <cell r="U210">
            <v>0</v>
          </cell>
          <cell r="X210" t="str">
            <v>1BAHF</v>
          </cell>
          <cell r="Y210" t="str">
            <v>NGL-4 PLANT  - EQUIP. SPECS - HEAT EXCHANGERS - S &amp; T</v>
          </cell>
          <cell r="Z210">
            <v>39</v>
          </cell>
          <cell r="AA210" t="str">
            <v>EA</v>
          </cell>
          <cell r="AB210">
            <v>170</v>
          </cell>
          <cell r="AF210">
            <v>0</v>
          </cell>
          <cell r="AG210">
            <v>0</v>
          </cell>
          <cell r="AH210">
            <v>0</v>
          </cell>
          <cell r="AI210" t="str">
            <v>1BBAB</v>
          </cell>
          <cell r="AJ210" t="str">
            <v>SUBTOTAL COLUMNS</v>
          </cell>
          <cell r="AK210">
            <v>0</v>
          </cell>
          <cell r="AL210">
            <v>0</v>
          </cell>
          <cell r="AM210">
            <v>0</v>
          </cell>
          <cell r="AN210">
            <v>0</v>
          </cell>
          <cell r="AO210">
            <v>0</v>
          </cell>
          <cell r="AP210">
            <v>0</v>
          </cell>
          <cell r="AQ210">
            <v>0</v>
          </cell>
          <cell r="AR210">
            <v>0</v>
          </cell>
        </row>
        <row r="211">
          <cell r="M211" t="str">
            <v>1BC--</v>
          </cell>
          <cell r="N211" t="str">
            <v>SUBTOTAL NGL-4 PLANT  - CONSTRUCTION</v>
          </cell>
          <cell r="Q211">
            <v>376990</v>
          </cell>
          <cell r="R211">
            <v>5042400</v>
          </cell>
          <cell r="S211">
            <v>0</v>
          </cell>
          <cell r="T211">
            <v>0</v>
          </cell>
          <cell r="U211">
            <v>5042400</v>
          </cell>
          <cell r="X211" t="str">
            <v>1BAHG</v>
          </cell>
          <cell r="Y211" t="str">
            <v>NGL-4 PLANT  - EQUIP. SPECS - HEAT EXCHANGERS - FINNED</v>
          </cell>
          <cell r="Z211">
            <v>17</v>
          </cell>
          <cell r="AA211" t="str">
            <v>EA</v>
          </cell>
          <cell r="AB211">
            <v>250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X212" t="str">
            <v>1BAHH</v>
          </cell>
          <cell r="Y212" t="str">
            <v>NGL-4 PLANT  - EQUIP. SPECS - EXTRUDERS</v>
          </cell>
          <cell r="Z212" t="str">
            <v>N/A</v>
          </cell>
          <cell r="AA212" t="str">
            <v>N/A</v>
          </cell>
          <cell r="AB212" t="str">
            <v>N/A</v>
          </cell>
          <cell r="AC212" t="str">
            <v>N/A</v>
          </cell>
          <cell r="AD212" t="str">
            <v>N/A</v>
          </cell>
          <cell r="AE212" t="str">
            <v>N/A</v>
          </cell>
          <cell r="AF212" t="str">
            <v>N/A</v>
          </cell>
          <cell r="AI212" t="str">
            <v>1BBAEA</v>
          </cell>
          <cell r="AJ212" t="str">
            <v>NFGP NGL FEED PUMPS</v>
          </cell>
          <cell r="AQ212">
            <v>0</v>
          </cell>
        </row>
        <row r="213">
          <cell r="M213" t="str">
            <v>1BDA-</v>
          </cell>
          <cell r="N213" t="str">
            <v>NGL-4 PLANT  - COMMISSIONING</v>
          </cell>
          <cell r="Q213">
            <v>0</v>
          </cell>
          <cell r="R213">
            <v>0</v>
          </cell>
          <cell r="S213">
            <v>0</v>
          </cell>
          <cell r="T213">
            <v>0</v>
          </cell>
          <cell r="U213">
            <v>0</v>
          </cell>
          <cell r="X213" t="str">
            <v>1BAHI</v>
          </cell>
          <cell r="Y213" t="str">
            <v>NGL-4 PLANT  - EQUIP. SPECS - COMPRESSORS</v>
          </cell>
          <cell r="Z213">
            <v>10</v>
          </cell>
          <cell r="AA213" t="str">
            <v>EA</v>
          </cell>
          <cell r="AB213">
            <v>250</v>
          </cell>
          <cell r="AF213">
            <v>0</v>
          </cell>
          <cell r="AG213">
            <v>0</v>
          </cell>
          <cell r="AH213">
            <v>0</v>
          </cell>
          <cell r="AI213" t="str">
            <v>1BBAEX</v>
          </cell>
          <cell r="AJ213" t="str">
            <v>OTHER PUMPS</v>
          </cell>
          <cell r="AK213">
            <v>0</v>
          </cell>
          <cell r="AL213">
            <v>0</v>
          </cell>
          <cell r="AM213">
            <v>0</v>
          </cell>
          <cell r="AN213">
            <v>0</v>
          </cell>
          <cell r="AO213">
            <v>0</v>
          </cell>
          <cell r="AP213">
            <v>0</v>
          </cell>
          <cell r="AQ213">
            <v>0</v>
          </cell>
          <cell r="AR213">
            <v>0</v>
          </cell>
        </row>
        <row r="214">
          <cell r="M214" t="str">
            <v>1BDB-</v>
          </cell>
          <cell r="N214" t="str">
            <v>NGL-4 PLANT  -STARTUP</v>
          </cell>
          <cell r="Q214">
            <v>0</v>
          </cell>
          <cell r="R214">
            <v>0</v>
          </cell>
          <cell r="S214">
            <v>0</v>
          </cell>
          <cell r="T214">
            <v>0</v>
          </cell>
          <cell r="U214">
            <v>0</v>
          </cell>
          <cell r="X214" t="str">
            <v>1BAHJ</v>
          </cell>
          <cell r="Y214" t="str">
            <v>NGL-4 PLANT  - EQUIP. SPECS - GENERATORS</v>
          </cell>
          <cell r="Z214" t="str">
            <v>N/A</v>
          </cell>
          <cell r="AA214" t="str">
            <v>N/A</v>
          </cell>
          <cell r="AB214" t="str">
            <v>N/A</v>
          </cell>
          <cell r="AC214" t="str">
            <v>N/A</v>
          </cell>
          <cell r="AD214" t="str">
            <v>N/A</v>
          </cell>
          <cell r="AE214" t="str">
            <v>N/A</v>
          </cell>
          <cell r="AF214" t="str">
            <v>N/A</v>
          </cell>
          <cell r="AG214">
            <v>0</v>
          </cell>
          <cell r="AH214">
            <v>0</v>
          </cell>
          <cell r="AI214" t="str">
            <v>1BBAE-</v>
          </cell>
          <cell r="AJ214" t="str">
            <v>SUBTOTAL PUMPS</v>
          </cell>
          <cell r="AK214">
            <v>0</v>
          </cell>
          <cell r="AL214">
            <v>0</v>
          </cell>
          <cell r="AM214">
            <v>0</v>
          </cell>
          <cell r="AN214">
            <v>0</v>
          </cell>
          <cell r="AO214">
            <v>0</v>
          </cell>
          <cell r="AP214">
            <v>0</v>
          </cell>
          <cell r="AQ214">
            <v>0</v>
          </cell>
          <cell r="AR214">
            <v>0</v>
          </cell>
        </row>
        <row r="215">
          <cell r="M215" t="str">
            <v>1BDC-</v>
          </cell>
          <cell r="N215" t="str">
            <v>NGL-4 PLANT  -TRAINING</v>
          </cell>
          <cell r="Q215">
            <v>0</v>
          </cell>
          <cell r="R215">
            <v>0</v>
          </cell>
          <cell r="S215">
            <v>0</v>
          </cell>
          <cell r="T215">
            <v>0</v>
          </cell>
          <cell r="U215">
            <v>0</v>
          </cell>
          <cell r="X215" t="str">
            <v>1BAHK</v>
          </cell>
          <cell r="Y215" t="str">
            <v>NGL-4 PLANT  - EQUIP. SPECS - MOTORS &amp; DRIVERS</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M216" t="str">
            <v>1BD--</v>
          </cell>
          <cell r="N216" t="str">
            <v>SUBTOTAL NGL-4 PLANT  - COMMISSIONING, STARTUP &amp; TRAINING</v>
          </cell>
          <cell r="Q216">
            <v>0</v>
          </cell>
          <cell r="R216">
            <v>0</v>
          </cell>
          <cell r="S216">
            <v>0</v>
          </cell>
          <cell r="T216">
            <v>0</v>
          </cell>
          <cell r="U216">
            <v>0</v>
          </cell>
          <cell r="X216" t="str">
            <v>1BAHL</v>
          </cell>
          <cell r="Y216" t="str">
            <v>NGL-4 PLANT  - EQUIP. SPECS - FIRED EQUIPMENT</v>
          </cell>
          <cell r="Z216" t="str">
            <v>N/A</v>
          </cell>
          <cell r="AA216" t="str">
            <v>N/A</v>
          </cell>
          <cell r="AB216" t="str">
            <v>N/A</v>
          </cell>
          <cell r="AC216" t="str">
            <v>N/A</v>
          </cell>
          <cell r="AD216" t="str">
            <v>N/A</v>
          </cell>
          <cell r="AE216" t="str">
            <v>N/A</v>
          </cell>
          <cell r="AF216" t="str">
            <v>N/A</v>
          </cell>
          <cell r="AG216">
            <v>0</v>
          </cell>
          <cell r="AH216">
            <v>0</v>
          </cell>
          <cell r="AI216" t="str">
            <v>1BBAFA</v>
          </cell>
          <cell r="AJ216" t="str">
            <v>DEETAHNISER COLUMNS CONDENSERS</v>
          </cell>
          <cell r="AK216">
            <v>0</v>
          </cell>
          <cell r="AL216">
            <v>0</v>
          </cell>
          <cell r="AM216">
            <v>0</v>
          </cell>
          <cell r="AN216">
            <v>0</v>
          </cell>
          <cell r="AO216">
            <v>0</v>
          </cell>
          <cell r="AP216">
            <v>0</v>
          </cell>
          <cell r="AQ216">
            <v>0</v>
          </cell>
          <cell r="AR216">
            <v>0</v>
          </cell>
        </row>
        <row r="217">
          <cell r="X217" t="str">
            <v>1BAHM</v>
          </cell>
          <cell r="Y217" t="str">
            <v>NGL-4 PLANT  - EQUIP. SPECS - BLOWERS, FANS</v>
          </cell>
          <cell r="AF217">
            <v>0</v>
          </cell>
          <cell r="AG217">
            <v>0</v>
          </cell>
          <cell r="AH217">
            <v>0</v>
          </cell>
          <cell r="AI217" t="str">
            <v>1BBAFB</v>
          </cell>
          <cell r="AJ217" t="str">
            <v>DEETAHNISER COLUMNS REBOILERS</v>
          </cell>
          <cell r="AK217">
            <v>0</v>
          </cell>
          <cell r="AL217">
            <v>0</v>
          </cell>
          <cell r="AM217">
            <v>0</v>
          </cell>
          <cell r="AN217">
            <v>0</v>
          </cell>
          <cell r="AO217">
            <v>0</v>
          </cell>
          <cell r="AP217">
            <v>0</v>
          </cell>
          <cell r="AQ217">
            <v>0</v>
          </cell>
          <cell r="AR217">
            <v>0</v>
          </cell>
        </row>
        <row r="218">
          <cell r="X218" t="str">
            <v>1BAHN</v>
          </cell>
          <cell r="Y218" t="str">
            <v>NGL-4 PLANT  - EQUIP. SPECS - FILTERS</v>
          </cell>
          <cell r="Z218" t="str">
            <v>N/A</v>
          </cell>
          <cell r="AA218" t="str">
            <v>N/A</v>
          </cell>
          <cell r="AB218" t="str">
            <v>N/A</v>
          </cell>
          <cell r="AC218" t="str">
            <v>N/A</v>
          </cell>
          <cell r="AD218" t="str">
            <v>N/A</v>
          </cell>
          <cell r="AE218" t="str">
            <v>N/A</v>
          </cell>
          <cell r="AF218" t="str">
            <v>N/A</v>
          </cell>
          <cell r="AI218" t="str">
            <v>1BBAFC</v>
          </cell>
          <cell r="AJ218" t="str">
            <v>DEPROPANISER COLUMNS CONDENSER</v>
          </cell>
          <cell r="AQ218">
            <v>0</v>
          </cell>
        </row>
        <row r="219">
          <cell r="X219" t="str">
            <v>1BAHO</v>
          </cell>
          <cell r="Y219" t="str">
            <v>NGL-4 PLANT  - EQUIP. SPECS - FLARES</v>
          </cell>
          <cell r="Z219">
            <v>1</v>
          </cell>
          <cell r="AA219" t="str">
            <v>EA</v>
          </cell>
          <cell r="AB219">
            <v>200</v>
          </cell>
          <cell r="AF219">
            <v>0</v>
          </cell>
          <cell r="AG219">
            <v>0</v>
          </cell>
          <cell r="AH219">
            <v>0</v>
          </cell>
          <cell r="AI219" t="str">
            <v>1BBAFD</v>
          </cell>
          <cell r="AJ219" t="str">
            <v>DEPROPANISER COLUMNS REBOILERS</v>
          </cell>
          <cell r="AK219">
            <v>0</v>
          </cell>
          <cell r="AL219">
            <v>0</v>
          </cell>
          <cell r="AM219">
            <v>0</v>
          </cell>
          <cell r="AN219">
            <v>0</v>
          </cell>
          <cell r="AO219">
            <v>0</v>
          </cell>
          <cell r="AP219">
            <v>0</v>
          </cell>
          <cell r="AQ219">
            <v>0</v>
          </cell>
          <cell r="AR219">
            <v>0</v>
          </cell>
        </row>
        <row r="220">
          <cell r="X220" t="str">
            <v>1BAHP</v>
          </cell>
          <cell r="Y220" t="str">
            <v>NGL-4 PLANT  - EQUIP. SPECS - SOLIDS HANDLING EQUIPMENT</v>
          </cell>
          <cell r="Z220" t="str">
            <v>N/A</v>
          </cell>
          <cell r="AA220" t="str">
            <v>N/A</v>
          </cell>
          <cell r="AB220" t="str">
            <v>N/A</v>
          </cell>
          <cell r="AC220" t="str">
            <v>N/A</v>
          </cell>
          <cell r="AD220" t="str">
            <v>N/A</v>
          </cell>
          <cell r="AE220" t="str">
            <v>N/A</v>
          </cell>
          <cell r="AF220" t="str">
            <v>N/A</v>
          </cell>
          <cell r="AI220" t="str">
            <v>1BBAFE</v>
          </cell>
          <cell r="AJ220" t="str">
            <v>DEBUTANISER COLUMNS CONDENSERS</v>
          </cell>
          <cell r="AQ220">
            <v>0</v>
          </cell>
        </row>
        <row r="221">
          <cell r="X221" t="str">
            <v>1BAHQ</v>
          </cell>
          <cell r="Y221" t="str">
            <v>NGL-4 PLANT  - EQUIP. SPECS - PACKAGED EQUIPMENT</v>
          </cell>
          <cell r="Z221">
            <v>4</v>
          </cell>
          <cell r="AA221" t="str">
            <v>EA</v>
          </cell>
          <cell r="AB221">
            <v>300</v>
          </cell>
          <cell r="AF221">
            <v>0</v>
          </cell>
          <cell r="AG221">
            <v>0</v>
          </cell>
          <cell r="AH221">
            <v>0</v>
          </cell>
          <cell r="AI221" t="str">
            <v>1BBAFF</v>
          </cell>
          <cell r="AJ221" t="str">
            <v>DEBUTANISER COLUMNS REBOILERS</v>
          </cell>
          <cell r="AK221">
            <v>0</v>
          </cell>
          <cell r="AL221">
            <v>0</v>
          </cell>
          <cell r="AM221">
            <v>0</v>
          </cell>
          <cell r="AN221">
            <v>0</v>
          </cell>
          <cell r="AO221">
            <v>0</v>
          </cell>
          <cell r="AP221">
            <v>0</v>
          </cell>
          <cell r="AQ221">
            <v>0</v>
          </cell>
          <cell r="AR221">
            <v>0</v>
          </cell>
        </row>
        <row r="222">
          <cell r="X222" t="str">
            <v>1BAHX</v>
          </cell>
          <cell r="Y222" t="str">
            <v>NGL-4 PLANT  - EQUIP. SPECS - OTHERS</v>
          </cell>
          <cell r="Z222">
            <v>27</v>
          </cell>
          <cell r="AA222" t="str">
            <v>EA</v>
          </cell>
          <cell r="AB222">
            <v>170</v>
          </cell>
          <cell r="AF222">
            <v>0</v>
          </cell>
          <cell r="AG222">
            <v>0</v>
          </cell>
          <cell r="AH222">
            <v>0</v>
          </cell>
          <cell r="AI222" t="str">
            <v>1BBAFG</v>
          </cell>
          <cell r="AJ222" t="str">
            <v>COMPRESSOR DISCHARGE CONDENSER</v>
          </cell>
          <cell r="AK222">
            <v>0</v>
          </cell>
          <cell r="AL222">
            <v>0</v>
          </cell>
          <cell r="AM222">
            <v>0</v>
          </cell>
          <cell r="AN222">
            <v>0</v>
          </cell>
          <cell r="AO222">
            <v>0</v>
          </cell>
          <cell r="AP222">
            <v>0</v>
          </cell>
          <cell r="AQ222">
            <v>0</v>
          </cell>
          <cell r="AR222">
            <v>0</v>
          </cell>
        </row>
        <row r="223">
          <cell r="X223" t="str">
            <v>1BAH-</v>
          </cell>
          <cell r="Y223" t="str">
            <v xml:space="preserve">SUBTOTAL - NGL-4 PLANT  - EQUIP. SPECS </v>
          </cell>
          <cell r="Z223">
            <v>271</v>
          </cell>
          <cell r="AA223" t="str">
            <v>N/A</v>
          </cell>
          <cell r="AB223">
            <v>1870</v>
          </cell>
          <cell r="AC223">
            <v>0</v>
          </cell>
          <cell r="AD223">
            <v>0</v>
          </cell>
          <cell r="AE223">
            <v>0</v>
          </cell>
          <cell r="AF223">
            <v>0</v>
          </cell>
          <cell r="AI223" t="str">
            <v>1BBAFX</v>
          </cell>
          <cell r="AJ223" t="str">
            <v>OTHER HEAT EXCHANGERS-SHELL &amp; TUBE</v>
          </cell>
          <cell r="AQ223">
            <v>0</v>
          </cell>
        </row>
        <row r="224">
          <cell r="AI224" t="str">
            <v>1BBAF-</v>
          </cell>
          <cell r="AJ224" t="str">
            <v>SUBTOTAL HEAT EXCHANGERS - SHELL &amp; TUBE</v>
          </cell>
          <cell r="AK224">
            <v>0</v>
          </cell>
          <cell r="AL224">
            <v>0</v>
          </cell>
          <cell r="AM224">
            <v>0</v>
          </cell>
          <cell r="AN224">
            <v>0</v>
          </cell>
          <cell r="AO224">
            <v>0</v>
          </cell>
          <cell r="AP224">
            <v>0</v>
          </cell>
          <cell r="AQ224">
            <v>0</v>
          </cell>
        </row>
        <row r="230">
          <cell r="W230" t="str">
            <v>LEVEL 2 NGL-4 PLANT PG.2</v>
          </cell>
          <cell r="X230" t="str">
            <v>WBS CODE</v>
          </cell>
          <cell r="Y230" t="str">
            <v>DESCRIPTION</v>
          </cell>
          <cell r="Z230" t="str">
            <v>QUANTITY</v>
          </cell>
          <cell r="AA230" t="str">
            <v>UNITS</v>
          </cell>
          <cell r="AB230" t="str">
            <v>TOTAL MANHOURS</v>
          </cell>
          <cell r="AC230" t="str">
            <v>TOTAL LABOR COST</v>
          </cell>
          <cell r="AD230" t="str">
            <v>TOTAL MAT'L COST</v>
          </cell>
          <cell r="AE230" t="str">
            <v>TOTAL S/C COST</v>
          </cell>
          <cell r="AF230" t="str">
            <v>TOTAL COST</v>
          </cell>
          <cell r="AH230" t="str">
            <v>LEVEL 3 NGL-4 PLANT PG 2</v>
          </cell>
          <cell r="AI230" t="str">
            <v>WBS CODE</v>
          </cell>
          <cell r="AJ230" t="str">
            <v>DESCRIPTION</v>
          </cell>
          <cell r="AK230" t="str">
            <v>QUANTITY</v>
          </cell>
          <cell r="AL230" t="str">
            <v>UNITS</v>
          </cell>
          <cell r="AM230" t="str">
            <v>TOTAL MANHOURS</v>
          </cell>
          <cell r="AN230" t="str">
            <v>TOTAL LABOR COST</v>
          </cell>
          <cell r="AO230" t="str">
            <v>TOTAL MAT'L COST</v>
          </cell>
          <cell r="AP230" t="str">
            <v>TOTAL S/C COST</v>
          </cell>
          <cell r="AQ230" t="str">
            <v>TOTAL COST</v>
          </cell>
        </row>
        <row r="232">
          <cell r="X232" t="str">
            <v>1BAIA</v>
          </cell>
          <cell r="Y232" t="str">
            <v>NGL-4 PLANT  - PROCUREMENT PRESSURE VESSELS</v>
          </cell>
          <cell r="AF232">
            <v>0</v>
          </cell>
          <cell r="AG232">
            <v>0</v>
          </cell>
          <cell r="AH232">
            <v>0</v>
          </cell>
          <cell r="AI232" t="str">
            <v>1BBAGA</v>
          </cell>
          <cell r="AJ232" t="str">
            <v>AIR COOLERS</v>
          </cell>
          <cell r="AK232">
            <v>0</v>
          </cell>
          <cell r="AL232">
            <v>0</v>
          </cell>
          <cell r="AM232">
            <v>0</v>
          </cell>
          <cell r="AN232">
            <v>0</v>
          </cell>
          <cell r="AO232">
            <v>0</v>
          </cell>
          <cell r="AP232">
            <v>0</v>
          </cell>
          <cell r="AQ232">
            <v>0</v>
          </cell>
          <cell r="AR232">
            <v>0</v>
          </cell>
        </row>
        <row r="233">
          <cell r="X233" t="str">
            <v>1BAIB</v>
          </cell>
          <cell r="Y233" t="str">
            <v>NGL-4 PLANT  - PROCUREMENT   COLUMNS</v>
          </cell>
          <cell r="AF233">
            <v>0</v>
          </cell>
          <cell r="AG233">
            <v>0</v>
          </cell>
          <cell r="AH233">
            <v>0</v>
          </cell>
          <cell r="AI233" t="str">
            <v>1BBAGX</v>
          </cell>
          <cell r="AJ233" t="str">
            <v>OTHER HEAT EXCHANGERS-FINNED</v>
          </cell>
          <cell r="AK233">
            <v>0</v>
          </cell>
          <cell r="AL233">
            <v>0</v>
          </cell>
          <cell r="AM233">
            <v>0</v>
          </cell>
          <cell r="AN233">
            <v>0</v>
          </cell>
          <cell r="AO233">
            <v>0</v>
          </cell>
          <cell r="AP233">
            <v>0</v>
          </cell>
          <cell r="AQ233">
            <v>0</v>
          </cell>
          <cell r="AR233">
            <v>0</v>
          </cell>
        </row>
        <row r="234">
          <cell r="X234" t="str">
            <v>1BAIC</v>
          </cell>
          <cell r="Y234" t="str">
            <v>NGL-4 PLANT  - PROCUREMENT   REACTORS</v>
          </cell>
          <cell r="Z234" t="str">
            <v>N/A</v>
          </cell>
          <cell r="AA234" t="str">
            <v>N/A</v>
          </cell>
          <cell r="AB234" t="str">
            <v>N/A</v>
          </cell>
          <cell r="AC234" t="str">
            <v>N/A</v>
          </cell>
          <cell r="AD234" t="str">
            <v>N/A</v>
          </cell>
          <cell r="AE234" t="str">
            <v>N/A</v>
          </cell>
          <cell r="AF234" t="str">
            <v>N/A</v>
          </cell>
          <cell r="AI234" t="str">
            <v>1BBAG-</v>
          </cell>
          <cell r="AJ234" t="str">
            <v>SUBTOTAL HEAT EXCHANGERS - FINNED</v>
          </cell>
          <cell r="AK234">
            <v>0</v>
          </cell>
          <cell r="AL234">
            <v>0</v>
          </cell>
          <cell r="AM234">
            <v>0</v>
          </cell>
          <cell r="AN234">
            <v>0</v>
          </cell>
          <cell r="AO234">
            <v>0</v>
          </cell>
          <cell r="AP234">
            <v>0</v>
          </cell>
          <cell r="AQ234">
            <v>0</v>
          </cell>
        </row>
        <row r="235">
          <cell r="X235" t="str">
            <v>1BAID</v>
          </cell>
          <cell r="Y235" t="str">
            <v>NGL-4 PLANT  - PROCUREMENT   FIELD ERECTED TANKS</v>
          </cell>
          <cell r="Z235" t="str">
            <v>N/A</v>
          </cell>
          <cell r="AA235" t="str">
            <v>N/A</v>
          </cell>
          <cell r="AB235" t="str">
            <v>N/A</v>
          </cell>
          <cell r="AC235" t="str">
            <v>N/A</v>
          </cell>
          <cell r="AD235" t="str">
            <v>N/A</v>
          </cell>
          <cell r="AE235" t="str">
            <v>N/A</v>
          </cell>
          <cell r="AF235" t="str">
            <v>N/A</v>
          </cell>
        </row>
        <row r="236">
          <cell r="X236" t="str">
            <v>1BAIE</v>
          </cell>
          <cell r="Y236" t="str">
            <v>NGL-4 PLANT  - PROCUREMENT   PUMPS</v>
          </cell>
          <cell r="AF236">
            <v>0</v>
          </cell>
          <cell r="AG236">
            <v>0</v>
          </cell>
          <cell r="AH236">
            <v>0</v>
          </cell>
          <cell r="AI236" t="str">
            <v>1BBAIA</v>
          </cell>
          <cell r="AJ236" t="str">
            <v>PROPANE REFRIG. COMPRESSORS W/ TURBINES</v>
          </cell>
          <cell r="AK236">
            <v>0</v>
          </cell>
          <cell r="AL236">
            <v>0</v>
          </cell>
          <cell r="AM236">
            <v>0</v>
          </cell>
          <cell r="AN236">
            <v>0</v>
          </cell>
          <cell r="AO236">
            <v>0</v>
          </cell>
          <cell r="AP236">
            <v>0</v>
          </cell>
          <cell r="AQ236">
            <v>0</v>
          </cell>
          <cell r="AR236">
            <v>0</v>
          </cell>
        </row>
        <row r="237">
          <cell r="X237" t="str">
            <v>1BAIF</v>
          </cell>
          <cell r="Y237" t="str">
            <v>NGL-4 PLANT  - PROCUREMENT   HEAT EXCHANGERS - S &amp; T</v>
          </cell>
          <cell r="AF237">
            <v>0</v>
          </cell>
          <cell r="AG237">
            <v>0</v>
          </cell>
          <cell r="AH237">
            <v>0</v>
          </cell>
          <cell r="AI237" t="str">
            <v>1BBAIX</v>
          </cell>
          <cell r="AJ237" t="str">
            <v>OTHER COMPRESSORS</v>
          </cell>
          <cell r="AK237">
            <v>0</v>
          </cell>
          <cell r="AL237">
            <v>0</v>
          </cell>
          <cell r="AM237">
            <v>0</v>
          </cell>
          <cell r="AN237">
            <v>0</v>
          </cell>
          <cell r="AO237">
            <v>0</v>
          </cell>
          <cell r="AP237">
            <v>0</v>
          </cell>
          <cell r="AQ237">
            <v>0</v>
          </cell>
          <cell r="AR237">
            <v>0</v>
          </cell>
        </row>
        <row r="238">
          <cell r="X238" t="str">
            <v>1BAIG</v>
          </cell>
          <cell r="Y238" t="str">
            <v>NGL-4 PLANT  - PROCUREMENT   HEAT EXCHANGERS - FINNED</v>
          </cell>
          <cell r="AF238">
            <v>0</v>
          </cell>
          <cell r="AG238">
            <v>0</v>
          </cell>
          <cell r="AH238">
            <v>0</v>
          </cell>
          <cell r="AI238" t="str">
            <v>1BBAI</v>
          </cell>
          <cell r="AJ238" t="str">
            <v>SUBTOTAL - COMPRESSORS</v>
          </cell>
          <cell r="AK238">
            <v>0</v>
          </cell>
          <cell r="AL238">
            <v>0</v>
          </cell>
          <cell r="AM238">
            <v>0</v>
          </cell>
          <cell r="AN238">
            <v>0</v>
          </cell>
          <cell r="AO238">
            <v>0</v>
          </cell>
          <cell r="AP238">
            <v>0</v>
          </cell>
          <cell r="AQ238">
            <v>0</v>
          </cell>
          <cell r="AR238">
            <v>0</v>
          </cell>
        </row>
        <row r="239">
          <cell r="X239" t="str">
            <v>1BAIH</v>
          </cell>
          <cell r="Y239" t="str">
            <v>NGL-4 PLANT  - PROCUREMENT   EXTRUDERS</v>
          </cell>
          <cell r="Z239" t="str">
            <v>N/A</v>
          </cell>
          <cell r="AA239" t="str">
            <v>N/A</v>
          </cell>
          <cell r="AB239" t="str">
            <v>N/A</v>
          </cell>
          <cell r="AC239" t="str">
            <v>N/A</v>
          </cell>
          <cell r="AD239" t="str">
            <v>N/A</v>
          </cell>
          <cell r="AE239" t="str">
            <v>N/A</v>
          </cell>
          <cell r="AF239" t="str">
            <v>N/A</v>
          </cell>
        </row>
        <row r="240">
          <cell r="X240" t="str">
            <v>1BAII</v>
          </cell>
          <cell r="Y240" t="str">
            <v>NGL-4 PLANT  - PROCUREMENT   COMPRESSORS</v>
          </cell>
          <cell r="AF240">
            <v>0</v>
          </cell>
          <cell r="AG240">
            <v>0</v>
          </cell>
          <cell r="AH240">
            <v>0</v>
          </cell>
          <cell r="AI240" t="str">
            <v>1BBAJX</v>
          </cell>
          <cell r="AJ240" t="str">
            <v>OTHER MOTORS &amp; DRIVERS</v>
          </cell>
          <cell r="AK240">
            <v>0</v>
          </cell>
          <cell r="AL240">
            <v>0</v>
          </cell>
          <cell r="AM240">
            <v>0</v>
          </cell>
          <cell r="AN240">
            <v>0</v>
          </cell>
          <cell r="AO240">
            <v>0</v>
          </cell>
          <cell r="AP240">
            <v>0</v>
          </cell>
          <cell r="AQ240">
            <v>0</v>
          </cell>
          <cell r="AR240">
            <v>0</v>
          </cell>
        </row>
        <row r="241">
          <cell r="X241" t="str">
            <v>1BAIJ</v>
          </cell>
          <cell r="Y241" t="str">
            <v>NGL-4 PLANT  - PROCUREMENT   GENERATORS</v>
          </cell>
          <cell r="Z241" t="str">
            <v>N/A</v>
          </cell>
          <cell r="AA241" t="str">
            <v>N/A</v>
          </cell>
          <cell r="AB241" t="str">
            <v>N/A</v>
          </cell>
          <cell r="AC241" t="str">
            <v>N/A</v>
          </cell>
          <cell r="AD241" t="str">
            <v>N/A</v>
          </cell>
          <cell r="AE241" t="str">
            <v>N/A</v>
          </cell>
          <cell r="AF241" t="str">
            <v>N/A</v>
          </cell>
          <cell r="AI241" t="str">
            <v>1BBAJ-</v>
          </cell>
          <cell r="AJ241" t="str">
            <v>SUBTOTAL MOTORS &amp; DRIVERS</v>
          </cell>
          <cell r="AK241">
            <v>0</v>
          </cell>
          <cell r="AL241">
            <v>0</v>
          </cell>
          <cell r="AM241">
            <v>0</v>
          </cell>
          <cell r="AN241">
            <v>0</v>
          </cell>
          <cell r="AO241">
            <v>0</v>
          </cell>
          <cell r="AP241">
            <v>0</v>
          </cell>
          <cell r="AQ241">
            <v>0</v>
          </cell>
        </row>
        <row r="242">
          <cell r="X242" t="str">
            <v>1BAIK</v>
          </cell>
          <cell r="Y242" t="str">
            <v>NGL-4 PLANT  - PROCUREMENT   MOTORS &amp; DRIVERS</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X243" t="str">
            <v>1BAIL</v>
          </cell>
          <cell r="Y243" t="str">
            <v>NGL-4 PLANT  - PROCUREMENT   FIRED EQUIPMENT</v>
          </cell>
          <cell r="Z243" t="str">
            <v>N/A</v>
          </cell>
          <cell r="AA243" t="str">
            <v>N/A</v>
          </cell>
          <cell r="AB243" t="str">
            <v>N/A</v>
          </cell>
          <cell r="AC243" t="str">
            <v>N/A</v>
          </cell>
          <cell r="AD243" t="str">
            <v>N/A</v>
          </cell>
          <cell r="AE243" t="str">
            <v>N/A</v>
          </cell>
          <cell r="AF243" t="str">
            <v>N/A</v>
          </cell>
          <cell r="AI243" t="str">
            <v>1BBAMA</v>
          </cell>
          <cell r="AJ243" t="str">
            <v>AIR BLOWER</v>
          </cell>
          <cell r="AQ243">
            <v>0</v>
          </cell>
        </row>
        <row r="244">
          <cell r="X244" t="str">
            <v>1BAIM</v>
          </cell>
          <cell r="Y244" t="str">
            <v>NGL-4 PLANT  - PROCUREMENT   BLOWERS &amp; FANS</v>
          </cell>
          <cell r="AF244">
            <v>0</v>
          </cell>
          <cell r="AG244">
            <v>0</v>
          </cell>
          <cell r="AH244">
            <v>0</v>
          </cell>
          <cell r="AI244" t="str">
            <v>1BBAMX</v>
          </cell>
          <cell r="AJ244" t="str">
            <v>OTHER BLOWERS &amp; FANS</v>
          </cell>
          <cell r="AK244">
            <v>0</v>
          </cell>
          <cell r="AL244">
            <v>0</v>
          </cell>
          <cell r="AM244">
            <v>0</v>
          </cell>
          <cell r="AN244">
            <v>0</v>
          </cell>
          <cell r="AO244">
            <v>0</v>
          </cell>
          <cell r="AP244">
            <v>0</v>
          </cell>
          <cell r="AQ244">
            <v>0</v>
          </cell>
          <cell r="AR244">
            <v>0</v>
          </cell>
        </row>
        <row r="245">
          <cell r="X245" t="str">
            <v>1BAIN</v>
          </cell>
          <cell r="Y245" t="str">
            <v>NGL-4 PLANT  - PROCUREMENT   FILTERS</v>
          </cell>
          <cell r="Z245" t="str">
            <v>N/A</v>
          </cell>
          <cell r="AA245" t="str">
            <v>N/A</v>
          </cell>
          <cell r="AB245" t="str">
            <v>N/A</v>
          </cell>
          <cell r="AC245" t="str">
            <v>N/A</v>
          </cell>
          <cell r="AD245" t="str">
            <v>N/A</v>
          </cell>
          <cell r="AE245" t="str">
            <v>N/A</v>
          </cell>
          <cell r="AF245" t="str">
            <v>N/A</v>
          </cell>
          <cell r="AI245" t="str">
            <v>1BBAM-</v>
          </cell>
          <cell r="AJ245" t="str">
            <v>SUBTOTAL BLOWERS &amp; FANS</v>
          </cell>
          <cell r="AK245">
            <v>0</v>
          </cell>
          <cell r="AL245">
            <v>0</v>
          </cell>
          <cell r="AM245">
            <v>0</v>
          </cell>
          <cell r="AN245">
            <v>0</v>
          </cell>
          <cell r="AO245">
            <v>0</v>
          </cell>
          <cell r="AP245">
            <v>0</v>
          </cell>
          <cell r="AQ245">
            <v>0</v>
          </cell>
        </row>
        <row r="246">
          <cell r="X246" t="str">
            <v>1BAIO</v>
          </cell>
          <cell r="Y246" t="str">
            <v>NGL-4 PLANT  - PROCUREMENT   FLARES</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X247" t="str">
            <v>1BAIP</v>
          </cell>
          <cell r="Y247" t="str">
            <v>NGL-4 PLANT  - PROCUREMENT   SOLIDS HANDLING EQUIPMENT</v>
          </cell>
          <cell r="Z247" t="str">
            <v>N/A</v>
          </cell>
          <cell r="AA247" t="str">
            <v>N/A</v>
          </cell>
          <cell r="AB247" t="str">
            <v>N/A</v>
          </cell>
          <cell r="AC247" t="str">
            <v>N/A</v>
          </cell>
          <cell r="AD247" t="str">
            <v>N/A</v>
          </cell>
          <cell r="AE247" t="str">
            <v>N/A</v>
          </cell>
          <cell r="AF247" t="str">
            <v>N/A</v>
          </cell>
          <cell r="AI247" t="str">
            <v>1BBAOA</v>
          </cell>
          <cell r="AJ247" t="str">
            <v>LP FLARE SYSTEM</v>
          </cell>
          <cell r="AQ247">
            <v>0</v>
          </cell>
        </row>
        <row r="248">
          <cell r="X248" t="str">
            <v>1BAIQ</v>
          </cell>
          <cell r="Y248" t="str">
            <v>NGL-4 PLANT  - PROCUREMENT   PACKAGED EQUIPMENT</v>
          </cell>
          <cell r="AF248">
            <v>0</v>
          </cell>
          <cell r="AG248">
            <v>0</v>
          </cell>
          <cell r="AH248">
            <v>0</v>
          </cell>
          <cell r="AI248" t="str">
            <v>1BBAOB</v>
          </cell>
          <cell r="AJ248" t="str">
            <v>HP FLARE SYSTEM</v>
          </cell>
          <cell r="AK248">
            <v>0</v>
          </cell>
          <cell r="AL248">
            <v>0</v>
          </cell>
          <cell r="AM248">
            <v>0</v>
          </cell>
          <cell r="AN248">
            <v>0</v>
          </cell>
          <cell r="AO248">
            <v>0</v>
          </cell>
          <cell r="AP248">
            <v>0</v>
          </cell>
          <cell r="AQ248">
            <v>0</v>
          </cell>
          <cell r="AR248">
            <v>0</v>
          </cell>
        </row>
        <row r="249">
          <cell r="X249" t="str">
            <v>1BAIT</v>
          </cell>
          <cell r="Y249" t="str">
            <v>NGL-4 PLANT  - PROCUREMENT   BULKS</v>
          </cell>
          <cell r="AF249">
            <v>0</v>
          </cell>
          <cell r="AG249">
            <v>0</v>
          </cell>
          <cell r="AH249">
            <v>0</v>
          </cell>
          <cell r="AI249" t="str">
            <v>1BBAOX</v>
          </cell>
          <cell r="AJ249" t="str">
            <v>OTHER FLARES</v>
          </cell>
          <cell r="AK249">
            <v>0</v>
          </cell>
          <cell r="AL249">
            <v>0</v>
          </cell>
          <cell r="AM249">
            <v>0</v>
          </cell>
          <cell r="AN249">
            <v>0</v>
          </cell>
          <cell r="AO249">
            <v>0</v>
          </cell>
          <cell r="AP249">
            <v>0</v>
          </cell>
          <cell r="AQ249">
            <v>0</v>
          </cell>
          <cell r="AR249">
            <v>0</v>
          </cell>
        </row>
        <row r="250">
          <cell r="X250" t="str">
            <v>1BAIX</v>
          </cell>
          <cell r="Y250" t="str">
            <v>NGL-4 PLANT  - PROCUREMENT   OTHER</v>
          </cell>
          <cell r="AF250">
            <v>0</v>
          </cell>
          <cell r="AG250">
            <v>0</v>
          </cell>
          <cell r="AH250">
            <v>0</v>
          </cell>
          <cell r="AI250" t="str">
            <v>1BBAO-</v>
          </cell>
          <cell r="AJ250" t="str">
            <v>SUBTOTAL FLARES</v>
          </cell>
          <cell r="AK250">
            <v>0</v>
          </cell>
          <cell r="AL250">
            <v>0</v>
          </cell>
          <cell r="AM250">
            <v>0</v>
          </cell>
          <cell r="AN250">
            <v>0</v>
          </cell>
          <cell r="AO250">
            <v>0</v>
          </cell>
          <cell r="AP250">
            <v>0</v>
          </cell>
          <cell r="AQ250">
            <v>0</v>
          </cell>
          <cell r="AR250">
            <v>0</v>
          </cell>
        </row>
        <row r="251">
          <cell r="X251" t="str">
            <v>1BAI-</v>
          </cell>
          <cell r="Y251" t="str">
            <v>SUBTOTAL - NGL-4 PLANT  - PROCUREMENT</v>
          </cell>
          <cell r="Z251">
            <v>0</v>
          </cell>
          <cell r="AA251" t="str">
            <v>N/A</v>
          </cell>
          <cell r="AB251">
            <v>0</v>
          </cell>
          <cell r="AC251">
            <v>0</v>
          </cell>
          <cell r="AD251">
            <v>0</v>
          </cell>
          <cell r="AE251">
            <v>0</v>
          </cell>
          <cell r="AF251">
            <v>0</v>
          </cell>
        </row>
        <row r="252">
          <cell r="AI252" t="str">
            <v>1BBAXA</v>
          </cell>
          <cell r="AJ252" t="str">
            <v>ADIP UNIT</v>
          </cell>
          <cell r="AQ252">
            <v>0</v>
          </cell>
        </row>
        <row r="253">
          <cell r="X253" t="str">
            <v>1BAJA</v>
          </cell>
          <cell r="Y253" t="str">
            <v>NGL-4 PLANT  - INDIRECT ENG'G CONTRACTS</v>
          </cell>
          <cell r="AF253">
            <v>0</v>
          </cell>
          <cell r="AG253">
            <v>0</v>
          </cell>
          <cell r="AH253">
            <v>0</v>
          </cell>
          <cell r="AI253" t="str">
            <v>1BBAXB</v>
          </cell>
          <cell r="AJ253" t="str">
            <v>MEROX UNIT</v>
          </cell>
          <cell r="AK253">
            <v>0</v>
          </cell>
          <cell r="AL253">
            <v>0</v>
          </cell>
          <cell r="AM253">
            <v>0</v>
          </cell>
          <cell r="AN253">
            <v>0</v>
          </cell>
          <cell r="AO253">
            <v>0</v>
          </cell>
          <cell r="AP253">
            <v>0</v>
          </cell>
          <cell r="AQ253">
            <v>0</v>
          </cell>
          <cell r="AR253">
            <v>0</v>
          </cell>
        </row>
        <row r="254">
          <cell r="X254" t="str">
            <v>1BAJB</v>
          </cell>
          <cell r="Y254" t="str">
            <v>NGL-4 PLANT  - INDIRECT ENG'G PROJECT MANAGEMENT</v>
          </cell>
          <cell r="AF254">
            <v>0</v>
          </cell>
          <cell r="AG254">
            <v>0</v>
          </cell>
          <cell r="AH254">
            <v>0</v>
          </cell>
          <cell r="AI254" t="str">
            <v>1BBAXC</v>
          </cell>
          <cell r="AJ254" t="str">
            <v>DDESALINATION UNIT</v>
          </cell>
          <cell r="AK254">
            <v>0</v>
          </cell>
          <cell r="AL254">
            <v>0</v>
          </cell>
          <cell r="AM254">
            <v>0</v>
          </cell>
          <cell r="AN254">
            <v>0</v>
          </cell>
          <cell r="AO254">
            <v>0</v>
          </cell>
          <cell r="AP254">
            <v>0</v>
          </cell>
          <cell r="AQ254">
            <v>0</v>
          </cell>
          <cell r="AR254">
            <v>0</v>
          </cell>
        </row>
        <row r="255">
          <cell r="X255" t="str">
            <v>1BAJC</v>
          </cell>
          <cell r="Y255" t="str">
            <v>NGL-4 PLANT  - INDIRECT ENG'G ENGINEERING/NON-TECH</v>
          </cell>
          <cell r="AF255">
            <v>0</v>
          </cell>
          <cell r="AG255">
            <v>0</v>
          </cell>
          <cell r="AH255">
            <v>0</v>
          </cell>
          <cell r="AI255" t="str">
            <v>1BBAXD</v>
          </cell>
          <cell r="AJ255" t="str">
            <v>INSTRUMENT AIR PACKAGE</v>
          </cell>
          <cell r="AK255">
            <v>0</v>
          </cell>
          <cell r="AL255">
            <v>0</v>
          </cell>
          <cell r="AM255">
            <v>0</v>
          </cell>
          <cell r="AN255">
            <v>0</v>
          </cell>
          <cell r="AO255">
            <v>0</v>
          </cell>
          <cell r="AP255">
            <v>0</v>
          </cell>
          <cell r="AQ255">
            <v>0</v>
          </cell>
          <cell r="AR255">
            <v>0</v>
          </cell>
        </row>
        <row r="256">
          <cell r="X256" t="str">
            <v>1BAJX</v>
          </cell>
          <cell r="Y256" t="str">
            <v>NGL-4 PLANT  - INDIRECT ENG'G OTHER</v>
          </cell>
          <cell r="AF256">
            <v>0</v>
          </cell>
          <cell r="AG256">
            <v>0</v>
          </cell>
          <cell r="AH256">
            <v>0</v>
          </cell>
          <cell r="AI256" t="str">
            <v>1BBAXE</v>
          </cell>
          <cell r="AJ256" t="str">
            <v>NITROGEN UNIT</v>
          </cell>
          <cell r="AK256">
            <v>0</v>
          </cell>
          <cell r="AL256">
            <v>0</v>
          </cell>
          <cell r="AM256">
            <v>0</v>
          </cell>
          <cell r="AN256">
            <v>0</v>
          </cell>
          <cell r="AO256">
            <v>0</v>
          </cell>
          <cell r="AP256">
            <v>0</v>
          </cell>
          <cell r="AQ256">
            <v>0</v>
          </cell>
          <cell r="AR256">
            <v>0</v>
          </cell>
        </row>
        <row r="257">
          <cell r="X257" t="str">
            <v>1BAJ-</v>
          </cell>
          <cell r="Y257" t="str">
            <v>SUBTOTAL - NGL-4 PLANT  - INDIRECT ENGINEERING</v>
          </cell>
          <cell r="Z257">
            <v>0</v>
          </cell>
          <cell r="AA257" t="str">
            <v>N/A</v>
          </cell>
          <cell r="AB257">
            <v>0</v>
          </cell>
          <cell r="AC257">
            <v>0</v>
          </cell>
          <cell r="AD257">
            <v>0</v>
          </cell>
          <cell r="AE257">
            <v>0</v>
          </cell>
          <cell r="AF257">
            <v>0</v>
          </cell>
          <cell r="AI257" t="str">
            <v>1BBAXF</v>
          </cell>
          <cell r="AJ257" t="str">
            <v>HOT OIL UNIT</v>
          </cell>
          <cell r="AQ257">
            <v>0</v>
          </cell>
        </row>
        <row r="258">
          <cell r="AI258" t="str">
            <v>1BBAXG</v>
          </cell>
          <cell r="AJ258" t="str">
            <v>SEA WATER SYSTEM</v>
          </cell>
          <cell r="AQ258">
            <v>0</v>
          </cell>
        </row>
        <row r="259">
          <cell r="AI259" t="str">
            <v>1BBAXH</v>
          </cell>
          <cell r="AJ259" t="str">
            <v>EFFLUENT TREATMENT SYSTEM</v>
          </cell>
          <cell r="AQ259">
            <v>0</v>
          </cell>
        </row>
        <row r="260">
          <cell r="AI260" t="str">
            <v>1BBAXX</v>
          </cell>
          <cell r="AJ260" t="str">
            <v>OTHER PACKAGED EQUIPMENT</v>
          </cell>
          <cell r="AQ260">
            <v>0</v>
          </cell>
        </row>
        <row r="261">
          <cell r="AI261" t="str">
            <v>1BBAX-</v>
          </cell>
          <cell r="AJ261" t="str">
            <v>SUBTOTAL PACKAGED EQUIPMENT</v>
          </cell>
          <cell r="AK261">
            <v>0</v>
          </cell>
          <cell r="AL261">
            <v>0</v>
          </cell>
          <cell r="AM261">
            <v>0</v>
          </cell>
          <cell r="AN261">
            <v>0</v>
          </cell>
          <cell r="AO261">
            <v>0</v>
          </cell>
          <cell r="AP261">
            <v>0</v>
          </cell>
          <cell r="AQ261">
            <v>0</v>
          </cell>
        </row>
        <row r="263">
          <cell r="AI263" t="str">
            <v>1BBAXX</v>
          </cell>
          <cell r="AJ263" t="str">
            <v>OTHER EQUIPMENT</v>
          </cell>
          <cell r="AQ263">
            <v>0</v>
          </cell>
        </row>
        <row r="264">
          <cell r="AI264" t="str">
            <v>1BBAX-</v>
          </cell>
          <cell r="AJ264" t="str">
            <v>SUBTOTAL OTHER EQUIPMENT</v>
          </cell>
          <cell r="AK264">
            <v>0</v>
          </cell>
          <cell r="AL264">
            <v>0</v>
          </cell>
          <cell r="AM264">
            <v>0</v>
          </cell>
          <cell r="AN264">
            <v>0</v>
          </cell>
          <cell r="AO264">
            <v>0</v>
          </cell>
          <cell r="AP264">
            <v>0</v>
          </cell>
          <cell r="AQ264">
            <v>0</v>
          </cell>
        </row>
        <row r="268">
          <cell r="W268" t="str">
            <v>LEVEL 2 NGL-4 PLANT PG.3</v>
          </cell>
          <cell r="X268" t="str">
            <v>WBS CODE</v>
          </cell>
          <cell r="Y268" t="str">
            <v>DESCRIPTION</v>
          </cell>
          <cell r="Z268" t="str">
            <v>QUANTITY</v>
          </cell>
          <cell r="AA268" t="str">
            <v>UNITS</v>
          </cell>
          <cell r="AB268" t="str">
            <v>TOTAL MANHOURS</v>
          </cell>
          <cell r="AC268" t="str">
            <v>TOTAL LABOR COST</v>
          </cell>
          <cell r="AD268" t="str">
            <v>TOTAL MAT'L COST</v>
          </cell>
          <cell r="AE268" t="str">
            <v>TOTAL S/C COST</v>
          </cell>
          <cell r="AF268" t="str">
            <v>TOTAL COST</v>
          </cell>
        </row>
        <row r="270">
          <cell r="X270" t="str">
            <v>1BBAA</v>
          </cell>
          <cell r="Y270" t="str">
            <v>NGL-4 PLANT  - FAB/DELIVERY MAJOR EQUIP PRESSURE VESSELS</v>
          </cell>
          <cell r="Z270">
            <v>0</v>
          </cell>
          <cell r="AA270">
            <v>0</v>
          </cell>
          <cell r="AB270">
            <v>0</v>
          </cell>
          <cell r="AC270">
            <v>0</v>
          </cell>
          <cell r="AD270">
            <v>0</v>
          </cell>
          <cell r="AE270">
            <v>0</v>
          </cell>
          <cell r="AF270">
            <v>0</v>
          </cell>
        </row>
        <row r="271">
          <cell r="X271" t="str">
            <v>1BBAB</v>
          </cell>
          <cell r="Y271" t="str">
            <v>NGL-4 PLANT  - FAB/DELIVERY MAJOR EQUIP COLUMNS</v>
          </cell>
          <cell r="Z271">
            <v>0</v>
          </cell>
          <cell r="AA271">
            <v>0</v>
          </cell>
          <cell r="AB271">
            <v>0</v>
          </cell>
          <cell r="AC271">
            <v>0</v>
          </cell>
          <cell r="AD271">
            <v>0</v>
          </cell>
          <cell r="AE271">
            <v>0</v>
          </cell>
          <cell r="AF271">
            <v>0</v>
          </cell>
        </row>
        <row r="272">
          <cell r="X272" t="str">
            <v>1BBAC</v>
          </cell>
          <cell r="Y272" t="str">
            <v>NGL-4 PLANT  - FAB/DELIVERY MAJOR EQUIP REACTORS</v>
          </cell>
          <cell r="Z272" t="str">
            <v>N/A</v>
          </cell>
          <cell r="AA272" t="str">
            <v>N/A</v>
          </cell>
          <cell r="AB272" t="str">
            <v>N/A</v>
          </cell>
          <cell r="AC272" t="str">
            <v>N/A</v>
          </cell>
          <cell r="AD272" t="str">
            <v>N/A</v>
          </cell>
          <cell r="AE272" t="str">
            <v>N/A</v>
          </cell>
          <cell r="AF272" t="str">
            <v>N/A</v>
          </cell>
        </row>
        <row r="273">
          <cell r="X273" t="str">
            <v>1BBAD</v>
          </cell>
          <cell r="Y273" t="str">
            <v>NGL-4 PLANT  - FAB/DELIVERY MAJOR EQUIP FIELD ERECTED TANKS</v>
          </cell>
          <cell r="Z273" t="str">
            <v>N/A</v>
          </cell>
          <cell r="AA273" t="str">
            <v>N/A</v>
          </cell>
          <cell r="AB273" t="str">
            <v>N/A</v>
          </cell>
          <cell r="AC273" t="str">
            <v>N/A</v>
          </cell>
          <cell r="AD273" t="str">
            <v>N/A</v>
          </cell>
          <cell r="AE273" t="str">
            <v>N/A</v>
          </cell>
          <cell r="AF273" t="str">
            <v>N/A</v>
          </cell>
        </row>
        <row r="274">
          <cell r="X274" t="str">
            <v>1BBAE</v>
          </cell>
          <cell r="Y274" t="str">
            <v>NGL-4 PLANT  - FAB/DELIVERY MAJOR EQUIP PUMPS</v>
          </cell>
          <cell r="Z274">
            <v>0</v>
          </cell>
          <cell r="AA274">
            <v>0</v>
          </cell>
          <cell r="AB274">
            <v>0</v>
          </cell>
          <cell r="AC274">
            <v>0</v>
          </cell>
          <cell r="AD274">
            <v>0</v>
          </cell>
          <cell r="AE274">
            <v>0</v>
          </cell>
          <cell r="AF274">
            <v>0</v>
          </cell>
        </row>
        <row r="275">
          <cell r="X275" t="str">
            <v>1BBAF</v>
          </cell>
          <cell r="Y275" t="str">
            <v>NGL-4 PLANT  - FAB/DELIVERY MAJOR EQUIP HEAT EXCHANGERS S&amp;T</v>
          </cell>
          <cell r="Z275">
            <v>0</v>
          </cell>
          <cell r="AA275">
            <v>0</v>
          </cell>
          <cell r="AB275">
            <v>0</v>
          </cell>
          <cell r="AC275">
            <v>0</v>
          </cell>
          <cell r="AD275">
            <v>0</v>
          </cell>
          <cell r="AE275">
            <v>0</v>
          </cell>
          <cell r="AF275">
            <v>0</v>
          </cell>
        </row>
        <row r="276">
          <cell r="X276" t="str">
            <v>1BBAG</v>
          </cell>
          <cell r="Y276" t="str">
            <v>NGL-4 PLANT  - FAB/DELIVERY MAJOR EQUIP HEAT EXCHANGERS FINNED</v>
          </cell>
          <cell r="Z276">
            <v>0</v>
          </cell>
          <cell r="AA276">
            <v>0</v>
          </cell>
          <cell r="AB276">
            <v>0</v>
          </cell>
          <cell r="AC276">
            <v>0</v>
          </cell>
          <cell r="AD276">
            <v>0</v>
          </cell>
          <cell r="AE276">
            <v>0</v>
          </cell>
          <cell r="AF276">
            <v>0</v>
          </cell>
        </row>
        <row r="277">
          <cell r="X277" t="str">
            <v>1BBAH</v>
          </cell>
          <cell r="Y277" t="str">
            <v>NGL-4 PLANT  - FAB/DELIVERY MAJOR EQUIP EXTRUDERS</v>
          </cell>
          <cell r="Z277" t="str">
            <v>N/A</v>
          </cell>
          <cell r="AA277" t="str">
            <v>N/A</v>
          </cell>
          <cell r="AB277" t="str">
            <v>N/A</v>
          </cell>
          <cell r="AC277" t="str">
            <v>N/A</v>
          </cell>
          <cell r="AD277" t="str">
            <v>N/A</v>
          </cell>
          <cell r="AE277" t="str">
            <v>N/A</v>
          </cell>
          <cell r="AF277" t="str">
            <v>N/A</v>
          </cell>
        </row>
        <row r="278">
          <cell r="X278" t="str">
            <v>1BBAI</v>
          </cell>
          <cell r="Y278" t="str">
            <v>NGL-4 PLANT  - FAB/DELIVERY MAJOR EQUIP COMPRESSORS</v>
          </cell>
          <cell r="Z278">
            <v>0</v>
          </cell>
          <cell r="AA278">
            <v>0</v>
          </cell>
          <cell r="AB278">
            <v>0</v>
          </cell>
          <cell r="AC278">
            <v>0</v>
          </cell>
          <cell r="AD278">
            <v>0</v>
          </cell>
          <cell r="AE278">
            <v>0</v>
          </cell>
          <cell r="AF278">
            <v>0</v>
          </cell>
        </row>
        <row r="279">
          <cell r="X279" t="str">
            <v>1BBAJ</v>
          </cell>
          <cell r="Y279" t="str">
            <v>NGL-4 PLANT  - FAB/DELIVERY MAJOR EQUIP GENERATORS</v>
          </cell>
          <cell r="Z279" t="str">
            <v>N/A</v>
          </cell>
          <cell r="AA279" t="str">
            <v>N/A</v>
          </cell>
          <cell r="AB279" t="str">
            <v>N/A</v>
          </cell>
          <cell r="AC279" t="str">
            <v>N/A</v>
          </cell>
          <cell r="AD279" t="str">
            <v>N/A</v>
          </cell>
          <cell r="AE279" t="str">
            <v>N/A</v>
          </cell>
          <cell r="AF279" t="str">
            <v>N/A</v>
          </cell>
        </row>
        <row r="280">
          <cell r="X280" t="str">
            <v>1BBAJ</v>
          </cell>
          <cell r="Y280" t="str">
            <v>NGL-4 PLANT  - FAB/DELIVERY MAJOR EQUIP MOTORS &amp; DRIVERS</v>
          </cell>
          <cell r="Z280">
            <v>0</v>
          </cell>
          <cell r="AA280">
            <v>0</v>
          </cell>
          <cell r="AB280">
            <v>0</v>
          </cell>
          <cell r="AC280">
            <v>0</v>
          </cell>
          <cell r="AD280">
            <v>0</v>
          </cell>
          <cell r="AE280">
            <v>0</v>
          </cell>
          <cell r="AF280">
            <v>0</v>
          </cell>
        </row>
        <row r="281">
          <cell r="X281" t="str">
            <v>1BBAL</v>
          </cell>
          <cell r="Y281" t="str">
            <v>NGL-4 PLANT  - FAB/DELIVERY MAJOR EQUIP FIRED EQUIPMENT</v>
          </cell>
          <cell r="Z281" t="str">
            <v>N/A</v>
          </cell>
          <cell r="AA281" t="str">
            <v>N/A</v>
          </cell>
          <cell r="AB281" t="str">
            <v>N/A</v>
          </cell>
          <cell r="AC281" t="str">
            <v>N/A</v>
          </cell>
          <cell r="AD281" t="str">
            <v>N/A</v>
          </cell>
          <cell r="AE281" t="str">
            <v>N/A</v>
          </cell>
          <cell r="AF281" t="str">
            <v>N/A</v>
          </cell>
        </row>
        <row r="282">
          <cell r="X282" t="str">
            <v>1BBAM</v>
          </cell>
          <cell r="Y282" t="str">
            <v>NGL-4 PLANT  - FAB/DELIVERY MAJOR EQUIP BLOWERS, FANS</v>
          </cell>
          <cell r="Z282">
            <v>0</v>
          </cell>
          <cell r="AA282">
            <v>0</v>
          </cell>
          <cell r="AB282">
            <v>0</v>
          </cell>
          <cell r="AC282">
            <v>0</v>
          </cell>
          <cell r="AD282">
            <v>0</v>
          </cell>
          <cell r="AE282">
            <v>0</v>
          </cell>
          <cell r="AF282">
            <v>0</v>
          </cell>
        </row>
        <row r="283">
          <cell r="X283" t="str">
            <v>1BBAN</v>
          </cell>
          <cell r="Y283" t="str">
            <v>NGL-4 PLANT  - FAB/DELIVERY MAJOR EQUIP FILTERS</v>
          </cell>
          <cell r="Z283" t="str">
            <v>N/A</v>
          </cell>
          <cell r="AA283" t="str">
            <v>N/A</v>
          </cell>
          <cell r="AB283" t="str">
            <v>N/A</v>
          </cell>
          <cell r="AC283" t="str">
            <v>N/A</v>
          </cell>
          <cell r="AD283" t="str">
            <v>N/A</v>
          </cell>
          <cell r="AE283" t="str">
            <v>N/A</v>
          </cell>
          <cell r="AF283" t="str">
            <v>N/A</v>
          </cell>
        </row>
        <row r="284">
          <cell r="X284" t="str">
            <v>1BBAO</v>
          </cell>
          <cell r="Y284" t="str">
            <v>NGL-4 PLANT  - FAB/DELIVERY MAJOR EQUIP FLARES</v>
          </cell>
          <cell r="Z284">
            <v>0</v>
          </cell>
          <cell r="AA284">
            <v>0</v>
          </cell>
          <cell r="AB284">
            <v>0</v>
          </cell>
          <cell r="AC284">
            <v>0</v>
          </cell>
          <cell r="AD284">
            <v>0</v>
          </cell>
          <cell r="AE284">
            <v>0</v>
          </cell>
          <cell r="AF284">
            <v>0</v>
          </cell>
        </row>
        <row r="285">
          <cell r="X285" t="str">
            <v>1BBAP</v>
          </cell>
          <cell r="Y285" t="str">
            <v>NGL-4 PLANT  - FAB/DELIVERY MAJOR EQUIP SOLIDS HANDLING EQUIPMENT</v>
          </cell>
          <cell r="Z285" t="str">
            <v>N/A</v>
          </cell>
          <cell r="AA285" t="str">
            <v>N/A</v>
          </cell>
          <cell r="AB285" t="str">
            <v>N/A</v>
          </cell>
          <cell r="AC285" t="str">
            <v>N/A</v>
          </cell>
          <cell r="AD285" t="str">
            <v>N/A</v>
          </cell>
          <cell r="AE285" t="str">
            <v>N/A</v>
          </cell>
          <cell r="AF285" t="str">
            <v>N/A</v>
          </cell>
        </row>
        <row r="286">
          <cell r="X286" t="str">
            <v>1BBAQ</v>
          </cell>
          <cell r="Y286" t="str">
            <v>NGL-4 PLANT  - FAB/DELIVERY MAJOR EQUIP PACKAGED EQUIPMENT</v>
          </cell>
          <cell r="Z286">
            <v>0</v>
          </cell>
          <cell r="AA286">
            <v>0</v>
          </cell>
          <cell r="AB286">
            <v>0</v>
          </cell>
          <cell r="AC286">
            <v>0</v>
          </cell>
          <cell r="AD286">
            <v>0</v>
          </cell>
          <cell r="AE286">
            <v>0</v>
          </cell>
          <cell r="AF286">
            <v>0</v>
          </cell>
        </row>
        <row r="287">
          <cell r="X287" t="str">
            <v>1BBAX</v>
          </cell>
          <cell r="Y287" t="str">
            <v>NGL-4 PLANT  - FAB/DELIVERY MAJOR EQUIP OTHER</v>
          </cell>
          <cell r="Z287">
            <v>0</v>
          </cell>
          <cell r="AA287">
            <v>0</v>
          </cell>
          <cell r="AB287">
            <v>0</v>
          </cell>
          <cell r="AC287">
            <v>0</v>
          </cell>
          <cell r="AD287">
            <v>0</v>
          </cell>
          <cell r="AE287">
            <v>0</v>
          </cell>
          <cell r="AF287">
            <v>0</v>
          </cell>
        </row>
        <row r="288">
          <cell r="X288" t="str">
            <v>1BBA-</v>
          </cell>
          <cell r="Y288" t="str">
            <v>SUBTOTAL - NGL-4 PLANT  - FAB/DELIVERY MAJOR EQUIP.</v>
          </cell>
          <cell r="Z288">
            <v>0</v>
          </cell>
          <cell r="AA288" t="str">
            <v>N/A</v>
          </cell>
          <cell r="AB288">
            <v>0</v>
          </cell>
          <cell r="AC288">
            <v>0</v>
          </cell>
          <cell r="AD288">
            <v>0</v>
          </cell>
          <cell r="AE288">
            <v>0</v>
          </cell>
          <cell r="AF288">
            <v>0</v>
          </cell>
        </row>
        <row r="290">
          <cell r="X290" t="str">
            <v>1BBBA</v>
          </cell>
          <cell r="Y290" t="str">
            <v>NGL-4 PLANT  - FAB/DELIVERY BULKS - IMBEDS</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X291" t="str">
            <v>1BBBB</v>
          </cell>
          <cell r="Y291" t="str">
            <v>NGL-4 PLANT  - FAB/DELIVERY BULKS - STRUCTURAL</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X292" t="str">
            <v>1BBBC</v>
          </cell>
          <cell r="Y292" t="str">
            <v>NGL-4 PLANT  - FAB/DELIVERY BULKS - PIPING</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X293" t="str">
            <v>1BBBD</v>
          </cell>
          <cell r="Y293" t="str">
            <v>NGL-4 PLANT  - FAB/DELIVERY BULKS - ELECTRICAL</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X294" t="str">
            <v>1BBBE</v>
          </cell>
          <cell r="Y294" t="str">
            <v>NGL-4 PLANT  - FAB/DELIVERY BULKS - INSTRUMENTATION</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X295" t="str">
            <v>1BBBF</v>
          </cell>
          <cell r="Y295" t="str">
            <v>NGL-4 PLANT  - FAB/DELIVERY BULKS - PIPELINES</v>
          </cell>
          <cell r="Z295" t="str">
            <v>N/A</v>
          </cell>
          <cell r="AA295" t="str">
            <v>N/A</v>
          </cell>
          <cell r="AB295" t="str">
            <v>N/A</v>
          </cell>
          <cell r="AC295" t="str">
            <v>N/A</v>
          </cell>
          <cell r="AD295" t="str">
            <v>N/A</v>
          </cell>
          <cell r="AE295" t="str">
            <v>N/A</v>
          </cell>
          <cell r="AF295" t="str">
            <v>N/A</v>
          </cell>
        </row>
        <row r="296">
          <cell r="X296" t="str">
            <v>1BBB-</v>
          </cell>
          <cell r="Y296" t="str">
            <v>SUBTOTAL - NGL-4 PLANT  - FAB/DELIVERY BULKS</v>
          </cell>
          <cell r="Z296">
            <v>0</v>
          </cell>
          <cell r="AA296" t="str">
            <v>N/A</v>
          </cell>
          <cell r="AB296">
            <v>0</v>
          </cell>
          <cell r="AC296">
            <v>0</v>
          </cell>
          <cell r="AD296">
            <v>0</v>
          </cell>
          <cell r="AE296">
            <v>0</v>
          </cell>
          <cell r="AF296">
            <v>0</v>
          </cell>
        </row>
        <row r="298">
          <cell r="X298" t="str">
            <v>1BBCA</v>
          </cell>
          <cell r="Y298" t="str">
            <v>NGL-4 PLANT  - FAB/DELIVERY ENG. SPECIALTIES - BUILDINGS</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X299" t="str">
            <v>1BBCB</v>
          </cell>
          <cell r="Y299" t="str">
            <v>NGL-4 PLANT  - FAB/DELIVERY ENG. SPECIALTIES - GENERAL</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X300" t="str">
            <v>1BBC-</v>
          </cell>
          <cell r="Y300" t="str">
            <v>SUBTOTAL - NGL-4 PLANT  - FAB/DELIVERY ENGINEERING SPECIALTIES</v>
          </cell>
          <cell r="Z300">
            <v>0</v>
          </cell>
          <cell r="AA300" t="str">
            <v>N/A</v>
          </cell>
          <cell r="AB300">
            <v>0</v>
          </cell>
          <cell r="AC300">
            <v>0</v>
          </cell>
          <cell r="AD300">
            <v>0</v>
          </cell>
          <cell r="AE300">
            <v>0</v>
          </cell>
          <cell r="AF300">
            <v>0</v>
          </cell>
        </row>
        <row r="306">
          <cell r="W306" t="str">
            <v>LEVEL 2 NGL-4 PLANT PG.4</v>
          </cell>
          <cell r="X306" t="str">
            <v>WBS CODE</v>
          </cell>
          <cell r="Y306" t="str">
            <v>DESCRIPTION</v>
          </cell>
          <cell r="Z306" t="str">
            <v>QUANTITY</v>
          </cell>
          <cell r="AA306" t="str">
            <v>UNITS</v>
          </cell>
          <cell r="AB306" t="str">
            <v>TOTAL MANHOURS</v>
          </cell>
          <cell r="AC306" t="str">
            <v>TOTAL LABOR COST</v>
          </cell>
          <cell r="AD306" t="str">
            <v>TOTAL MAT'L COST</v>
          </cell>
          <cell r="AE306" t="str">
            <v>TOTAL S/C COST</v>
          </cell>
          <cell r="AF306" t="str">
            <v>TOTAL COST</v>
          </cell>
        </row>
        <row r="307">
          <cell r="X307" t="str">
            <v>1BCAA</v>
          </cell>
          <cell r="Y307" t="str">
            <v>NGL-4 PLANT  - CONSTRUCTION, CIVIL - SITE WORK</v>
          </cell>
          <cell r="AF307">
            <v>0</v>
          </cell>
          <cell r="AG307">
            <v>0</v>
          </cell>
        </row>
        <row r="308">
          <cell r="X308" t="str">
            <v>1BCAB</v>
          </cell>
          <cell r="Y308" t="str">
            <v>NGL-4 PLANT  - CONSTRUCTION, CIVIL - FOUNDATIONS</v>
          </cell>
          <cell r="AF308">
            <v>0</v>
          </cell>
          <cell r="AG308">
            <v>0</v>
          </cell>
        </row>
        <row r="309">
          <cell r="X309" t="str">
            <v>1BCA</v>
          </cell>
          <cell r="Y309" t="str">
            <v>SUBTOTAL - NGL-4 PLANT  - CONSTRUCTION, CIVIL</v>
          </cell>
          <cell r="Z309">
            <v>0</v>
          </cell>
          <cell r="AA309" t="str">
            <v>N/A</v>
          </cell>
          <cell r="AB309">
            <v>0</v>
          </cell>
          <cell r="AC309">
            <v>0</v>
          </cell>
          <cell r="AD309">
            <v>0</v>
          </cell>
          <cell r="AE309">
            <v>0</v>
          </cell>
          <cell r="AF309">
            <v>0</v>
          </cell>
        </row>
        <row r="311">
          <cell r="X311" t="str">
            <v>1BCBA</v>
          </cell>
          <cell r="Y311" t="str">
            <v>NGL-4 PLANT  - CONSTRUCTION, MAJOR EQUIPMENT - PRESSURE VESSELS</v>
          </cell>
          <cell r="Z311">
            <v>1450.6999999999996</v>
          </cell>
          <cell r="AA311" t="str">
            <v>TON</v>
          </cell>
          <cell r="AB311">
            <v>19500</v>
          </cell>
          <cell r="AC311">
            <v>524600</v>
          </cell>
          <cell r="AF311">
            <v>524600</v>
          </cell>
          <cell r="AG311">
            <v>0</v>
          </cell>
        </row>
        <row r="312">
          <cell r="X312" t="str">
            <v>1BCBB</v>
          </cell>
          <cell r="Y312" t="str">
            <v>NGL-4 PLANT  - CONSTRUCTION, MAJOR EQUIPMENT - COLUMNS</v>
          </cell>
          <cell r="Z312">
            <v>2106.5</v>
          </cell>
          <cell r="AA312" t="str">
            <v>TON</v>
          </cell>
          <cell r="AB312">
            <v>79070</v>
          </cell>
          <cell r="AC312">
            <v>1636100</v>
          </cell>
          <cell r="AF312">
            <v>1636100</v>
          </cell>
          <cell r="AG312">
            <v>0</v>
          </cell>
        </row>
        <row r="313">
          <cell r="X313" t="str">
            <v>1BCBC</v>
          </cell>
          <cell r="Y313" t="str">
            <v>NGL-4 PLANT  - CONSTRUCTION, MAJOR EQUIPMENT - REACTORS</v>
          </cell>
          <cell r="Z313" t="str">
            <v>N/A</v>
          </cell>
          <cell r="AA313" t="str">
            <v>N/A</v>
          </cell>
          <cell r="AB313" t="str">
            <v>N/A</v>
          </cell>
          <cell r="AC313" t="str">
            <v>N/A</v>
          </cell>
          <cell r="AD313" t="str">
            <v>N/A</v>
          </cell>
          <cell r="AE313" t="str">
            <v>N/A</v>
          </cell>
          <cell r="AF313" t="str">
            <v>N/A</v>
          </cell>
        </row>
        <row r="314">
          <cell r="X314" t="str">
            <v>1BCBD</v>
          </cell>
          <cell r="Y314" t="str">
            <v>NGL-4 PLANT  - CONSTRUCTION, MAJOR EQUIPMENT - FIELD ERECTED TANKS</v>
          </cell>
          <cell r="Z314" t="str">
            <v>N/A</v>
          </cell>
          <cell r="AA314" t="str">
            <v>N/A</v>
          </cell>
          <cell r="AB314" t="str">
            <v>N/A</v>
          </cell>
          <cell r="AC314" t="str">
            <v>N/A</v>
          </cell>
          <cell r="AD314" t="str">
            <v>N/A</v>
          </cell>
          <cell r="AE314" t="str">
            <v>N/A</v>
          </cell>
          <cell r="AF314" t="str">
            <v>N/A</v>
          </cell>
        </row>
        <row r="315">
          <cell r="X315" t="str">
            <v>1BCBE</v>
          </cell>
          <cell r="Y315" t="str">
            <v>NGL-4 PLANT  - CONSTRUCTION, MAJOR EQUIPMENT - PUMPS</v>
          </cell>
          <cell r="Z315">
            <v>189.20000000000002</v>
          </cell>
          <cell r="AA315" t="str">
            <v>TON</v>
          </cell>
          <cell r="AB315">
            <v>18620</v>
          </cell>
          <cell r="AC315">
            <v>160400</v>
          </cell>
          <cell r="AF315">
            <v>160400</v>
          </cell>
          <cell r="AG315">
            <v>0</v>
          </cell>
        </row>
        <row r="316">
          <cell r="X316" t="str">
            <v>1BCBF</v>
          </cell>
          <cell r="Y316" t="str">
            <v>NGL-4 PLANT  - CONSTRUCTION, MAJOR EQUIPMENT - HEAT EXCHANGERS S&amp;T</v>
          </cell>
          <cell r="Z316">
            <v>442.2</v>
          </cell>
          <cell r="AA316" t="str">
            <v>TON</v>
          </cell>
          <cell r="AB316">
            <v>7380</v>
          </cell>
          <cell r="AC316">
            <v>154600</v>
          </cell>
          <cell r="AF316">
            <v>154600</v>
          </cell>
          <cell r="AG316">
            <v>0</v>
          </cell>
        </row>
        <row r="317">
          <cell r="X317" t="str">
            <v>1BCBG</v>
          </cell>
          <cell r="Y317" t="str">
            <v>NGL-4 PLANT  - CONSTRUCTION, MAJOR EQUIPMENT - HEAT EXCHANGERS FINNED</v>
          </cell>
          <cell r="Z317">
            <v>2025.9999999999998</v>
          </cell>
          <cell r="AA317" t="str">
            <v>TON</v>
          </cell>
          <cell r="AB317">
            <v>108130</v>
          </cell>
          <cell r="AC317">
            <v>1238300</v>
          </cell>
          <cell r="AF317">
            <v>1238300</v>
          </cell>
          <cell r="AG317">
            <v>0</v>
          </cell>
        </row>
        <row r="318">
          <cell r="X318" t="str">
            <v>1BCBH</v>
          </cell>
          <cell r="Y318" t="str">
            <v>NGL-4 PLANT  - CONSTRUCTION, MAJOR EQUIPMENT - EXTRUDERS</v>
          </cell>
          <cell r="Z318" t="str">
            <v>N/A</v>
          </cell>
          <cell r="AA318" t="str">
            <v>N/A</v>
          </cell>
          <cell r="AB318" t="str">
            <v>N/A</v>
          </cell>
          <cell r="AC318" t="str">
            <v>N/A</v>
          </cell>
          <cell r="AD318" t="str">
            <v>N/A</v>
          </cell>
          <cell r="AE318" t="str">
            <v>N/A</v>
          </cell>
          <cell r="AF318" t="str">
            <v>N/A</v>
          </cell>
        </row>
        <row r="319">
          <cell r="X319" t="str">
            <v>1BCBI</v>
          </cell>
          <cell r="Y319" t="str">
            <v>NGL-4 PLANT  - CONSTRUCTION, MAJOR EQUIPMENT - COMPRESSORS</v>
          </cell>
          <cell r="Z319">
            <v>326.2</v>
          </cell>
          <cell r="AA319" t="str">
            <v>TON</v>
          </cell>
          <cell r="AB319">
            <v>18100</v>
          </cell>
          <cell r="AC319">
            <v>217600</v>
          </cell>
          <cell r="AF319">
            <v>217600</v>
          </cell>
          <cell r="AG319">
            <v>0</v>
          </cell>
        </row>
        <row r="320">
          <cell r="X320" t="str">
            <v>1BCBJ</v>
          </cell>
          <cell r="Y320" t="str">
            <v>NGL-4 PLANT  - CONSTRUCTION, MAJOR EQUIPMENT - GENERATORS</v>
          </cell>
          <cell r="Z320" t="str">
            <v>N/A</v>
          </cell>
          <cell r="AA320" t="str">
            <v>N/A</v>
          </cell>
          <cell r="AB320" t="str">
            <v>N/A</v>
          </cell>
          <cell r="AC320" t="str">
            <v>N/A</v>
          </cell>
          <cell r="AD320" t="str">
            <v>N/A</v>
          </cell>
          <cell r="AE320" t="str">
            <v>N/A</v>
          </cell>
          <cell r="AF320" t="str">
            <v>N/A</v>
          </cell>
        </row>
        <row r="321">
          <cell r="X321" t="str">
            <v>1BCBK</v>
          </cell>
          <cell r="Y321" t="str">
            <v>NGL-4 PLANT  - CONSTRUCTION, MAJOR EQUIPMENT - MOTORS &amp; DRIVERS</v>
          </cell>
          <cell r="Z321" t="str">
            <v>N/A</v>
          </cell>
          <cell r="AA321" t="str">
            <v>N/A</v>
          </cell>
          <cell r="AB321" t="str">
            <v>N/A</v>
          </cell>
          <cell r="AC321" t="str">
            <v>N/A</v>
          </cell>
          <cell r="AD321" t="str">
            <v>N/A</v>
          </cell>
          <cell r="AE321" t="str">
            <v>N/A</v>
          </cell>
          <cell r="AF321" t="str">
            <v>N/A</v>
          </cell>
        </row>
        <row r="322">
          <cell r="X322" t="str">
            <v>1BCBL</v>
          </cell>
          <cell r="Y322" t="str">
            <v>NGL-4 PLANT  - CONSTRUCTION, MAJOR EQUIPMENT - FIRED EQUIPMENT</v>
          </cell>
          <cell r="Z322">
            <v>729.6</v>
          </cell>
          <cell r="AA322" t="str">
            <v>TON</v>
          </cell>
          <cell r="AB322">
            <v>51200</v>
          </cell>
          <cell r="AC322">
            <v>445600</v>
          </cell>
          <cell r="AF322">
            <v>445600</v>
          </cell>
          <cell r="AG322">
            <v>0</v>
          </cell>
        </row>
        <row r="323">
          <cell r="X323" t="str">
            <v>1BCBM</v>
          </cell>
          <cell r="Y323" t="str">
            <v>NGL-4 PLANT  - CONSTRUCTION, MAJOR EQUIPMENT - BLOWERS, FANS</v>
          </cell>
          <cell r="Z323" t="str">
            <v>N/A</v>
          </cell>
          <cell r="AA323" t="str">
            <v>N/A</v>
          </cell>
          <cell r="AB323" t="str">
            <v>N/A</v>
          </cell>
          <cell r="AC323" t="str">
            <v>N/A</v>
          </cell>
          <cell r="AD323" t="str">
            <v>N/A</v>
          </cell>
          <cell r="AE323" t="str">
            <v>N/A</v>
          </cell>
          <cell r="AF323" t="str">
            <v>N/A</v>
          </cell>
        </row>
        <row r="324">
          <cell r="X324" t="str">
            <v>1BCBN</v>
          </cell>
          <cell r="Y324" t="str">
            <v>NGL-4 PLANT  - CONSTRUCTION, MAJOR EQUIPMENT - FILTERS</v>
          </cell>
          <cell r="Z324">
            <v>239.7</v>
          </cell>
          <cell r="AA324" t="str">
            <v>TON</v>
          </cell>
          <cell r="AB324">
            <v>5860</v>
          </cell>
          <cell r="AC324">
            <v>96900</v>
          </cell>
          <cell r="AF324">
            <v>96900</v>
          </cell>
          <cell r="AG324">
            <v>0</v>
          </cell>
        </row>
        <row r="325">
          <cell r="X325" t="str">
            <v>1BCBO</v>
          </cell>
          <cell r="Y325" t="str">
            <v>NGL-4 PLANT  - CONSTRUCTION, MAJOR EQUIPMENT - FLARES</v>
          </cell>
          <cell r="Z325">
            <v>50</v>
          </cell>
          <cell r="AA325" t="str">
            <v>TON</v>
          </cell>
          <cell r="AB325">
            <v>7920</v>
          </cell>
          <cell r="AC325">
            <v>53000</v>
          </cell>
          <cell r="AF325">
            <v>53000</v>
          </cell>
          <cell r="AG325">
            <v>0</v>
          </cell>
        </row>
        <row r="326">
          <cell r="X326" t="str">
            <v>1BCBP</v>
          </cell>
          <cell r="Y326" t="str">
            <v>NGL-4 PLANT  - CONSTRUCTION, MAJOR EQUIP - SOLIDS HANDLING EQUIP</v>
          </cell>
          <cell r="Z326" t="str">
            <v>N/A</v>
          </cell>
          <cell r="AA326" t="str">
            <v>N/A</v>
          </cell>
          <cell r="AB326" t="str">
            <v>N/A</v>
          </cell>
          <cell r="AC326" t="str">
            <v>N/A</v>
          </cell>
          <cell r="AD326" t="str">
            <v>N/A</v>
          </cell>
          <cell r="AE326" t="str">
            <v>N/A</v>
          </cell>
          <cell r="AF326" t="str">
            <v>N/A</v>
          </cell>
        </row>
        <row r="327">
          <cell r="X327" t="str">
            <v>1BCBQ</v>
          </cell>
          <cell r="Y327" t="str">
            <v>NGL-4 PLANT  - CONSTRUCTION, MAJOR EQUIP - PACKAGED EQUIPMENT</v>
          </cell>
          <cell r="Z327">
            <v>109.1</v>
          </cell>
          <cell r="AA327" t="str">
            <v>TON</v>
          </cell>
          <cell r="AB327">
            <v>7730</v>
          </cell>
          <cell r="AC327">
            <v>68000</v>
          </cell>
          <cell r="AF327">
            <v>68000</v>
          </cell>
          <cell r="AG327">
            <v>0</v>
          </cell>
        </row>
        <row r="328">
          <cell r="X328" t="str">
            <v>1BCBX</v>
          </cell>
          <cell r="Y328" t="str">
            <v>NGL-4 PLANT  - CONSTRUCTION, MAJOR EQUIPMENT - OTHERS</v>
          </cell>
          <cell r="Z328">
            <v>222.3</v>
          </cell>
          <cell r="AA328" t="str">
            <v>TON</v>
          </cell>
          <cell r="AB328">
            <v>53480</v>
          </cell>
          <cell r="AC328">
            <v>447300</v>
          </cell>
          <cell r="AF328">
            <v>447300</v>
          </cell>
          <cell r="AG328">
            <v>0</v>
          </cell>
        </row>
        <row r="329">
          <cell r="X329" t="str">
            <v>1BCB-</v>
          </cell>
          <cell r="Y329" t="str">
            <v>SUBTOTAL - NGL-4 PLANT  - CONSTRUCTION, MAJOR EQUIPMENT</v>
          </cell>
          <cell r="Z329">
            <v>7891.5</v>
          </cell>
          <cell r="AA329" t="str">
            <v>N/A</v>
          </cell>
          <cell r="AB329">
            <v>376990</v>
          </cell>
          <cell r="AC329">
            <v>5042400</v>
          </cell>
          <cell r="AD329">
            <v>0</v>
          </cell>
          <cell r="AE329">
            <v>0</v>
          </cell>
          <cell r="AF329">
            <v>5042400</v>
          </cell>
        </row>
        <row r="331">
          <cell r="X331" t="str">
            <v>1BCCA</v>
          </cell>
          <cell r="Y331" t="str">
            <v>NGL-4 PLANT  - CONSTRUCTION, BULKS - STRUCTURAL</v>
          </cell>
          <cell r="AF331">
            <v>0</v>
          </cell>
          <cell r="AG331">
            <v>0</v>
          </cell>
        </row>
        <row r="332">
          <cell r="X332" t="str">
            <v>1BCCB</v>
          </cell>
          <cell r="Y332" t="str">
            <v>NGL-4 PLANT  - CONSTRUCTION, BULKS - PIPING</v>
          </cell>
          <cell r="AF332">
            <v>0</v>
          </cell>
          <cell r="AG332">
            <v>0</v>
          </cell>
        </row>
        <row r="333">
          <cell r="X333" t="str">
            <v>1BCCC</v>
          </cell>
          <cell r="Y333" t="str">
            <v>NGL-4 PLANT  - CONSTRUCTION, BULKS - ELECTRICAL</v>
          </cell>
          <cell r="AF333">
            <v>0</v>
          </cell>
          <cell r="AG333">
            <v>0</v>
          </cell>
        </row>
        <row r="334">
          <cell r="X334" t="str">
            <v>1BCCD</v>
          </cell>
          <cell r="Y334" t="str">
            <v>NGL-4 PLANT  - CONSTRUCTION, BULKS - INSTRUMENTATION</v>
          </cell>
          <cell r="AF334">
            <v>0</v>
          </cell>
          <cell r="AG334">
            <v>0</v>
          </cell>
        </row>
        <row r="335">
          <cell r="X335" t="str">
            <v>1BCCE</v>
          </cell>
          <cell r="Y335" t="str">
            <v>NGL-4 PLANT  - CONSTRUCTION, BULKS - PIPELINES</v>
          </cell>
          <cell r="Z335" t="str">
            <v>N/A</v>
          </cell>
          <cell r="AA335" t="str">
            <v>N/A</v>
          </cell>
          <cell r="AB335" t="str">
            <v>N/A</v>
          </cell>
          <cell r="AC335" t="str">
            <v>N/A</v>
          </cell>
          <cell r="AD335" t="str">
            <v>N/A</v>
          </cell>
          <cell r="AE335" t="str">
            <v>N/A</v>
          </cell>
          <cell r="AF335" t="str">
            <v>N/A</v>
          </cell>
        </row>
        <row r="336">
          <cell r="X336" t="str">
            <v>1BCC-</v>
          </cell>
          <cell r="Y336" t="str">
            <v xml:space="preserve">SUBTOTAL - NGL-4 PLANT  - CONSTRUCTION, BULKS </v>
          </cell>
          <cell r="Z336">
            <v>0</v>
          </cell>
          <cell r="AA336" t="str">
            <v>N/A</v>
          </cell>
          <cell r="AB336">
            <v>0</v>
          </cell>
          <cell r="AC336">
            <v>0</v>
          </cell>
          <cell r="AD336">
            <v>0</v>
          </cell>
          <cell r="AE336">
            <v>0</v>
          </cell>
          <cell r="AF336">
            <v>0</v>
          </cell>
        </row>
        <row r="338">
          <cell r="X338" t="str">
            <v>1BCDA</v>
          </cell>
          <cell r="Y338" t="str">
            <v>NGL-4 PLANT  - CONSTRUCTION SPECIALTIES - BUILDINGS</v>
          </cell>
          <cell r="AF338">
            <v>0</v>
          </cell>
          <cell r="AG338">
            <v>0</v>
          </cell>
        </row>
        <row r="339">
          <cell r="X339" t="str">
            <v>1BCDB</v>
          </cell>
          <cell r="Y339" t="str">
            <v>NGL-4 PLANT  - CONSTRUCTION SPECIALTIES - GENERAL</v>
          </cell>
          <cell r="AF339">
            <v>0</v>
          </cell>
          <cell r="AG339">
            <v>0</v>
          </cell>
        </row>
        <row r="340">
          <cell r="X340" t="str">
            <v>1BCD-</v>
          </cell>
          <cell r="Y340" t="str">
            <v>SUBTOTAL - NGL-4 PLANT  - CONSTRUCTION SPECIALTIES</v>
          </cell>
          <cell r="Z340">
            <v>0</v>
          </cell>
          <cell r="AA340" t="str">
            <v>N/A</v>
          </cell>
          <cell r="AB340">
            <v>0</v>
          </cell>
          <cell r="AC340">
            <v>0</v>
          </cell>
          <cell r="AD340">
            <v>0</v>
          </cell>
          <cell r="AE340">
            <v>0</v>
          </cell>
          <cell r="AF340">
            <v>0</v>
          </cell>
        </row>
        <row r="344">
          <cell r="W344" t="str">
            <v>LEVEL 2 NGL-4 PLANT PG 5</v>
          </cell>
          <cell r="X344" t="str">
            <v>WBS CODE</v>
          </cell>
          <cell r="Y344" t="str">
            <v>DESCRIPTION</v>
          </cell>
          <cell r="Z344" t="str">
            <v>QUANTITY</v>
          </cell>
          <cell r="AA344" t="str">
            <v>UNITS</v>
          </cell>
          <cell r="AB344" t="str">
            <v>TOTAL MANHOURS</v>
          </cell>
          <cell r="AC344" t="str">
            <v>TOTAL LABOR COST</v>
          </cell>
          <cell r="AD344" t="str">
            <v>TOTAL MAT'L COST</v>
          </cell>
          <cell r="AE344" t="str">
            <v>TOTAL S/C COST</v>
          </cell>
          <cell r="AF344" t="str">
            <v>TOTAL COST</v>
          </cell>
        </row>
        <row r="346">
          <cell r="X346" t="str">
            <v>1BCEA</v>
          </cell>
          <cell r="Y346" t="str">
            <v>NGL-4 PLANT  - CONSTRUCTION, OTHER DIRECT WORK - FIRE PROTECTION</v>
          </cell>
          <cell r="AF346">
            <v>0</v>
          </cell>
          <cell r="AG346">
            <v>0</v>
          </cell>
        </row>
        <row r="347">
          <cell r="X347" t="str">
            <v>1BCEB</v>
          </cell>
          <cell r="Y347" t="str">
            <v>NGL-4 PLANT  - CONSTRUCTION, OTHER DIRECT WORK - FIREPROOFING</v>
          </cell>
          <cell r="AF347">
            <v>0</v>
          </cell>
          <cell r="AG347">
            <v>0</v>
          </cell>
        </row>
        <row r="348">
          <cell r="X348" t="str">
            <v>1BCEC</v>
          </cell>
          <cell r="Y348" t="str">
            <v>NGL-4 PLANT  - CONSTRUCTION, OTHER DIRECT WORK - INSULATION</v>
          </cell>
          <cell r="AF348">
            <v>0</v>
          </cell>
          <cell r="AG348">
            <v>0</v>
          </cell>
        </row>
        <row r="349">
          <cell r="X349" t="str">
            <v>1BCED</v>
          </cell>
          <cell r="Y349" t="str">
            <v>NGL-4 PLANT  - CONSTRUCTION, OTHER DIRECT WORK - PAINTING</v>
          </cell>
          <cell r="AF349">
            <v>0</v>
          </cell>
          <cell r="AG349">
            <v>0</v>
          </cell>
        </row>
        <row r="350">
          <cell r="X350" t="str">
            <v>1BCEE</v>
          </cell>
          <cell r="Y350" t="str">
            <v>NGL-4 PLANT  - CONSTRUCTION, OTHER DIRECT WORK - SHUTDOWN</v>
          </cell>
          <cell r="AF350">
            <v>0</v>
          </cell>
          <cell r="AG350">
            <v>0</v>
          </cell>
        </row>
        <row r="351">
          <cell r="X351" t="str">
            <v>1BCEF</v>
          </cell>
          <cell r="Y351" t="str">
            <v>NGL-4 PLANT  - CONSTRUCTION, OTHER DIRECT WORK - PRE-COMMISSIONING</v>
          </cell>
          <cell r="AF351">
            <v>0</v>
          </cell>
          <cell r="AG351">
            <v>0</v>
          </cell>
        </row>
        <row r="352">
          <cell r="X352" t="str">
            <v>1BCEG</v>
          </cell>
          <cell r="Y352" t="str">
            <v>NGL-4 PLANT  - CONSTRUCTION, OTHER DIRECT WORK - ENVIRONMENTAL</v>
          </cell>
          <cell r="AF352">
            <v>0</v>
          </cell>
          <cell r="AG352">
            <v>0</v>
          </cell>
        </row>
        <row r="353">
          <cell r="X353" t="str">
            <v>1BCEX</v>
          </cell>
          <cell r="Y353" t="str">
            <v>NGL-4 PLANT  - CONSTRUCTION, OTHER DIRECT WORK - OTHER</v>
          </cell>
          <cell r="AF353">
            <v>0</v>
          </cell>
          <cell r="AG353">
            <v>0</v>
          </cell>
        </row>
        <row r="354">
          <cell r="X354" t="str">
            <v>1BCE</v>
          </cell>
          <cell r="Y354" t="str">
            <v xml:space="preserve">SUBTOTAL - NGL-4 PLANT  - CONSTRUCTION, OTHER DIRECT WORK - </v>
          </cell>
          <cell r="Z354">
            <v>0</v>
          </cell>
          <cell r="AA354" t="str">
            <v>N/A</v>
          </cell>
          <cell r="AB354">
            <v>0</v>
          </cell>
          <cell r="AC354">
            <v>0</v>
          </cell>
          <cell r="AD354">
            <v>0</v>
          </cell>
          <cell r="AE354">
            <v>0</v>
          </cell>
          <cell r="AF354">
            <v>0</v>
          </cell>
        </row>
        <row r="356">
          <cell r="X356" t="str">
            <v>1BCFA</v>
          </cell>
          <cell r="Y356" t="str">
            <v>NGL-4 PLANT  - CONSTRUCTION INDIRECTS</v>
          </cell>
          <cell r="AF356">
            <v>0</v>
          </cell>
          <cell r="AG356">
            <v>0</v>
          </cell>
        </row>
        <row r="357">
          <cell r="X357" t="str">
            <v>1BCF</v>
          </cell>
          <cell r="Y357" t="str">
            <v>SUBTOTAL - NGL-4 PLANT  - CONSTRUCTION INDIRECTS</v>
          </cell>
          <cell r="Z357">
            <v>0</v>
          </cell>
          <cell r="AA357" t="str">
            <v>N/A</v>
          </cell>
          <cell r="AB357">
            <v>0</v>
          </cell>
          <cell r="AC357">
            <v>0</v>
          </cell>
          <cell r="AD357">
            <v>0</v>
          </cell>
          <cell r="AE357">
            <v>0</v>
          </cell>
          <cell r="AF357">
            <v>0</v>
          </cell>
        </row>
        <row r="359">
          <cell r="X359" t="str">
            <v>1BDAA</v>
          </cell>
          <cell r="Y359" t="str">
            <v>NGL-4 PLANT  - COMMISSIONING - PROCESS</v>
          </cell>
          <cell r="AF359">
            <v>0</v>
          </cell>
          <cell r="AG359">
            <v>0</v>
          </cell>
        </row>
        <row r="360">
          <cell r="X360" t="str">
            <v>1BDAB</v>
          </cell>
          <cell r="Y360" t="str">
            <v>NGL-4 PLANT  - COMMISSIONING - UTILITIES</v>
          </cell>
          <cell r="AF360">
            <v>0</v>
          </cell>
          <cell r="AG360">
            <v>0</v>
          </cell>
        </row>
        <row r="361">
          <cell r="X361" t="str">
            <v>1BDA-</v>
          </cell>
          <cell r="Y361" t="str">
            <v>SUBTOTAL - NGL-4 PLANT  - COMMISSIONING</v>
          </cell>
          <cell r="Z361">
            <v>0</v>
          </cell>
          <cell r="AA361" t="str">
            <v>N/A</v>
          </cell>
          <cell r="AB361">
            <v>0</v>
          </cell>
          <cell r="AC361">
            <v>0</v>
          </cell>
          <cell r="AD361">
            <v>0</v>
          </cell>
          <cell r="AE361">
            <v>0</v>
          </cell>
          <cell r="AF361">
            <v>0</v>
          </cell>
        </row>
        <row r="363">
          <cell r="X363" t="str">
            <v>1BDBA</v>
          </cell>
          <cell r="Y363" t="str">
            <v>NGL-4 PLANT  - STARTUP - PROCESS</v>
          </cell>
          <cell r="AF363">
            <v>0</v>
          </cell>
          <cell r="AG363">
            <v>0</v>
          </cell>
        </row>
        <row r="364">
          <cell r="X364" t="str">
            <v>1BDBB</v>
          </cell>
          <cell r="Y364" t="str">
            <v>NGL-4 PLANT  - STARTUP - UTILITIES</v>
          </cell>
          <cell r="AF364">
            <v>0</v>
          </cell>
          <cell r="AG364">
            <v>0</v>
          </cell>
        </row>
        <row r="365">
          <cell r="X365" t="str">
            <v>1BDB-</v>
          </cell>
          <cell r="Y365" t="str">
            <v>SUBTOTAL - NGL-4 PLANT  - STARTUP</v>
          </cell>
          <cell r="Z365">
            <v>0</v>
          </cell>
          <cell r="AA365" t="str">
            <v>N/A</v>
          </cell>
          <cell r="AB365">
            <v>0</v>
          </cell>
          <cell r="AC365">
            <v>0</v>
          </cell>
          <cell r="AD365">
            <v>0</v>
          </cell>
          <cell r="AE365">
            <v>0</v>
          </cell>
          <cell r="AF365">
            <v>0</v>
          </cell>
        </row>
        <row r="367">
          <cell r="X367" t="str">
            <v>1BDCA</v>
          </cell>
          <cell r="Y367" t="str">
            <v>NGL-4 PLANT  - TRAINING</v>
          </cell>
          <cell r="AF367">
            <v>0</v>
          </cell>
          <cell r="AG367">
            <v>0</v>
          </cell>
        </row>
        <row r="368">
          <cell r="X368" t="str">
            <v>1BDC-</v>
          </cell>
          <cell r="Y368" t="str">
            <v>SUBTOTAL - NGL-4 PLANT  - TRAINING</v>
          </cell>
          <cell r="Z368">
            <v>0</v>
          </cell>
          <cell r="AA368" t="str">
            <v>N/A</v>
          </cell>
          <cell r="AB368">
            <v>0</v>
          </cell>
          <cell r="AC368">
            <v>0</v>
          </cell>
          <cell r="AD368">
            <v>0</v>
          </cell>
          <cell r="AE368">
            <v>0</v>
          </cell>
          <cell r="AF368">
            <v>0</v>
          </cell>
        </row>
        <row r="382">
          <cell r="L382" t="str">
            <v>CYCLE &amp; LVL 1    NFGP UPGRADE</v>
          </cell>
          <cell r="M382" t="str">
            <v>WBS CODE</v>
          </cell>
          <cell r="N382" t="str">
            <v>DESCRIPTION</v>
          </cell>
          <cell r="O382" t="str">
            <v>QUANTITY</v>
          </cell>
          <cell r="P382" t="str">
            <v>UNITS</v>
          </cell>
          <cell r="Q382" t="str">
            <v>TOTAL MANHOURS</v>
          </cell>
          <cell r="R382" t="str">
            <v>TOTAL LABOR COST</v>
          </cell>
          <cell r="S382" t="str">
            <v>TOTAL MAT'L COST</v>
          </cell>
          <cell r="T382" t="str">
            <v>TOTAL S/C COST</v>
          </cell>
          <cell r="U382" t="str">
            <v>TOTAL COST</v>
          </cell>
          <cell r="W382" t="str">
            <v>LEVEL 2 NFGP UPGRADE PG.1</v>
          </cell>
          <cell r="X382" t="str">
            <v>WBS CODE</v>
          </cell>
          <cell r="Y382" t="str">
            <v>DESCRIPTION</v>
          </cell>
          <cell r="Z382" t="str">
            <v>QUANTITY</v>
          </cell>
          <cell r="AA382" t="str">
            <v>UNITS</v>
          </cell>
          <cell r="AB382" t="str">
            <v>TOTAL MANHOURS</v>
          </cell>
          <cell r="AC382" t="str">
            <v>TOTAL LABOR COST</v>
          </cell>
          <cell r="AD382" t="str">
            <v>TOTAL MAT'L COST</v>
          </cell>
          <cell r="AE382" t="str">
            <v>TOTAL S/C COST</v>
          </cell>
          <cell r="AF382" t="str">
            <v>TOTAL COST</v>
          </cell>
          <cell r="AG382">
            <v>0</v>
          </cell>
          <cell r="AH382" t="str">
            <v>LEVEL 3 NFGP UPGRADE PG 1</v>
          </cell>
          <cell r="AI382" t="str">
            <v>WBS CODE</v>
          </cell>
          <cell r="AJ382" t="str">
            <v>DESCRIPTION</v>
          </cell>
          <cell r="AK382" t="str">
            <v>QUANTITY</v>
          </cell>
          <cell r="AL382" t="str">
            <v>UNITS</v>
          </cell>
          <cell r="AM382" t="str">
            <v>TOTAL MANHOURS</v>
          </cell>
          <cell r="AN382" t="str">
            <v>TOTAL LABOR COST</v>
          </cell>
          <cell r="AO382" t="str">
            <v>TOTAL MAT'L COST</v>
          </cell>
          <cell r="AP382" t="str">
            <v>TOTAL S/C COST</v>
          </cell>
          <cell r="AQ382" t="str">
            <v>TOTAL COST</v>
          </cell>
          <cell r="AR382">
            <v>0</v>
          </cell>
        </row>
        <row r="384">
          <cell r="M384" t="str">
            <v>1CAA-</v>
          </cell>
          <cell r="N384" t="str">
            <v>NFGP UPGRADE  - DIRECT ENGINEERING</v>
          </cell>
          <cell r="Q384">
            <v>2582</v>
          </cell>
          <cell r="R384">
            <v>0</v>
          </cell>
          <cell r="S384">
            <v>0</v>
          </cell>
          <cell r="T384">
            <v>0</v>
          </cell>
          <cell r="U384">
            <v>0</v>
          </cell>
          <cell r="X384" t="str">
            <v>1CAAA</v>
          </cell>
          <cell r="Y384" t="str">
            <v>NFGP UPGRADE  - DIR. ENG.  PROCESS</v>
          </cell>
          <cell r="AF384">
            <v>0</v>
          </cell>
          <cell r="AG384">
            <v>0</v>
          </cell>
          <cell r="AH384">
            <v>0</v>
          </cell>
          <cell r="AI384" t="str">
            <v>1CBAAA</v>
          </cell>
          <cell r="AJ384" t="str">
            <v>FEED FLASH DRUM</v>
          </cell>
          <cell r="AK384">
            <v>0</v>
          </cell>
          <cell r="AL384">
            <v>0</v>
          </cell>
          <cell r="AM384">
            <v>0</v>
          </cell>
          <cell r="AN384">
            <v>0</v>
          </cell>
          <cell r="AO384">
            <v>0</v>
          </cell>
          <cell r="AP384">
            <v>0</v>
          </cell>
          <cell r="AQ384">
            <v>0</v>
          </cell>
          <cell r="AR384">
            <v>0</v>
          </cell>
        </row>
        <row r="385">
          <cell r="M385" t="str">
            <v>1CAH-</v>
          </cell>
          <cell r="N385" t="str">
            <v>NFGP UPGRADE  EQUIPMENT SPECIFICATION</v>
          </cell>
          <cell r="Q385">
            <v>490</v>
          </cell>
          <cell r="R385">
            <v>0</v>
          </cell>
          <cell r="S385">
            <v>0</v>
          </cell>
          <cell r="T385">
            <v>0</v>
          </cell>
          <cell r="U385">
            <v>0</v>
          </cell>
          <cell r="X385" t="str">
            <v>1CAAB</v>
          </cell>
          <cell r="Y385" t="str">
            <v>NFGP UPGRADE  - DIR. ENG.  PERMITS</v>
          </cell>
          <cell r="AF385">
            <v>0</v>
          </cell>
          <cell r="AG385">
            <v>0</v>
          </cell>
          <cell r="AH385">
            <v>0</v>
          </cell>
          <cell r="AI385" t="str">
            <v>1CBAAB</v>
          </cell>
          <cell r="AJ385" t="str">
            <v>EXPANDER OUTLET DRUM</v>
          </cell>
          <cell r="AK385">
            <v>0</v>
          </cell>
          <cell r="AL385">
            <v>0</v>
          </cell>
          <cell r="AM385">
            <v>0</v>
          </cell>
          <cell r="AN385">
            <v>0</v>
          </cell>
          <cell r="AO385">
            <v>0</v>
          </cell>
          <cell r="AP385">
            <v>0</v>
          </cell>
          <cell r="AQ385">
            <v>0</v>
          </cell>
          <cell r="AR385">
            <v>0</v>
          </cell>
        </row>
        <row r="386">
          <cell r="M386" t="str">
            <v>1CAI-</v>
          </cell>
          <cell r="N386" t="str">
            <v>NFGP UPGRADE  - ENGINEERING PROCUREMENT</v>
          </cell>
          <cell r="Q386">
            <v>0</v>
          </cell>
          <cell r="R386">
            <v>0</v>
          </cell>
          <cell r="S386">
            <v>0</v>
          </cell>
          <cell r="T386">
            <v>0</v>
          </cell>
          <cell r="U386">
            <v>0</v>
          </cell>
          <cell r="X386" t="str">
            <v>1CAAC</v>
          </cell>
          <cell r="Y386" t="str">
            <v>NFGP UPGRADE  - DIR. ENG.  CIVIL/STRUCTURAL</v>
          </cell>
          <cell r="AF386">
            <v>0</v>
          </cell>
          <cell r="AG386">
            <v>0</v>
          </cell>
          <cell r="AH386">
            <v>0</v>
          </cell>
          <cell r="AI386" t="str">
            <v>1CBAAC</v>
          </cell>
          <cell r="AJ386" t="str">
            <v>NGL-1 BOIL-OFF PROPANE RECEIVER</v>
          </cell>
          <cell r="AK386">
            <v>0</v>
          </cell>
          <cell r="AL386">
            <v>0</v>
          </cell>
          <cell r="AM386">
            <v>0</v>
          </cell>
          <cell r="AN386">
            <v>0</v>
          </cell>
          <cell r="AO386">
            <v>0</v>
          </cell>
          <cell r="AP386">
            <v>0</v>
          </cell>
          <cell r="AQ386">
            <v>0</v>
          </cell>
          <cell r="AR386">
            <v>0</v>
          </cell>
        </row>
        <row r="387">
          <cell r="M387" t="str">
            <v>1CAJ-</v>
          </cell>
          <cell r="N387" t="str">
            <v>NFGP UPGRADE  - INDIRECT ENGINEERING</v>
          </cell>
          <cell r="Q387">
            <v>0</v>
          </cell>
          <cell r="R387">
            <v>0</v>
          </cell>
          <cell r="S387">
            <v>0</v>
          </cell>
          <cell r="T387">
            <v>0</v>
          </cell>
          <cell r="U387">
            <v>0</v>
          </cell>
          <cell r="X387" t="str">
            <v>1CAAD</v>
          </cell>
          <cell r="Y387" t="str">
            <v>NFGP UPGRADE  - DIR. ENG.  MECHANICAL</v>
          </cell>
          <cell r="Z387">
            <v>20</v>
          </cell>
          <cell r="AA387" t="str">
            <v>EA</v>
          </cell>
          <cell r="AB387">
            <v>2582</v>
          </cell>
          <cell r="AF387">
            <v>0</v>
          </cell>
          <cell r="AG387">
            <v>0</v>
          </cell>
          <cell r="AH387">
            <v>0</v>
          </cell>
          <cell r="AI387" t="str">
            <v>1CBAAD</v>
          </cell>
          <cell r="AJ387" t="str">
            <v>NGL-2 PROPANE BOIL-OFF GAS COMPRESSOR SUCTION DRUM</v>
          </cell>
          <cell r="AK387">
            <v>0</v>
          </cell>
          <cell r="AL387">
            <v>0</v>
          </cell>
          <cell r="AM387">
            <v>0</v>
          </cell>
          <cell r="AN387">
            <v>0</v>
          </cell>
          <cell r="AO387">
            <v>0</v>
          </cell>
          <cell r="AP387">
            <v>0</v>
          </cell>
          <cell r="AQ387">
            <v>0</v>
          </cell>
          <cell r="AR387">
            <v>0</v>
          </cell>
        </row>
        <row r="388">
          <cell r="M388" t="str">
            <v>1CA--</v>
          </cell>
          <cell r="N388" t="str">
            <v>SUBTOTAL NFGP UPGRADE  - ENGINEERING/PROCUREMENT</v>
          </cell>
          <cell r="Q388">
            <v>3072</v>
          </cell>
          <cell r="R388">
            <v>0</v>
          </cell>
          <cell r="S388">
            <v>0</v>
          </cell>
          <cell r="T388">
            <v>0</v>
          </cell>
          <cell r="U388">
            <v>0</v>
          </cell>
          <cell r="X388" t="str">
            <v>1CAAE</v>
          </cell>
          <cell r="Y388" t="str">
            <v>NFGP UPGRADE  - DIR. ENG.  PIPING</v>
          </cell>
          <cell r="AF388">
            <v>0</v>
          </cell>
          <cell r="AG388">
            <v>0</v>
          </cell>
          <cell r="AH388">
            <v>0</v>
          </cell>
          <cell r="AI388" t="str">
            <v>1CBAAX</v>
          </cell>
          <cell r="AJ388" t="str">
            <v>OTHER PRESSURE VESSELS</v>
          </cell>
          <cell r="AK388">
            <v>0</v>
          </cell>
          <cell r="AL388">
            <v>0</v>
          </cell>
          <cell r="AM388">
            <v>0</v>
          </cell>
          <cell r="AN388">
            <v>0</v>
          </cell>
          <cell r="AO388">
            <v>0</v>
          </cell>
          <cell r="AP388">
            <v>0</v>
          </cell>
          <cell r="AQ388">
            <v>0</v>
          </cell>
          <cell r="AR388">
            <v>0</v>
          </cell>
        </row>
        <row r="389">
          <cell r="X389" t="str">
            <v>1CAAF</v>
          </cell>
          <cell r="Y389" t="str">
            <v>NFGP UPGRADE  - DIR. ENG.  ELECTRICAL</v>
          </cell>
          <cell r="AF389">
            <v>0</v>
          </cell>
          <cell r="AG389">
            <v>0</v>
          </cell>
          <cell r="AH389">
            <v>0</v>
          </cell>
          <cell r="AI389" t="str">
            <v>1CBAA-</v>
          </cell>
          <cell r="AJ389" t="str">
            <v>SUBTOTAL PRESSURE VESSELS</v>
          </cell>
          <cell r="AK389">
            <v>0</v>
          </cell>
          <cell r="AL389">
            <v>0</v>
          </cell>
          <cell r="AM389">
            <v>0</v>
          </cell>
          <cell r="AN389">
            <v>0</v>
          </cell>
          <cell r="AO389">
            <v>0</v>
          </cell>
          <cell r="AP389">
            <v>0</v>
          </cell>
          <cell r="AQ389">
            <v>0</v>
          </cell>
          <cell r="AR389">
            <v>0</v>
          </cell>
        </row>
        <row r="390">
          <cell r="M390" t="str">
            <v>1CBA-</v>
          </cell>
          <cell r="N390" t="str">
            <v>NFGP UPGRADE  - FAB/DELIVERY - MAJOR EQUIPMENT</v>
          </cell>
          <cell r="Q390">
            <v>0</v>
          </cell>
          <cell r="R390">
            <v>0</v>
          </cell>
          <cell r="S390">
            <v>0</v>
          </cell>
          <cell r="T390">
            <v>0</v>
          </cell>
          <cell r="U390">
            <v>0</v>
          </cell>
          <cell r="X390" t="str">
            <v>1CAAG</v>
          </cell>
          <cell r="Y390" t="str">
            <v>NFGP UPGRADE  - DIR. ENG.  INSTRUMENTATION</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M391" t="str">
            <v>1CBB-</v>
          </cell>
          <cell r="N391" t="str">
            <v>NFGP UPGRADE  - FAB/DELIVERY - BULKS</v>
          </cell>
          <cell r="Q391">
            <v>0</v>
          </cell>
          <cell r="R391">
            <v>0</v>
          </cell>
          <cell r="S391">
            <v>0</v>
          </cell>
          <cell r="T391">
            <v>0</v>
          </cell>
          <cell r="U391">
            <v>0</v>
          </cell>
          <cell r="X391" t="str">
            <v>1CAAH</v>
          </cell>
          <cell r="Y391" t="str">
            <v>NFGP UPGRADE  - DIR. ENG.  ARCHITECTURAL</v>
          </cell>
          <cell r="AF391">
            <v>0</v>
          </cell>
          <cell r="AG391">
            <v>0</v>
          </cell>
          <cell r="AH391">
            <v>0</v>
          </cell>
          <cell r="AI391" t="str">
            <v>1CBABA</v>
          </cell>
          <cell r="AJ391" t="str">
            <v>PREFLASH COLUMN</v>
          </cell>
          <cell r="AK391">
            <v>0</v>
          </cell>
          <cell r="AL391">
            <v>0</v>
          </cell>
          <cell r="AM391">
            <v>0</v>
          </cell>
          <cell r="AN391">
            <v>0</v>
          </cell>
          <cell r="AO391">
            <v>0</v>
          </cell>
          <cell r="AP391">
            <v>0</v>
          </cell>
          <cell r="AQ391">
            <v>0</v>
          </cell>
          <cell r="AR391">
            <v>0</v>
          </cell>
        </row>
        <row r="392">
          <cell r="M392" t="str">
            <v>1CBC-</v>
          </cell>
          <cell r="N392" t="str">
            <v>NFGP UPGRADE  - FAB/DELIVERY - ENGINEERING SPECIALTIES</v>
          </cell>
          <cell r="Q392">
            <v>0</v>
          </cell>
          <cell r="R392">
            <v>0</v>
          </cell>
          <cell r="S392">
            <v>0</v>
          </cell>
          <cell r="T392">
            <v>0</v>
          </cell>
          <cell r="U392">
            <v>0</v>
          </cell>
          <cell r="X392" t="str">
            <v>1CAAI</v>
          </cell>
          <cell r="Y392" t="str">
            <v>NFGP UPGRADE  - DIR. ENG.  PIPELINES</v>
          </cell>
          <cell r="Z392" t="str">
            <v>N/A</v>
          </cell>
          <cell r="AA392" t="str">
            <v>N/A</v>
          </cell>
          <cell r="AB392" t="str">
            <v>N/A</v>
          </cell>
          <cell r="AC392" t="str">
            <v>N/A</v>
          </cell>
          <cell r="AD392" t="str">
            <v>N/A</v>
          </cell>
          <cell r="AE392" t="str">
            <v>N/A</v>
          </cell>
          <cell r="AF392" t="str">
            <v>N/A</v>
          </cell>
          <cell r="AG392">
            <v>0</v>
          </cell>
          <cell r="AH392">
            <v>0</v>
          </cell>
          <cell r="AI392" t="str">
            <v>1CBABX</v>
          </cell>
          <cell r="AJ392" t="str">
            <v>OTHER COLUMNS</v>
          </cell>
          <cell r="AK392">
            <v>0</v>
          </cell>
          <cell r="AL392">
            <v>0</v>
          </cell>
          <cell r="AM392">
            <v>0</v>
          </cell>
          <cell r="AN392">
            <v>0</v>
          </cell>
          <cell r="AO392">
            <v>0</v>
          </cell>
          <cell r="AP392">
            <v>0</v>
          </cell>
          <cell r="AQ392">
            <v>0</v>
          </cell>
          <cell r="AR392">
            <v>0</v>
          </cell>
        </row>
        <row r="393">
          <cell r="M393" t="str">
            <v>1CB--</v>
          </cell>
          <cell r="N393" t="str">
            <v>SUBTOTAL NFGP UPGRADE  - FABRICATION/DELIVERY</v>
          </cell>
          <cell r="Q393">
            <v>0</v>
          </cell>
          <cell r="R393">
            <v>0</v>
          </cell>
          <cell r="S393">
            <v>0</v>
          </cell>
          <cell r="T393">
            <v>0</v>
          </cell>
          <cell r="U393">
            <v>0</v>
          </cell>
          <cell r="X393" t="str">
            <v>1CAA-</v>
          </cell>
          <cell r="Y393" t="str">
            <v>SUBTOTAL - NFGP UPGRADE  - DIRECT ENGINEERING</v>
          </cell>
          <cell r="Z393">
            <v>20</v>
          </cell>
          <cell r="AA393" t="str">
            <v>N/A</v>
          </cell>
          <cell r="AB393">
            <v>2582</v>
          </cell>
          <cell r="AC393">
            <v>0</v>
          </cell>
          <cell r="AD393">
            <v>0</v>
          </cell>
          <cell r="AE393">
            <v>0</v>
          </cell>
          <cell r="AF393">
            <v>0</v>
          </cell>
          <cell r="AG393">
            <v>0</v>
          </cell>
          <cell r="AH393">
            <v>0</v>
          </cell>
          <cell r="AI393" t="str">
            <v>1CBAB</v>
          </cell>
          <cell r="AJ393" t="str">
            <v>SUBTOTAL COLUMNS</v>
          </cell>
          <cell r="AK393">
            <v>0</v>
          </cell>
          <cell r="AL393">
            <v>0</v>
          </cell>
          <cell r="AM393">
            <v>0</v>
          </cell>
          <cell r="AN393">
            <v>0</v>
          </cell>
          <cell r="AO393">
            <v>0</v>
          </cell>
          <cell r="AP393">
            <v>0</v>
          </cell>
          <cell r="AQ393">
            <v>0</v>
          </cell>
          <cell r="AR393">
            <v>0</v>
          </cell>
        </row>
        <row r="395">
          <cell r="M395" t="str">
            <v>1CCA-</v>
          </cell>
          <cell r="N395" t="str">
            <v>NFGP UPGRADE  - CONSTRUCTION - CIVIL</v>
          </cell>
          <cell r="Q395">
            <v>0</v>
          </cell>
          <cell r="R395">
            <v>0</v>
          </cell>
          <cell r="S395">
            <v>0</v>
          </cell>
          <cell r="T395">
            <v>0</v>
          </cell>
          <cell r="U395">
            <v>0</v>
          </cell>
          <cell r="X395" t="str">
            <v>1CAHA</v>
          </cell>
          <cell r="Y395" t="str">
            <v>NFGP UPGRADE  - EQUIP. SPECS - PRESSURE VESSELS</v>
          </cell>
          <cell r="Z395">
            <v>4</v>
          </cell>
          <cell r="AA395" t="str">
            <v>EA</v>
          </cell>
          <cell r="AB395">
            <v>80</v>
          </cell>
          <cell r="AF395">
            <v>0</v>
          </cell>
          <cell r="AG395">
            <v>0</v>
          </cell>
          <cell r="AH395">
            <v>0</v>
          </cell>
          <cell r="AI395" t="str">
            <v>1CBAEA</v>
          </cell>
          <cell r="AJ395" t="str">
            <v>PREFLASH COLUMN TRANSFER PUMPS &amp; DRIVERS</v>
          </cell>
          <cell r="AK395">
            <v>0</v>
          </cell>
          <cell r="AL395">
            <v>0</v>
          </cell>
          <cell r="AM395">
            <v>0</v>
          </cell>
          <cell r="AN395">
            <v>0</v>
          </cell>
          <cell r="AO395">
            <v>0</v>
          </cell>
          <cell r="AP395">
            <v>0</v>
          </cell>
          <cell r="AQ395">
            <v>0</v>
          </cell>
          <cell r="AR395">
            <v>0</v>
          </cell>
        </row>
        <row r="396">
          <cell r="M396" t="str">
            <v>1CCB-</v>
          </cell>
          <cell r="N396" t="str">
            <v>NFGP UPGRADE  - CONSTRUCTION - MAJOR EQUIPMENT</v>
          </cell>
          <cell r="Q396">
            <v>48970</v>
          </cell>
          <cell r="R396">
            <v>859300</v>
          </cell>
          <cell r="S396">
            <v>0</v>
          </cell>
          <cell r="T396">
            <v>0</v>
          </cell>
          <cell r="U396">
            <v>859300</v>
          </cell>
          <cell r="X396" t="str">
            <v>1CAHB</v>
          </cell>
          <cell r="Y396" t="str">
            <v>NFGP UPGRADE  - EQUIP. SPECS - COLUMNS</v>
          </cell>
          <cell r="Z396">
            <v>1</v>
          </cell>
          <cell r="AA396" t="str">
            <v>EA</v>
          </cell>
          <cell r="AB396">
            <v>70</v>
          </cell>
          <cell r="AF396">
            <v>0</v>
          </cell>
          <cell r="AG396">
            <v>0</v>
          </cell>
          <cell r="AH396">
            <v>0</v>
          </cell>
          <cell r="AI396" t="str">
            <v>1CBAEB</v>
          </cell>
          <cell r="AJ396" t="str">
            <v>NGL-1 PROPANE  CHILLER PUMPS</v>
          </cell>
          <cell r="AK396">
            <v>0</v>
          </cell>
          <cell r="AL396">
            <v>0</v>
          </cell>
          <cell r="AM396">
            <v>0</v>
          </cell>
          <cell r="AN396">
            <v>0</v>
          </cell>
          <cell r="AO396">
            <v>0</v>
          </cell>
          <cell r="AP396">
            <v>0</v>
          </cell>
          <cell r="AQ396">
            <v>0</v>
          </cell>
          <cell r="AR396">
            <v>0</v>
          </cell>
        </row>
        <row r="397">
          <cell r="M397" t="str">
            <v>1CCC-</v>
          </cell>
          <cell r="N397" t="str">
            <v>NFGP UPGRADE  - CONSTRUCTION - BULKS</v>
          </cell>
          <cell r="Q397">
            <v>0</v>
          </cell>
          <cell r="R397">
            <v>0</v>
          </cell>
          <cell r="S397">
            <v>0</v>
          </cell>
          <cell r="T397">
            <v>0</v>
          </cell>
          <cell r="U397">
            <v>0</v>
          </cell>
          <cell r="X397" t="str">
            <v>1CAHC</v>
          </cell>
          <cell r="Y397" t="str">
            <v>NFGP UPGRADE  - EQUIP. SPECS - REACTORS</v>
          </cell>
          <cell r="Z397" t="str">
            <v>N/A</v>
          </cell>
          <cell r="AA397" t="str">
            <v>N/A</v>
          </cell>
          <cell r="AB397" t="str">
            <v>N/A</v>
          </cell>
          <cell r="AC397" t="str">
            <v>N/A</v>
          </cell>
          <cell r="AD397" t="str">
            <v>N/A</v>
          </cell>
          <cell r="AE397" t="str">
            <v>N/A</v>
          </cell>
          <cell r="AF397" t="str">
            <v>N/A</v>
          </cell>
          <cell r="AG397">
            <v>0</v>
          </cell>
          <cell r="AH397">
            <v>0</v>
          </cell>
          <cell r="AI397" t="str">
            <v>1CBAEC</v>
          </cell>
          <cell r="AJ397" t="str">
            <v>NGL-2 PROPANE  CHILLER PUMPS</v>
          </cell>
          <cell r="AK397">
            <v>0</v>
          </cell>
          <cell r="AL397">
            <v>0</v>
          </cell>
          <cell r="AM397">
            <v>0</v>
          </cell>
          <cell r="AN397">
            <v>0</v>
          </cell>
          <cell r="AO397">
            <v>0</v>
          </cell>
          <cell r="AP397">
            <v>0</v>
          </cell>
          <cell r="AQ397">
            <v>0</v>
          </cell>
          <cell r="AR397">
            <v>0</v>
          </cell>
        </row>
        <row r="398">
          <cell r="M398" t="str">
            <v>1CCD-</v>
          </cell>
          <cell r="N398" t="str">
            <v>NFGP UPGRADE  - CONSTRUCTION - CONSTRUCTION SPECIALTIES</v>
          </cell>
          <cell r="Q398">
            <v>0</v>
          </cell>
          <cell r="R398">
            <v>0</v>
          </cell>
          <cell r="S398">
            <v>0</v>
          </cell>
          <cell r="T398">
            <v>0</v>
          </cell>
          <cell r="U398">
            <v>0</v>
          </cell>
          <cell r="X398" t="str">
            <v>1CAHD</v>
          </cell>
          <cell r="Y398" t="str">
            <v>NFGP UPGRADE  - EQUIP. SPECS - FIELD ERECTED TANKS</v>
          </cell>
          <cell r="Z398" t="str">
            <v>N/A</v>
          </cell>
          <cell r="AA398" t="str">
            <v>N/A</v>
          </cell>
          <cell r="AB398" t="str">
            <v>N/A</v>
          </cell>
          <cell r="AC398" t="str">
            <v>N/A</v>
          </cell>
          <cell r="AD398" t="str">
            <v>N/A</v>
          </cell>
          <cell r="AE398" t="str">
            <v>N/A</v>
          </cell>
          <cell r="AF398" t="str">
            <v>N/A</v>
          </cell>
          <cell r="AG398">
            <v>0</v>
          </cell>
          <cell r="AH398">
            <v>0</v>
          </cell>
          <cell r="AI398" t="str">
            <v>1CBAEX</v>
          </cell>
          <cell r="AJ398" t="str">
            <v>OTHER PUMPS</v>
          </cell>
          <cell r="AK398">
            <v>0</v>
          </cell>
          <cell r="AL398">
            <v>0</v>
          </cell>
          <cell r="AM398">
            <v>0</v>
          </cell>
          <cell r="AN398">
            <v>0</v>
          </cell>
          <cell r="AO398">
            <v>0</v>
          </cell>
          <cell r="AP398">
            <v>0</v>
          </cell>
          <cell r="AQ398">
            <v>0</v>
          </cell>
          <cell r="AR398">
            <v>0</v>
          </cell>
        </row>
        <row r="399">
          <cell r="M399" t="str">
            <v>1CCE-</v>
          </cell>
          <cell r="N399" t="str">
            <v>NFGP UPGRADE  - CONSTRUCTION - OTHER DIRECT WORK</v>
          </cell>
          <cell r="Q399">
            <v>0</v>
          </cell>
          <cell r="R399">
            <v>0</v>
          </cell>
          <cell r="S399">
            <v>0</v>
          </cell>
          <cell r="T399">
            <v>0</v>
          </cell>
          <cell r="U399">
            <v>0</v>
          </cell>
          <cell r="X399" t="str">
            <v>1CAHE</v>
          </cell>
          <cell r="Y399" t="str">
            <v>NFGP UPGRADE  - EQUIP. SPECS - PUMPS</v>
          </cell>
          <cell r="Z399">
            <v>2</v>
          </cell>
          <cell r="AA399" t="str">
            <v>EA</v>
          </cell>
          <cell r="AB399">
            <v>100</v>
          </cell>
          <cell r="AF399">
            <v>0</v>
          </cell>
          <cell r="AG399">
            <v>0</v>
          </cell>
          <cell r="AH399">
            <v>0</v>
          </cell>
          <cell r="AI399" t="str">
            <v>1CBAE-</v>
          </cell>
          <cell r="AJ399" t="str">
            <v>SUBTOTAL PUMPS</v>
          </cell>
          <cell r="AK399">
            <v>0</v>
          </cell>
          <cell r="AL399">
            <v>0</v>
          </cell>
          <cell r="AM399">
            <v>0</v>
          </cell>
          <cell r="AN399">
            <v>0</v>
          </cell>
          <cell r="AO399">
            <v>0</v>
          </cell>
          <cell r="AP399">
            <v>0</v>
          </cell>
          <cell r="AQ399">
            <v>0</v>
          </cell>
          <cell r="AR399">
            <v>0</v>
          </cell>
        </row>
        <row r="400">
          <cell r="M400" t="str">
            <v>1CCF-</v>
          </cell>
          <cell r="N400" t="str">
            <v>NFGP UPGRADE  - CONSTRUCTION - INDIRECTS</v>
          </cell>
          <cell r="Q400">
            <v>0</v>
          </cell>
          <cell r="R400">
            <v>0</v>
          </cell>
          <cell r="S400">
            <v>0</v>
          </cell>
          <cell r="T400">
            <v>0</v>
          </cell>
          <cell r="U400">
            <v>0</v>
          </cell>
          <cell r="X400" t="str">
            <v>1CAHF</v>
          </cell>
          <cell r="Y400" t="str">
            <v>NFGP UPGRADE  - EQUIP. SPECS - HEAT EXCHANGERS - S &amp; T</v>
          </cell>
          <cell r="Z400">
            <v>9</v>
          </cell>
          <cell r="AA400" t="str">
            <v>EA</v>
          </cell>
          <cell r="AB400">
            <v>90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M401" t="str">
            <v>1CC--</v>
          </cell>
          <cell r="N401" t="str">
            <v>SUBTOTAL NFGP UPGRADE  - CONSTRUCTION</v>
          </cell>
          <cell r="Q401">
            <v>48970</v>
          </cell>
          <cell r="R401">
            <v>859300</v>
          </cell>
          <cell r="S401">
            <v>0</v>
          </cell>
          <cell r="T401">
            <v>0</v>
          </cell>
          <cell r="U401">
            <v>859300</v>
          </cell>
          <cell r="X401" t="str">
            <v>1CAHG</v>
          </cell>
          <cell r="Y401" t="str">
            <v>NFGP UPGRADE  - EQUIP. SPECS - HEAT EXCHANGERS - FINNED</v>
          </cell>
          <cell r="Z401" t="str">
            <v>N/A</v>
          </cell>
          <cell r="AA401" t="str">
            <v>N/A</v>
          </cell>
          <cell r="AB401" t="str">
            <v>N/A</v>
          </cell>
          <cell r="AC401" t="str">
            <v>N/A</v>
          </cell>
          <cell r="AD401" t="str">
            <v>N/A</v>
          </cell>
          <cell r="AE401" t="str">
            <v>N/A</v>
          </cell>
          <cell r="AF401" t="str">
            <v>N/A</v>
          </cell>
          <cell r="AG401">
            <v>0</v>
          </cell>
          <cell r="AH401">
            <v>0</v>
          </cell>
          <cell r="AI401" t="str">
            <v>1CBAFA</v>
          </cell>
          <cell r="AJ401" t="str">
            <v>HOT INLET GAS/GAS EXCHANGERS</v>
          </cell>
          <cell r="AK401">
            <v>0</v>
          </cell>
          <cell r="AL401">
            <v>0</v>
          </cell>
          <cell r="AM401">
            <v>0</v>
          </cell>
          <cell r="AN401">
            <v>0</v>
          </cell>
          <cell r="AO401">
            <v>0</v>
          </cell>
          <cell r="AP401">
            <v>0</v>
          </cell>
          <cell r="AQ401">
            <v>0</v>
          </cell>
          <cell r="AR401">
            <v>0</v>
          </cell>
        </row>
        <row r="402">
          <cell r="X402" t="str">
            <v>1CAHH</v>
          </cell>
          <cell r="Y402" t="str">
            <v>NFGP UPGRADE  - EQUIP. SPECS - EXTRUDERS</v>
          </cell>
          <cell r="Z402" t="str">
            <v>N/A</v>
          </cell>
          <cell r="AA402" t="str">
            <v>N/A</v>
          </cell>
          <cell r="AB402" t="str">
            <v>N/A</v>
          </cell>
          <cell r="AC402" t="str">
            <v>N/A</v>
          </cell>
          <cell r="AD402" t="str">
            <v>N/A</v>
          </cell>
          <cell r="AE402" t="str">
            <v>N/A</v>
          </cell>
          <cell r="AF402" t="str">
            <v>N/A</v>
          </cell>
          <cell r="AI402" t="str">
            <v>1CBAFB</v>
          </cell>
          <cell r="AJ402" t="str">
            <v>COOL INLET GAS/GAS EXCHANGERS</v>
          </cell>
          <cell r="AQ402">
            <v>0</v>
          </cell>
        </row>
        <row r="403">
          <cell r="M403" t="str">
            <v>1CDA-</v>
          </cell>
          <cell r="N403" t="str">
            <v>NFGP UPGRADE  - COMMISSIONING</v>
          </cell>
          <cell r="Q403">
            <v>0</v>
          </cell>
          <cell r="R403">
            <v>0</v>
          </cell>
          <cell r="S403">
            <v>0</v>
          </cell>
          <cell r="T403">
            <v>0</v>
          </cell>
          <cell r="U403">
            <v>0</v>
          </cell>
          <cell r="X403" t="str">
            <v>1CAHI</v>
          </cell>
          <cell r="Y403" t="str">
            <v>NFGP UPGRADE  - EQUIP. SPECS - COMPRESSORS</v>
          </cell>
          <cell r="Z403">
            <v>3</v>
          </cell>
          <cell r="AA403" t="str">
            <v>EA</v>
          </cell>
          <cell r="AB403">
            <v>100</v>
          </cell>
          <cell r="AF403">
            <v>0</v>
          </cell>
          <cell r="AG403">
            <v>0</v>
          </cell>
          <cell r="AH403">
            <v>0</v>
          </cell>
          <cell r="AI403" t="str">
            <v>1CBAFC</v>
          </cell>
          <cell r="AJ403" t="str">
            <v>PREFLASH COLUMN REBOILER</v>
          </cell>
          <cell r="AK403">
            <v>0</v>
          </cell>
          <cell r="AL403">
            <v>0</v>
          </cell>
          <cell r="AM403">
            <v>0</v>
          </cell>
          <cell r="AN403">
            <v>0</v>
          </cell>
          <cell r="AO403">
            <v>0</v>
          </cell>
          <cell r="AP403">
            <v>0</v>
          </cell>
          <cell r="AQ403">
            <v>0</v>
          </cell>
          <cell r="AR403">
            <v>0</v>
          </cell>
        </row>
        <row r="404">
          <cell r="M404" t="str">
            <v>1CDB-</v>
          </cell>
          <cell r="N404" t="str">
            <v>NFGP UPGRADE  -STARTUP</v>
          </cell>
          <cell r="Q404">
            <v>0</v>
          </cell>
          <cell r="R404">
            <v>0</v>
          </cell>
          <cell r="S404">
            <v>0</v>
          </cell>
          <cell r="T404">
            <v>0</v>
          </cell>
          <cell r="U404">
            <v>0</v>
          </cell>
          <cell r="X404" t="str">
            <v>1CAHJ</v>
          </cell>
          <cell r="Y404" t="str">
            <v>NFGP UPGRADE  - EQUIP. SPECS - GENERATORS</v>
          </cell>
          <cell r="Z404" t="str">
            <v>N/A</v>
          </cell>
          <cell r="AA404" t="str">
            <v>N/A</v>
          </cell>
          <cell r="AB404" t="str">
            <v>N/A</v>
          </cell>
          <cell r="AC404" t="str">
            <v>N/A</v>
          </cell>
          <cell r="AD404" t="str">
            <v>N/A</v>
          </cell>
          <cell r="AE404" t="str">
            <v>N/A</v>
          </cell>
          <cell r="AF404" t="str">
            <v>N/A</v>
          </cell>
          <cell r="AG404">
            <v>0</v>
          </cell>
          <cell r="AH404">
            <v>0</v>
          </cell>
          <cell r="AI404" t="str">
            <v>1CBAFD</v>
          </cell>
          <cell r="AJ404" t="str">
            <v>PREFLASH COLUMN SIDE REBOILER</v>
          </cell>
          <cell r="AK404">
            <v>0</v>
          </cell>
          <cell r="AL404">
            <v>0</v>
          </cell>
          <cell r="AM404">
            <v>0</v>
          </cell>
          <cell r="AN404">
            <v>0</v>
          </cell>
          <cell r="AO404">
            <v>0</v>
          </cell>
          <cell r="AP404">
            <v>0</v>
          </cell>
          <cell r="AQ404">
            <v>0</v>
          </cell>
          <cell r="AR404">
            <v>0</v>
          </cell>
        </row>
        <row r="405">
          <cell r="M405" t="str">
            <v>1CDC-</v>
          </cell>
          <cell r="N405" t="str">
            <v>NFGP UPGRADE  -TRAINING</v>
          </cell>
          <cell r="Q405">
            <v>0</v>
          </cell>
          <cell r="R405">
            <v>0</v>
          </cell>
          <cell r="S405">
            <v>0</v>
          </cell>
          <cell r="T405">
            <v>0</v>
          </cell>
          <cell r="U405">
            <v>0</v>
          </cell>
          <cell r="X405" t="str">
            <v>1CAHK</v>
          </cell>
          <cell r="Y405" t="str">
            <v>NFGP UPGRADE  - EQUIP. SPECS - MOTORS &amp; DRIVERS</v>
          </cell>
          <cell r="AF405">
            <v>0</v>
          </cell>
          <cell r="AG405">
            <v>0</v>
          </cell>
          <cell r="AH405">
            <v>0</v>
          </cell>
          <cell r="AI405" t="str">
            <v>1CBAFE</v>
          </cell>
          <cell r="AJ405" t="str">
            <v>INLET (PROPANE) GAS CHILLER</v>
          </cell>
          <cell r="AK405">
            <v>0</v>
          </cell>
          <cell r="AL405">
            <v>0</v>
          </cell>
          <cell r="AM405">
            <v>0</v>
          </cell>
          <cell r="AN405">
            <v>0</v>
          </cell>
          <cell r="AO405">
            <v>0</v>
          </cell>
          <cell r="AP405">
            <v>0</v>
          </cell>
          <cell r="AQ405">
            <v>0</v>
          </cell>
          <cell r="AR405">
            <v>0</v>
          </cell>
        </row>
        <row r="406">
          <cell r="M406" t="str">
            <v>1CD--</v>
          </cell>
          <cell r="N406" t="str">
            <v>SUBTOTAL NFGP UPGRADE  - COMMISSIONING, STARTUP &amp; TRAINING</v>
          </cell>
          <cell r="Q406">
            <v>0</v>
          </cell>
          <cell r="R406">
            <v>0</v>
          </cell>
          <cell r="S406">
            <v>0</v>
          </cell>
          <cell r="T406">
            <v>0</v>
          </cell>
          <cell r="U406">
            <v>0</v>
          </cell>
          <cell r="X406" t="str">
            <v>1CAHL</v>
          </cell>
          <cell r="Y406" t="str">
            <v>NFGP UPGRADE  - EQUIP. SPECS - FIRED EQUIPMENT</v>
          </cell>
          <cell r="Z406" t="str">
            <v>N/A</v>
          </cell>
          <cell r="AA406" t="str">
            <v>N/A</v>
          </cell>
          <cell r="AB406" t="str">
            <v>N/A</v>
          </cell>
          <cell r="AC406" t="str">
            <v>N/A</v>
          </cell>
          <cell r="AD406" t="str">
            <v>N/A</v>
          </cell>
          <cell r="AE406" t="str">
            <v>N/A</v>
          </cell>
          <cell r="AF406" t="str">
            <v>N/A</v>
          </cell>
          <cell r="AG406">
            <v>0</v>
          </cell>
          <cell r="AH406">
            <v>0</v>
          </cell>
          <cell r="AI406" t="str">
            <v>1CBAFF</v>
          </cell>
          <cell r="AJ406" t="str">
            <v>NGL-1 PROPANE BOIL-OFF CONDENSER</v>
          </cell>
          <cell r="AK406">
            <v>0</v>
          </cell>
          <cell r="AL406">
            <v>0</v>
          </cell>
          <cell r="AM406">
            <v>0</v>
          </cell>
          <cell r="AN406">
            <v>0</v>
          </cell>
          <cell r="AO406">
            <v>0</v>
          </cell>
          <cell r="AP406">
            <v>0</v>
          </cell>
          <cell r="AQ406">
            <v>0</v>
          </cell>
          <cell r="AR406">
            <v>0</v>
          </cell>
        </row>
        <row r="407">
          <cell r="X407" t="str">
            <v>1CAHM</v>
          </cell>
          <cell r="Y407" t="str">
            <v>NFGP UPGRADE  - EQUIP. SPECS - BLOWERS, FANS</v>
          </cell>
          <cell r="Z407" t="str">
            <v>N/A</v>
          </cell>
          <cell r="AA407" t="str">
            <v>N/A</v>
          </cell>
          <cell r="AB407" t="str">
            <v>N/A</v>
          </cell>
          <cell r="AC407" t="str">
            <v>N/A</v>
          </cell>
          <cell r="AD407" t="str">
            <v>N/A</v>
          </cell>
          <cell r="AE407" t="str">
            <v>N/A</v>
          </cell>
          <cell r="AF407" t="str">
            <v>N/A</v>
          </cell>
          <cell r="AI407" t="str">
            <v>1CBAFG</v>
          </cell>
          <cell r="AJ407" t="str">
            <v>NGL-2 PROPANE BOIL-OFF CONDENSER</v>
          </cell>
          <cell r="AQ407">
            <v>0</v>
          </cell>
        </row>
        <row r="408">
          <cell r="X408" t="str">
            <v>1CAHN</v>
          </cell>
          <cell r="Y408" t="str">
            <v>NFGP UPGRADE  - EQUIP. SPECS - FILTERS</v>
          </cell>
          <cell r="Z408" t="str">
            <v>N/A</v>
          </cell>
          <cell r="AA408" t="str">
            <v>N/A</v>
          </cell>
          <cell r="AB408" t="str">
            <v>N/A</v>
          </cell>
          <cell r="AC408" t="str">
            <v>N/A</v>
          </cell>
          <cell r="AD408" t="str">
            <v>N/A</v>
          </cell>
          <cell r="AE408" t="str">
            <v>N/A</v>
          </cell>
          <cell r="AF408" t="str">
            <v>N/A</v>
          </cell>
          <cell r="AI408" t="str">
            <v>1CBAFX</v>
          </cell>
          <cell r="AJ408" t="str">
            <v>OTHER HEAT EXCHANGERS - SHELL &amp; TUBE</v>
          </cell>
          <cell r="AQ408">
            <v>0</v>
          </cell>
        </row>
        <row r="409">
          <cell r="X409" t="str">
            <v>1CAHO</v>
          </cell>
          <cell r="Y409" t="str">
            <v>NFGP UPGRADE  - EQUIP. SPECS - FLARES</v>
          </cell>
          <cell r="Z409" t="str">
            <v>N/A</v>
          </cell>
          <cell r="AA409" t="str">
            <v>N/A</v>
          </cell>
          <cell r="AB409" t="str">
            <v>N/A</v>
          </cell>
          <cell r="AC409" t="str">
            <v>N/A</v>
          </cell>
          <cell r="AD409" t="str">
            <v>N/A</v>
          </cell>
          <cell r="AE409" t="str">
            <v>N/A</v>
          </cell>
          <cell r="AF409" t="str">
            <v>N/A</v>
          </cell>
          <cell r="AI409" t="str">
            <v>1CBAF-</v>
          </cell>
          <cell r="AJ409" t="str">
            <v>SUBTOTAL HEAT EXCHANGERS - SHELL &amp; TUBE</v>
          </cell>
          <cell r="AK409">
            <v>0</v>
          </cell>
          <cell r="AL409">
            <v>0</v>
          </cell>
          <cell r="AM409">
            <v>0</v>
          </cell>
          <cell r="AN409">
            <v>0</v>
          </cell>
          <cell r="AO409">
            <v>0</v>
          </cell>
          <cell r="AP409">
            <v>0</v>
          </cell>
          <cell r="AQ409">
            <v>0</v>
          </cell>
        </row>
        <row r="410">
          <cell r="X410" t="str">
            <v>1CAHP</v>
          </cell>
          <cell r="Y410" t="str">
            <v>NFGP UPGRADE  - EQUIP. SPECS - SOLIDS HANDLING EQUIPMENT</v>
          </cell>
          <cell r="Z410" t="str">
            <v>N/A</v>
          </cell>
          <cell r="AA410" t="str">
            <v>N/A</v>
          </cell>
          <cell r="AB410" t="str">
            <v>N/A</v>
          </cell>
          <cell r="AC410" t="str">
            <v>N/A</v>
          </cell>
          <cell r="AD410" t="str">
            <v>N/A</v>
          </cell>
          <cell r="AE410" t="str">
            <v>N/A</v>
          </cell>
          <cell r="AF410" t="str">
            <v>N/A</v>
          </cell>
        </row>
        <row r="411">
          <cell r="X411" t="str">
            <v>1CAHQ</v>
          </cell>
          <cell r="Y411" t="str">
            <v>NFGP UPGRADE  - EQUIP. SPECS - PACKAGED EQUIPMENT</v>
          </cell>
          <cell r="Z411" t="str">
            <v>N/A</v>
          </cell>
          <cell r="AA411" t="str">
            <v>N/A</v>
          </cell>
          <cell r="AB411" t="str">
            <v>N/A</v>
          </cell>
          <cell r="AC411" t="str">
            <v>N/A</v>
          </cell>
          <cell r="AD411" t="str">
            <v>N/A</v>
          </cell>
          <cell r="AE411" t="str">
            <v>N/A</v>
          </cell>
          <cell r="AF411" t="str">
            <v>N/A</v>
          </cell>
          <cell r="AI411" t="str">
            <v>1CBAIA</v>
          </cell>
          <cell r="AJ411" t="str">
            <v>BOOSTER COMPRESSOR W COOLERS &amp; SCRUBB</v>
          </cell>
          <cell r="AQ411">
            <v>0</v>
          </cell>
        </row>
        <row r="412">
          <cell r="X412" t="str">
            <v>1CAHX</v>
          </cell>
          <cell r="Y412" t="str">
            <v>NFGP UPGRADE  - EQUIP. SPECS - OTHERS</v>
          </cell>
          <cell r="Z412">
            <v>1</v>
          </cell>
          <cell r="AA412" t="str">
            <v>EA</v>
          </cell>
          <cell r="AB412">
            <v>50</v>
          </cell>
          <cell r="AF412">
            <v>0</v>
          </cell>
          <cell r="AG412">
            <v>0</v>
          </cell>
          <cell r="AH412">
            <v>0</v>
          </cell>
          <cell r="AI412" t="str">
            <v>1CBAIB</v>
          </cell>
          <cell r="AJ412" t="str">
            <v>MODIFICATION OF TURBO EXPANDER, COMPRESSOR AND GAS TURBINE</v>
          </cell>
          <cell r="AK412">
            <v>0</v>
          </cell>
          <cell r="AL412">
            <v>0</v>
          </cell>
          <cell r="AM412">
            <v>0</v>
          </cell>
          <cell r="AN412">
            <v>0</v>
          </cell>
          <cell r="AO412">
            <v>0</v>
          </cell>
          <cell r="AP412">
            <v>0</v>
          </cell>
          <cell r="AQ412">
            <v>0</v>
          </cell>
          <cell r="AR412">
            <v>0</v>
          </cell>
        </row>
        <row r="413">
          <cell r="X413" t="str">
            <v>1CAH-</v>
          </cell>
          <cell r="Y413" t="str">
            <v xml:space="preserve">SUBTOTAL - NFGP UPGRADE  - EQUIP. SPECS </v>
          </cell>
          <cell r="Z413">
            <v>20</v>
          </cell>
          <cell r="AA413" t="str">
            <v>N/A</v>
          </cell>
          <cell r="AB413">
            <v>490</v>
          </cell>
          <cell r="AC413">
            <v>0</v>
          </cell>
          <cell r="AD413">
            <v>0</v>
          </cell>
          <cell r="AE413">
            <v>0</v>
          </cell>
          <cell r="AF413">
            <v>0</v>
          </cell>
          <cell r="AI413" t="str">
            <v>1CBAIX</v>
          </cell>
          <cell r="AJ413" t="str">
            <v>OTHER  COMPRESSORS</v>
          </cell>
          <cell r="AQ413">
            <v>0</v>
          </cell>
        </row>
        <row r="414">
          <cell r="AI414" t="str">
            <v>1CBAI</v>
          </cell>
          <cell r="AJ414" t="str">
            <v>SUBTOTAL - COMPRESSORS</v>
          </cell>
          <cell r="AK414">
            <v>0</v>
          </cell>
          <cell r="AL414">
            <v>0</v>
          </cell>
          <cell r="AM414">
            <v>0</v>
          </cell>
          <cell r="AN414">
            <v>0</v>
          </cell>
          <cell r="AO414">
            <v>0</v>
          </cell>
          <cell r="AP414">
            <v>0</v>
          </cell>
          <cell r="AQ414">
            <v>0</v>
          </cell>
        </row>
        <row r="420">
          <cell r="W420" t="str">
            <v>LEVEL 2 NFGP UPGRADE PG.2</v>
          </cell>
          <cell r="X420" t="str">
            <v>WBS CODE</v>
          </cell>
          <cell r="Y420" t="str">
            <v>DESCRIPTION</v>
          </cell>
          <cell r="Z420" t="str">
            <v>QUANTITY</v>
          </cell>
          <cell r="AA420" t="str">
            <v>UNITS</v>
          </cell>
          <cell r="AB420" t="str">
            <v>TOTAL MANHOURS</v>
          </cell>
          <cell r="AC420" t="str">
            <v>TOTAL LABOR COST</v>
          </cell>
          <cell r="AD420" t="str">
            <v>TOTAL MAT'L COST</v>
          </cell>
          <cell r="AE420" t="str">
            <v>TOTAL S/C COST</v>
          </cell>
          <cell r="AF420" t="str">
            <v>TOTAL COST</v>
          </cell>
          <cell r="AH420" t="str">
            <v>LEVEL 3 NFGP UPGRADE PG 2</v>
          </cell>
          <cell r="AI420" t="str">
            <v>WBS CODE</v>
          </cell>
          <cell r="AJ420" t="str">
            <v>DESCRIPTION</v>
          </cell>
          <cell r="AK420" t="str">
            <v>QUANTITY</v>
          </cell>
          <cell r="AL420" t="str">
            <v>UNITS</v>
          </cell>
          <cell r="AM420" t="str">
            <v>TOTAL MANHOURS</v>
          </cell>
          <cell r="AN420" t="str">
            <v>TOTAL LABOR COST</v>
          </cell>
          <cell r="AO420" t="str">
            <v>TOTAL MAT'L COST</v>
          </cell>
          <cell r="AP420" t="str">
            <v>TOTAL S/C COST</v>
          </cell>
          <cell r="AQ420" t="str">
            <v>TOTAL COST</v>
          </cell>
        </row>
        <row r="422">
          <cell r="X422" t="str">
            <v>1CAIA</v>
          </cell>
          <cell r="Y422" t="str">
            <v>NFGP UPGRADE  - PROCUREMENT PRESSURE VESSELS</v>
          </cell>
          <cell r="AF422">
            <v>0</v>
          </cell>
          <cell r="AG422">
            <v>0</v>
          </cell>
          <cell r="AH422">
            <v>0</v>
          </cell>
          <cell r="AI422" t="str">
            <v>1CBAK?</v>
          </cell>
          <cell r="AJ422" t="str">
            <v>SPECIFY EQUIPMENT</v>
          </cell>
          <cell r="AK422">
            <v>0</v>
          </cell>
          <cell r="AL422">
            <v>0</v>
          </cell>
          <cell r="AM422">
            <v>0</v>
          </cell>
          <cell r="AN422">
            <v>0</v>
          </cell>
          <cell r="AO422">
            <v>0</v>
          </cell>
          <cell r="AP422">
            <v>0</v>
          </cell>
          <cell r="AQ422">
            <v>0</v>
          </cell>
          <cell r="AR422">
            <v>0</v>
          </cell>
        </row>
        <row r="423">
          <cell r="X423" t="str">
            <v>1CAIB</v>
          </cell>
          <cell r="Y423" t="str">
            <v>NFGP UPGRADE  - PROCUREMENT   COLUMNS</v>
          </cell>
          <cell r="AF423">
            <v>0</v>
          </cell>
          <cell r="AG423">
            <v>0</v>
          </cell>
          <cell r="AH423">
            <v>0</v>
          </cell>
          <cell r="AI423" t="str">
            <v>1CBAKX</v>
          </cell>
          <cell r="AJ423" t="str">
            <v>OTHER MOTORS &amp; DRIVERS</v>
          </cell>
          <cell r="AK423">
            <v>0</v>
          </cell>
          <cell r="AL423">
            <v>0</v>
          </cell>
          <cell r="AM423">
            <v>0</v>
          </cell>
          <cell r="AN423">
            <v>0</v>
          </cell>
          <cell r="AO423">
            <v>0</v>
          </cell>
          <cell r="AP423">
            <v>0</v>
          </cell>
          <cell r="AQ423">
            <v>0</v>
          </cell>
          <cell r="AR423">
            <v>0</v>
          </cell>
        </row>
        <row r="424">
          <cell r="X424" t="str">
            <v>1CAIC</v>
          </cell>
          <cell r="Y424" t="str">
            <v>NFGP UPGRADE  - PROCUREMENT   REACTORS</v>
          </cell>
          <cell r="Z424" t="str">
            <v>N/A</v>
          </cell>
          <cell r="AA424" t="str">
            <v>N/A</v>
          </cell>
          <cell r="AB424" t="str">
            <v>N/A</v>
          </cell>
          <cell r="AC424" t="str">
            <v>N/A</v>
          </cell>
          <cell r="AD424" t="str">
            <v>N/A</v>
          </cell>
          <cell r="AE424" t="str">
            <v>N/A</v>
          </cell>
          <cell r="AF424" t="str">
            <v>N/A</v>
          </cell>
          <cell r="AI424" t="str">
            <v>1CBAK-</v>
          </cell>
          <cell r="AJ424" t="str">
            <v>SUBTOTAL MOTORS &amp; DRIVERS</v>
          </cell>
          <cell r="AK424">
            <v>0</v>
          </cell>
          <cell r="AL424">
            <v>0</v>
          </cell>
          <cell r="AM424">
            <v>0</v>
          </cell>
          <cell r="AN424">
            <v>0</v>
          </cell>
          <cell r="AO424">
            <v>0</v>
          </cell>
          <cell r="AP424">
            <v>0</v>
          </cell>
          <cell r="AQ424">
            <v>0</v>
          </cell>
        </row>
        <row r="425">
          <cell r="X425" t="str">
            <v>1CAID</v>
          </cell>
          <cell r="Y425" t="str">
            <v>NFGP UPGRADE  - PROCUREMENT   FIELD ERECTED TANKS</v>
          </cell>
          <cell r="Z425" t="str">
            <v>N/A</v>
          </cell>
          <cell r="AA425" t="str">
            <v>N/A</v>
          </cell>
          <cell r="AB425" t="str">
            <v>N/A</v>
          </cell>
          <cell r="AC425" t="str">
            <v>N/A</v>
          </cell>
          <cell r="AD425" t="str">
            <v>N/A</v>
          </cell>
          <cell r="AE425" t="str">
            <v>N/A</v>
          </cell>
          <cell r="AF425" t="str">
            <v>N/A</v>
          </cell>
        </row>
        <row r="426">
          <cell r="X426" t="str">
            <v>1CAIE</v>
          </cell>
          <cell r="Y426" t="str">
            <v>NFGP UPGRADE  - PROCUREMENT   PUMPS</v>
          </cell>
          <cell r="AF426">
            <v>0</v>
          </cell>
          <cell r="AG426">
            <v>0</v>
          </cell>
          <cell r="AH426">
            <v>0</v>
          </cell>
          <cell r="AI426" t="str">
            <v>1CBAX?</v>
          </cell>
          <cell r="AJ426" t="str">
            <v>SPECIFY EQUIPMENT</v>
          </cell>
          <cell r="AK426">
            <v>0</v>
          </cell>
          <cell r="AL426">
            <v>0</v>
          </cell>
          <cell r="AM426">
            <v>0</v>
          </cell>
          <cell r="AN426">
            <v>0</v>
          </cell>
          <cell r="AO426">
            <v>0</v>
          </cell>
          <cell r="AP426">
            <v>0</v>
          </cell>
          <cell r="AQ426">
            <v>0</v>
          </cell>
          <cell r="AR426">
            <v>0</v>
          </cell>
        </row>
        <row r="427">
          <cell r="X427" t="str">
            <v>1CAIF</v>
          </cell>
          <cell r="Y427" t="str">
            <v>NFGP UPGRADE  - PROCUREMENT   HEAT EXCHANGERS - S &amp; T</v>
          </cell>
          <cell r="AF427">
            <v>0</v>
          </cell>
          <cell r="AG427">
            <v>0</v>
          </cell>
          <cell r="AH427">
            <v>0</v>
          </cell>
          <cell r="AI427" t="str">
            <v>1CBAXX</v>
          </cell>
          <cell r="AJ427" t="str">
            <v>OTHER EQUIPMENT</v>
          </cell>
          <cell r="AK427">
            <v>0</v>
          </cell>
          <cell r="AL427">
            <v>0</v>
          </cell>
          <cell r="AM427">
            <v>0</v>
          </cell>
          <cell r="AN427">
            <v>0</v>
          </cell>
          <cell r="AO427">
            <v>0</v>
          </cell>
          <cell r="AP427">
            <v>0</v>
          </cell>
          <cell r="AQ427">
            <v>0</v>
          </cell>
          <cell r="AR427">
            <v>0</v>
          </cell>
        </row>
        <row r="428">
          <cell r="X428" t="str">
            <v>1CAIG</v>
          </cell>
          <cell r="Y428" t="str">
            <v>NFGP UPGRADE  - PROCUREMENT   HEAT EXCHANGERS - FINNED</v>
          </cell>
          <cell r="Z428" t="str">
            <v>N/A</v>
          </cell>
          <cell r="AA428" t="str">
            <v>N/A</v>
          </cell>
          <cell r="AB428" t="str">
            <v>N/A</v>
          </cell>
          <cell r="AC428" t="str">
            <v>N/A</v>
          </cell>
          <cell r="AD428" t="str">
            <v>N/A</v>
          </cell>
          <cell r="AE428" t="str">
            <v>N/A</v>
          </cell>
          <cell r="AF428" t="str">
            <v>N/A</v>
          </cell>
          <cell r="AI428" t="str">
            <v>1CBAX-</v>
          </cell>
          <cell r="AJ428" t="str">
            <v>SUBTOTAL OTHER EQUIPMENT</v>
          </cell>
          <cell r="AK428">
            <v>0</v>
          </cell>
          <cell r="AL428">
            <v>0</v>
          </cell>
          <cell r="AM428">
            <v>0</v>
          </cell>
          <cell r="AN428">
            <v>0</v>
          </cell>
          <cell r="AO428">
            <v>0</v>
          </cell>
          <cell r="AP428">
            <v>0</v>
          </cell>
          <cell r="AQ428">
            <v>0</v>
          </cell>
        </row>
        <row r="429">
          <cell r="X429" t="str">
            <v>1CAIH</v>
          </cell>
          <cell r="Y429" t="str">
            <v>NFGP UPGRADE  - PROCUREMENT   EXTRUDERS</v>
          </cell>
          <cell r="Z429" t="str">
            <v>N/A</v>
          </cell>
          <cell r="AA429" t="str">
            <v>N/A</v>
          </cell>
          <cell r="AB429" t="str">
            <v>N/A</v>
          </cell>
          <cell r="AC429" t="str">
            <v>N/A</v>
          </cell>
          <cell r="AD429" t="str">
            <v>N/A</v>
          </cell>
          <cell r="AE429" t="str">
            <v>N/A</v>
          </cell>
          <cell r="AF429" t="str">
            <v>N/A</v>
          </cell>
        </row>
        <row r="430">
          <cell r="X430" t="str">
            <v>1CAII</v>
          </cell>
          <cell r="Y430" t="str">
            <v>NFGP UPGRADE  - PROCUREMENT   COMPRESSORS</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X431" t="str">
            <v>1CAIJ</v>
          </cell>
          <cell r="Y431" t="str">
            <v>NFGP UPGRADE  - PROCUREMENT   GENERATORS</v>
          </cell>
          <cell r="Z431" t="str">
            <v>N/A</v>
          </cell>
          <cell r="AA431" t="str">
            <v>N/A</v>
          </cell>
          <cell r="AB431" t="str">
            <v>N/A</v>
          </cell>
          <cell r="AC431" t="str">
            <v>N/A</v>
          </cell>
          <cell r="AD431" t="str">
            <v>N/A</v>
          </cell>
          <cell r="AE431" t="str">
            <v>N/A</v>
          </cell>
          <cell r="AF431" t="str">
            <v>N/A</v>
          </cell>
        </row>
        <row r="432">
          <cell r="X432" t="str">
            <v>1CAIK</v>
          </cell>
          <cell r="Y432" t="str">
            <v>NFGP UPGRADE  - PROCUREMENT   MOTORS &amp; DRIVERS</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X433" t="str">
            <v>1CAIL</v>
          </cell>
          <cell r="Y433" t="str">
            <v>NFGP UPGRADE  - PROCUREMENT   FIRED EQUIPMENT</v>
          </cell>
          <cell r="Z433" t="str">
            <v>N/A</v>
          </cell>
          <cell r="AA433" t="str">
            <v>N/A</v>
          </cell>
          <cell r="AB433" t="str">
            <v>N/A</v>
          </cell>
          <cell r="AC433" t="str">
            <v>N/A</v>
          </cell>
          <cell r="AD433" t="str">
            <v>N/A</v>
          </cell>
          <cell r="AE433" t="str">
            <v>N/A</v>
          </cell>
          <cell r="AF433" t="str">
            <v>N/A</v>
          </cell>
        </row>
        <row r="434">
          <cell r="X434" t="str">
            <v>1CAIM</v>
          </cell>
          <cell r="Y434" t="str">
            <v>NFGP UPGRADE  - PROCUREMENT   BLOWERS &amp; FANS</v>
          </cell>
          <cell r="Z434" t="str">
            <v>N/A</v>
          </cell>
          <cell r="AA434" t="str">
            <v>N/A</v>
          </cell>
          <cell r="AB434" t="str">
            <v>N/A</v>
          </cell>
          <cell r="AC434" t="str">
            <v>N/A</v>
          </cell>
          <cell r="AD434" t="str">
            <v>N/A</v>
          </cell>
          <cell r="AE434" t="str">
            <v>N/A</v>
          </cell>
          <cell r="AF434" t="str">
            <v>N/A</v>
          </cell>
        </row>
        <row r="435">
          <cell r="X435" t="str">
            <v>1CAIN</v>
          </cell>
          <cell r="Y435" t="str">
            <v>NFGP UPGRADE  - PROCUREMENT   FILTERS</v>
          </cell>
          <cell r="Z435" t="str">
            <v>N/A</v>
          </cell>
          <cell r="AA435" t="str">
            <v>N/A</v>
          </cell>
          <cell r="AB435" t="str">
            <v>N/A</v>
          </cell>
          <cell r="AC435" t="str">
            <v>N/A</v>
          </cell>
          <cell r="AD435" t="str">
            <v>N/A</v>
          </cell>
          <cell r="AE435" t="str">
            <v>N/A</v>
          </cell>
          <cell r="AF435" t="str">
            <v>N/A</v>
          </cell>
        </row>
        <row r="436">
          <cell r="X436" t="str">
            <v>1CAIO</v>
          </cell>
          <cell r="Y436" t="str">
            <v>NFGP UPGRADE  - PROCUREMENT   FLARES</v>
          </cell>
          <cell r="Z436" t="str">
            <v>N/A</v>
          </cell>
          <cell r="AA436" t="str">
            <v>N/A</v>
          </cell>
          <cell r="AB436" t="str">
            <v>N/A</v>
          </cell>
          <cell r="AC436" t="str">
            <v>N/A</v>
          </cell>
          <cell r="AD436" t="str">
            <v>N/A</v>
          </cell>
          <cell r="AE436" t="str">
            <v>N/A</v>
          </cell>
          <cell r="AF436" t="str">
            <v>N/A</v>
          </cell>
        </row>
        <row r="437">
          <cell r="X437" t="str">
            <v>1CAIP</v>
          </cell>
          <cell r="Y437" t="str">
            <v>NFGP UPGRADE  - PROCUREMENT   SOLIDS HANDLING EQUIPMENT</v>
          </cell>
          <cell r="Z437" t="str">
            <v>N/A</v>
          </cell>
          <cell r="AA437" t="str">
            <v>N/A</v>
          </cell>
          <cell r="AB437" t="str">
            <v>N/A</v>
          </cell>
          <cell r="AC437" t="str">
            <v>N/A</v>
          </cell>
          <cell r="AD437" t="str">
            <v>N/A</v>
          </cell>
          <cell r="AE437" t="str">
            <v>N/A</v>
          </cell>
          <cell r="AF437" t="str">
            <v>N/A</v>
          </cell>
        </row>
        <row r="438">
          <cell r="X438" t="str">
            <v>1CAIQ</v>
          </cell>
          <cell r="Y438" t="str">
            <v>NFGP UPGRADE  - PROCUREMENT   PACKAGED EQUIPMENT</v>
          </cell>
          <cell r="Z438" t="str">
            <v>N/A</v>
          </cell>
          <cell r="AA438" t="str">
            <v>N/A</v>
          </cell>
          <cell r="AB438" t="str">
            <v>N/A</v>
          </cell>
          <cell r="AC438" t="str">
            <v>N/A</v>
          </cell>
          <cell r="AD438" t="str">
            <v>N/A</v>
          </cell>
          <cell r="AE438" t="str">
            <v>N/A</v>
          </cell>
          <cell r="AF438" t="str">
            <v>N/A</v>
          </cell>
        </row>
        <row r="439">
          <cell r="X439" t="str">
            <v>1CAIT</v>
          </cell>
          <cell r="Y439" t="str">
            <v>NFGP UPGRADE  - PROCUREMENT   BULKS</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X440" t="str">
            <v>1CAIX</v>
          </cell>
          <cell r="Y440" t="str">
            <v>NFGP UPGRADE  - PROCUREMENT   OTHER</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X441" t="str">
            <v>1CAI-</v>
          </cell>
          <cell r="Y441" t="str">
            <v>SUBTOTAL - NFGP UPGRADE  - PROCUREMENT</v>
          </cell>
          <cell r="Z441">
            <v>0</v>
          </cell>
          <cell r="AA441" t="str">
            <v>N/A</v>
          </cell>
          <cell r="AB441">
            <v>0</v>
          </cell>
          <cell r="AC441">
            <v>0</v>
          </cell>
          <cell r="AD441">
            <v>0</v>
          </cell>
          <cell r="AE441">
            <v>0</v>
          </cell>
          <cell r="AF441">
            <v>0</v>
          </cell>
        </row>
        <row r="443">
          <cell r="X443" t="str">
            <v>1CAJA</v>
          </cell>
          <cell r="Y443" t="str">
            <v>NFGP UPGRADE  - INDIRECT ENG'G CONTRACTS</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X444" t="str">
            <v>1CAJB</v>
          </cell>
          <cell r="Y444" t="str">
            <v>NFGP UPGRADE  - INDIRECT ENG'G PROJECT MANAGEMENT</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X445" t="str">
            <v>1CAJC</v>
          </cell>
          <cell r="Y445" t="str">
            <v>NFGP UPGRADE  - INDIRECT ENG'G ENGINEERING/NON-TECH</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X446" t="str">
            <v>1CAJX</v>
          </cell>
          <cell r="Y446" t="str">
            <v>NFGP UPGRADE  - INDIRECT ENG'G OTHER</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X447" t="str">
            <v>1CAJ-</v>
          </cell>
          <cell r="Y447" t="str">
            <v>SUBTOTAL - NFGP UPGRADE  - INDIRECT ENGINEERING</v>
          </cell>
          <cell r="Z447">
            <v>0</v>
          </cell>
          <cell r="AA447" t="str">
            <v>N/A</v>
          </cell>
          <cell r="AB447">
            <v>0</v>
          </cell>
          <cell r="AC447">
            <v>0</v>
          </cell>
          <cell r="AD447">
            <v>0</v>
          </cell>
          <cell r="AE447">
            <v>0</v>
          </cell>
          <cell r="AF447">
            <v>0</v>
          </cell>
        </row>
        <row r="458">
          <cell r="W458" t="str">
            <v>LEVEL 2 NFGP UPGRADE PG.3</v>
          </cell>
          <cell r="X458" t="str">
            <v>WBS CODE</v>
          </cell>
          <cell r="Y458" t="str">
            <v>DESCRIPTION</v>
          </cell>
          <cell r="Z458" t="str">
            <v>QUANTITY</v>
          </cell>
          <cell r="AA458" t="str">
            <v>UNITS</v>
          </cell>
          <cell r="AB458" t="str">
            <v>TOTAL MANHOURS</v>
          </cell>
          <cell r="AC458" t="str">
            <v>TOTAL LABOR COST</v>
          </cell>
          <cell r="AD458" t="str">
            <v>TOTAL MAT'L COST</v>
          </cell>
          <cell r="AE458" t="str">
            <v>TOTAL S/C COST</v>
          </cell>
          <cell r="AF458" t="str">
            <v>TOTAL COST</v>
          </cell>
        </row>
        <row r="460">
          <cell r="X460" t="str">
            <v>1CBAA</v>
          </cell>
          <cell r="Y460" t="str">
            <v>NFGP UPGRADE  - FAB/DELIVERY MAJOR EQUIP PRESSURE VESSELS</v>
          </cell>
          <cell r="Z460">
            <v>0</v>
          </cell>
          <cell r="AA460">
            <v>0</v>
          </cell>
          <cell r="AB460">
            <v>0</v>
          </cell>
          <cell r="AC460">
            <v>0</v>
          </cell>
          <cell r="AD460">
            <v>0</v>
          </cell>
          <cell r="AE460">
            <v>0</v>
          </cell>
          <cell r="AF460">
            <v>0</v>
          </cell>
        </row>
        <row r="461">
          <cell r="X461" t="str">
            <v>1CBAB</v>
          </cell>
          <cell r="Y461" t="str">
            <v>NFGP UPGRADE  - FAB/DELIVERY MAJOR EQUIP COLUMNS</v>
          </cell>
          <cell r="Z461">
            <v>0</v>
          </cell>
          <cell r="AA461">
            <v>0</v>
          </cell>
          <cell r="AB461">
            <v>0</v>
          </cell>
          <cell r="AC461">
            <v>0</v>
          </cell>
          <cell r="AD461">
            <v>0</v>
          </cell>
          <cell r="AE461">
            <v>0</v>
          </cell>
          <cell r="AF461">
            <v>0</v>
          </cell>
        </row>
        <row r="462">
          <cell r="X462" t="str">
            <v>1CBAC</v>
          </cell>
          <cell r="Y462" t="str">
            <v>NFGP UPGRADE  - FAB/DELIVERY MAJOR EQUIP REACTORS</v>
          </cell>
          <cell r="Z462" t="str">
            <v>N/A</v>
          </cell>
          <cell r="AA462" t="str">
            <v>N/A</v>
          </cell>
          <cell r="AB462" t="str">
            <v>N/A</v>
          </cell>
          <cell r="AC462" t="str">
            <v>N/A</v>
          </cell>
          <cell r="AD462" t="str">
            <v>N/A</v>
          </cell>
          <cell r="AE462" t="str">
            <v>N/A</v>
          </cell>
          <cell r="AF462" t="str">
            <v>N/A</v>
          </cell>
        </row>
        <row r="463">
          <cell r="X463" t="str">
            <v>1CBAD</v>
          </cell>
          <cell r="Y463" t="str">
            <v>NFGP UPGRADE  - FAB/DELIVERY MAJOR EQUIP FIELD ERECTED TANKS</v>
          </cell>
          <cell r="Z463" t="str">
            <v>N/A</v>
          </cell>
          <cell r="AA463" t="str">
            <v>N/A</v>
          </cell>
          <cell r="AB463" t="str">
            <v>N/A</v>
          </cell>
          <cell r="AC463" t="str">
            <v>N/A</v>
          </cell>
          <cell r="AD463" t="str">
            <v>N/A</v>
          </cell>
          <cell r="AE463" t="str">
            <v>N/A</v>
          </cell>
          <cell r="AF463" t="str">
            <v>N/A</v>
          </cell>
        </row>
        <row r="464">
          <cell r="X464" t="str">
            <v>1CBAE</v>
          </cell>
          <cell r="Y464" t="str">
            <v>NFGP UPGRADE  - FAB/DELIVERY MAJOR EQUIP PUMPS</v>
          </cell>
          <cell r="Z464">
            <v>0</v>
          </cell>
          <cell r="AA464">
            <v>0</v>
          </cell>
          <cell r="AB464">
            <v>0</v>
          </cell>
          <cell r="AC464">
            <v>0</v>
          </cell>
          <cell r="AD464">
            <v>0</v>
          </cell>
          <cell r="AE464">
            <v>0</v>
          </cell>
          <cell r="AF464">
            <v>0</v>
          </cell>
        </row>
        <row r="465">
          <cell r="X465" t="str">
            <v>1CBAF</v>
          </cell>
          <cell r="Y465" t="str">
            <v>NFGP UPGRADE  - FAB/DELIVERY MAJOR EQUIP HEAT EXCHANGERS S&amp;T</v>
          </cell>
          <cell r="Z465">
            <v>0</v>
          </cell>
          <cell r="AA465">
            <v>0</v>
          </cell>
          <cell r="AB465">
            <v>0</v>
          </cell>
          <cell r="AC465">
            <v>0</v>
          </cell>
          <cell r="AD465">
            <v>0</v>
          </cell>
          <cell r="AE465">
            <v>0</v>
          </cell>
          <cell r="AF465">
            <v>0</v>
          </cell>
        </row>
        <row r="466">
          <cell r="X466" t="str">
            <v>1CBAG</v>
          </cell>
          <cell r="Y466" t="str">
            <v>NFGP UPGRADE  - FAB/DELIVERY MAJOR EQUIP HEAT EXCHANGERS FINNED</v>
          </cell>
          <cell r="Z466" t="str">
            <v>N/A</v>
          </cell>
          <cell r="AA466" t="str">
            <v>N/A</v>
          </cell>
          <cell r="AB466" t="str">
            <v>N/A</v>
          </cell>
          <cell r="AC466" t="str">
            <v>N/A</v>
          </cell>
          <cell r="AD466" t="str">
            <v>N/A</v>
          </cell>
          <cell r="AE466" t="str">
            <v>N/A</v>
          </cell>
          <cell r="AF466" t="str">
            <v>N/A</v>
          </cell>
        </row>
        <row r="467">
          <cell r="X467" t="str">
            <v>1CBAH</v>
          </cell>
          <cell r="Y467" t="str">
            <v>NFGP UPGRADE  - FAB/DELIVERY MAJOR EQUIP EXTRUDERS</v>
          </cell>
          <cell r="Z467" t="str">
            <v>N/A</v>
          </cell>
          <cell r="AA467" t="str">
            <v>N/A</v>
          </cell>
          <cell r="AB467" t="str">
            <v>N/A</v>
          </cell>
          <cell r="AC467" t="str">
            <v>N/A</v>
          </cell>
          <cell r="AD467" t="str">
            <v>N/A</v>
          </cell>
          <cell r="AE467" t="str">
            <v>N/A</v>
          </cell>
          <cell r="AF467" t="str">
            <v>N/A</v>
          </cell>
        </row>
        <row r="468">
          <cell r="X468" t="str">
            <v>1CBAI</v>
          </cell>
          <cell r="Y468" t="str">
            <v>NFGP UPGRADE  - FAB/DELIVERY MAJOR EQUIP COMPRESSORS</v>
          </cell>
          <cell r="Z468">
            <v>0</v>
          </cell>
          <cell r="AA468">
            <v>0</v>
          </cell>
          <cell r="AB468">
            <v>0</v>
          </cell>
          <cell r="AC468">
            <v>0</v>
          </cell>
          <cell r="AD468">
            <v>0</v>
          </cell>
          <cell r="AE468">
            <v>0</v>
          </cell>
          <cell r="AF468">
            <v>0</v>
          </cell>
        </row>
        <row r="469">
          <cell r="X469" t="str">
            <v>1CBAJ</v>
          </cell>
          <cell r="Y469" t="str">
            <v>NFGP UPGRADE  - FAB/DELIVERY MAJOR EQUIP GENERATORS</v>
          </cell>
          <cell r="Z469" t="str">
            <v>N/A</v>
          </cell>
          <cell r="AA469" t="str">
            <v>N/A</v>
          </cell>
          <cell r="AB469" t="str">
            <v>N/A</v>
          </cell>
          <cell r="AC469" t="str">
            <v>N/A</v>
          </cell>
          <cell r="AD469" t="str">
            <v>N/A</v>
          </cell>
          <cell r="AE469" t="str">
            <v>N/A</v>
          </cell>
          <cell r="AF469" t="str">
            <v>N/A</v>
          </cell>
        </row>
        <row r="470">
          <cell r="X470" t="str">
            <v>1CBAJ</v>
          </cell>
          <cell r="Y470" t="str">
            <v>NFGP UPGRADE  - FAB/DELIVERY MAJOR EQUIP MOTORS &amp; DRIVERS</v>
          </cell>
          <cell r="Z470">
            <v>0</v>
          </cell>
          <cell r="AA470">
            <v>0</v>
          </cell>
          <cell r="AB470">
            <v>0</v>
          </cell>
          <cell r="AC470">
            <v>0</v>
          </cell>
          <cell r="AD470">
            <v>0</v>
          </cell>
          <cell r="AE470">
            <v>0</v>
          </cell>
          <cell r="AF470">
            <v>0</v>
          </cell>
        </row>
        <row r="471">
          <cell r="X471" t="str">
            <v>1CBAL</v>
          </cell>
          <cell r="Y471" t="str">
            <v>NFGP UPGRADE  - FAB/DELIVERY MAJOR EQUIP FIRED EQUIPMENT</v>
          </cell>
          <cell r="Z471" t="str">
            <v>N/A</v>
          </cell>
          <cell r="AA471" t="str">
            <v>N/A</v>
          </cell>
          <cell r="AB471" t="str">
            <v>N/A</v>
          </cell>
          <cell r="AC471" t="str">
            <v>N/A</v>
          </cell>
          <cell r="AD471" t="str">
            <v>N/A</v>
          </cell>
          <cell r="AE471" t="str">
            <v>N/A</v>
          </cell>
          <cell r="AF471" t="str">
            <v>N/A</v>
          </cell>
        </row>
        <row r="472">
          <cell r="X472" t="str">
            <v>1CBAM</v>
          </cell>
          <cell r="Y472" t="str">
            <v>NFGP UPGRADE  - FAB/DELIVERY MAJOR EQUIP BLOWERS, FANS</v>
          </cell>
          <cell r="Z472" t="str">
            <v>N/A</v>
          </cell>
          <cell r="AA472" t="str">
            <v>N/A</v>
          </cell>
          <cell r="AB472" t="str">
            <v>N/A</v>
          </cell>
          <cell r="AC472" t="str">
            <v>N/A</v>
          </cell>
          <cell r="AD472" t="str">
            <v>N/A</v>
          </cell>
          <cell r="AE472" t="str">
            <v>N/A</v>
          </cell>
          <cell r="AF472" t="str">
            <v>N/A</v>
          </cell>
        </row>
        <row r="473">
          <cell r="X473" t="str">
            <v>1CBAN</v>
          </cell>
          <cell r="Y473" t="str">
            <v>NFGP UPGRADE  - FAB/DELIVERY MAJOR EQUIP FILTERS</v>
          </cell>
          <cell r="Z473" t="str">
            <v>N/A</v>
          </cell>
          <cell r="AA473" t="str">
            <v>N/A</v>
          </cell>
          <cell r="AB473" t="str">
            <v>N/A</v>
          </cell>
          <cell r="AC473" t="str">
            <v>N/A</v>
          </cell>
          <cell r="AD473" t="str">
            <v>N/A</v>
          </cell>
          <cell r="AE473" t="str">
            <v>N/A</v>
          </cell>
          <cell r="AF473" t="str">
            <v>N/A</v>
          </cell>
        </row>
        <row r="474">
          <cell r="X474" t="str">
            <v>1CBAO</v>
          </cell>
          <cell r="Y474" t="str">
            <v>NFGP UPGRADE  - FAB/DELIVERY MAJOR EQUIP FLARES</v>
          </cell>
          <cell r="Z474" t="str">
            <v>N/A</v>
          </cell>
          <cell r="AA474" t="str">
            <v>N/A</v>
          </cell>
          <cell r="AB474" t="str">
            <v>N/A</v>
          </cell>
          <cell r="AC474" t="str">
            <v>N/A</v>
          </cell>
          <cell r="AD474" t="str">
            <v>N/A</v>
          </cell>
          <cell r="AE474" t="str">
            <v>N/A</v>
          </cell>
          <cell r="AF474" t="str">
            <v>N/A</v>
          </cell>
        </row>
        <row r="475">
          <cell r="X475" t="str">
            <v>1CBAP</v>
          </cell>
          <cell r="Y475" t="str">
            <v>NFGP UPGRADE  - FAB/DELIVERY MAJOR EQUIP SOLIDS HANDLING EQUIPMENT</v>
          </cell>
          <cell r="Z475" t="str">
            <v>N/A</v>
          </cell>
          <cell r="AA475" t="str">
            <v>N/A</v>
          </cell>
          <cell r="AB475" t="str">
            <v>N/A</v>
          </cell>
          <cell r="AC475" t="str">
            <v>N/A</v>
          </cell>
          <cell r="AD475" t="str">
            <v>N/A</v>
          </cell>
          <cell r="AE475" t="str">
            <v>N/A</v>
          </cell>
          <cell r="AF475" t="str">
            <v>N/A</v>
          </cell>
        </row>
        <row r="476">
          <cell r="X476" t="str">
            <v>1CBAQ</v>
          </cell>
          <cell r="Y476" t="str">
            <v>NFGP UPGRADE  - FAB/DELIVERY MAJOR EQUIP PACKAGED EQUIPMENT</v>
          </cell>
          <cell r="Z476" t="str">
            <v>N/A</v>
          </cell>
          <cell r="AA476" t="str">
            <v>N/A</v>
          </cell>
          <cell r="AB476" t="str">
            <v>N/A</v>
          </cell>
          <cell r="AC476" t="str">
            <v>N/A</v>
          </cell>
          <cell r="AD476" t="str">
            <v>N/A</v>
          </cell>
          <cell r="AE476" t="str">
            <v>N/A</v>
          </cell>
          <cell r="AF476" t="str">
            <v>N/A</v>
          </cell>
        </row>
        <row r="477">
          <cell r="X477" t="str">
            <v>1CBAX</v>
          </cell>
          <cell r="Y477" t="str">
            <v>NFGP UPGRADE  - FAB/DELIVERY MAJOR EQUIP OTHER</v>
          </cell>
          <cell r="Z477">
            <v>0</v>
          </cell>
          <cell r="AA477">
            <v>0</v>
          </cell>
          <cell r="AB477">
            <v>0</v>
          </cell>
          <cell r="AC477">
            <v>0</v>
          </cell>
          <cell r="AD477">
            <v>0</v>
          </cell>
          <cell r="AE477">
            <v>0</v>
          </cell>
          <cell r="AF477">
            <v>0</v>
          </cell>
        </row>
        <row r="478">
          <cell r="X478" t="str">
            <v>1CBA-</v>
          </cell>
          <cell r="Y478" t="str">
            <v>SUBTOTAL - NFGP UPGRADE  - FAB/DELIVERY MAJOR EQUIP.</v>
          </cell>
          <cell r="Z478">
            <v>0</v>
          </cell>
          <cell r="AA478" t="str">
            <v>N/A</v>
          </cell>
          <cell r="AB478">
            <v>0</v>
          </cell>
          <cell r="AC478">
            <v>0</v>
          </cell>
          <cell r="AD478">
            <v>0</v>
          </cell>
          <cell r="AE478">
            <v>0</v>
          </cell>
          <cell r="AF478">
            <v>0</v>
          </cell>
        </row>
        <row r="480">
          <cell r="X480" t="str">
            <v>1CBBA</v>
          </cell>
          <cell r="Y480" t="str">
            <v>NFGP UPGRADE  - FAB/DELIVERY BULKS - IMBEDS</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X481" t="str">
            <v>1CBBB</v>
          </cell>
          <cell r="Y481" t="str">
            <v>NFGP UPGRADE  - FAB/DELIVERY BULKS - STRUCTURAL</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X482" t="str">
            <v>1CBBC</v>
          </cell>
          <cell r="Y482" t="str">
            <v>NFGP UPGRADE  - FAB/DELIVERY BULKS - PIPING</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row>
        <row r="483">
          <cell r="X483" t="str">
            <v>1CBBD</v>
          </cell>
          <cell r="Y483" t="str">
            <v>NFGP UPGRADE  - FAB/DELIVERY BULKS - ELECTRICAL</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X484" t="str">
            <v>1CBBE</v>
          </cell>
          <cell r="Y484" t="str">
            <v>NFGP UPGRADE  - FAB/DELIVERY BULKS - INSTRUMENTATION</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X485" t="str">
            <v>1CBBF</v>
          </cell>
          <cell r="Y485" t="str">
            <v>NFGP UPGRADE  - FAB/DELIVERY BULKS - PIPELINES</v>
          </cell>
          <cell r="Z485" t="str">
            <v>N/A</v>
          </cell>
          <cell r="AA485" t="str">
            <v>N/A</v>
          </cell>
          <cell r="AB485" t="str">
            <v>N/A</v>
          </cell>
          <cell r="AC485" t="str">
            <v>N/A</v>
          </cell>
          <cell r="AD485" t="str">
            <v>N/A</v>
          </cell>
          <cell r="AE485" t="str">
            <v>N/A</v>
          </cell>
          <cell r="AF485" t="str">
            <v>N/A</v>
          </cell>
        </row>
        <row r="486">
          <cell r="X486" t="str">
            <v>1CBB-</v>
          </cell>
          <cell r="Y486" t="str">
            <v>SUBTOTAL - NFGP UPGRADE  - FAB/DELIVERY BULKS</v>
          </cell>
          <cell r="Z486">
            <v>0</v>
          </cell>
          <cell r="AA486" t="str">
            <v>N/A</v>
          </cell>
          <cell r="AB486">
            <v>0</v>
          </cell>
          <cell r="AC486">
            <v>0</v>
          </cell>
          <cell r="AD486">
            <v>0</v>
          </cell>
          <cell r="AE486">
            <v>0</v>
          </cell>
          <cell r="AF486">
            <v>0</v>
          </cell>
        </row>
        <row r="488">
          <cell r="X488" t="str">
            <v>1CBCA</v>
          </cell>
          <cell r="Y488" t="str">
            <v>NFGP UPGRADE  - FAB/DELIVERY ENG. SPECIALTIES - BUILDINGS</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X489" t="str">
            <v>1CBCB</v>
          </cell>
          <cell r="Y489" t="str">
            <v>NFGP UPGRADE  - FAB/DELIVERY ENG. SPECIALTIES - GENERAL</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X490" t="str">
            <v>1CBC-</v>
          </cell>
          <cell r="Y490" t="str">
            <v>SUBTOTAL - NFGP UPGRADE  - FAB/DELIVERY ENGINEERING SPECIALTIES</v>
          </cell>
          <cell r="Z490">
            <v>0</v>
          </cell>
          <cell r="AA490" t="str">
            <v>N/A</v>
          </cell>
          <cell r="AB490">
            <v>0</v>
          </cell>
          <cell r="AC490">
            <v>0</v>
          </cell>
          <cell r="AD490">
            <v>0</v>
          </cell>
          <cell r="AE490">
            <v>0</v>
          </cell>
          <cell r="AF490">
            <v>0</v>
          </cell>
        </row>
        <row r="496">
          <cell r="W496" t="str">
            <v>LEVEL 2 NFGP UPGRADE PG.4</v>
          </cell>
          <cell r="X496" t="str">
            <v>WBS CODE</v>
          </cell>
          <cell r="Y496" t="str">
            <v>DESCRIPTION</v>
          </cell>
          <cell r="Z496" t="str">
            <v>QUANTITY</v>
          </cell>
          <cell r="AA496" t="str">
            <v>UNITS</v>
          </cell>
          <cell r="AB496" t="str">
            <v>TOTAL MANHOURS</v>
          </cell>
          <cell r="AC496" t="str">
            <v>TOTAL LABOR COST</v>
          </cell>
          <cell r="AD496" t="str">
            <v>TOTAL MAT'L COST</v>
          </cell>
          <cell r="AE496" t="str">
            <v>TOTAL S/C COST</v>
          </cell>
          <cell r="AF496" t="str">
            <v>TOTAL COST</v>
          </cell>
        </row>
        <row r="497">
          <cell r="X497" t="str">
            <v>1CCAA</v>
          </cell>
          <cell r="Y497" t="str">
            <v>NFGP UPGRADE  - CONSTRUCTION, CIVIL - SITE WORK</v>
          </cell>
          <cell r="AF497">
            <v>0</v>
          </cell>
          <cell r="AG497">
            <v>0</v>
          </cell>
        </row>
        <row r="498">
          <cell r="X498" t="str">
            <v>1CCAB</v>
          </cell>
          <cell r="Y498" t="str">
            <v>NFGP UPGRADE  - CONSTRUCTION, CIVIL - FOUNDATIONS</v>
          </cell>
          <cell r="AF498">
            <v>0</v>
          </cell>
          <cell r="AG498">
            <v>0</v>
          </cell>
        </row>
        <row r="499">
          <cell r="X499" t="str">
            <v>1CCA</v>
          </cell>
          <cell r="Y499" t="str">
            <v>SUBTOTAL - NFGP UPGRADE  - CONSTRUCTION, CIVIL</v>
          </cell>
          <cell r="Z499">
            <v>0</v>
          </cell>
          <cell r="AA499" t="str">
            <v>N/A</v>
          </cell>
          <cell r="AB499">
            <v>0</v>
          </cell>
          <cell r="AC499">
            <v>0</v>
          </cell>
          <cell r="AD499">
            <v>0</v>
          </cell>
          <cell r="AE499">
            <v>0</v>
          </cell>
          <cell r="AF499">
            <v>0</v>
          </cell>
        </row>
        <row r="501">
          <cell r="X501" t="str">
            <v>1CCBA</v>
          </cell>
          <cell r="Y501" t="str">
            <v>NFGP UPGRADE  - CONSTRUCTION, MAJOR EQUIPMENT - PRESSURE VESSELS</v>
          </cell>
          <cell r="Z501">
            <v>215.3</v>
          </cell>
          <cell r="AA501" t="str">
            <v>TON</v>
          </cell>
          <cell r="AB501">
            <v>3960</v>
          </cell>
          <cell r="AC501">
            <v>103400</v>
          </cell>
          <cell r="AF501">
            <v>103400</v>
          </cell>
          <cell r="AG501">
            <v>0</v>
          </cell>
        </row>
        <row r="502">
          <cell r="X502" t="str">
            <v>1CCBB</v>
          </cell>
          <cell r="Y502" t="str">
            <v>NFGP UPGRADE  - CONSTRUCTION, MAJOR EQUIPMENT - COLUMNS</v>
          </cell>
          <cell r="Z502">
            <v>181.1</v>
          </cell>
          <cell r="AA502" t="str">
            <v>TON</v>
          </cell>
          <cell r="AB502">
            <v>7370</v>
          </cell>
          <cell r="AC502">
            <v>130300</v>
          </cell>
          <cell r="AF502">
            <v>130300</v>
          </cell>
          <cell r="AG502">
            <v>0</v>
          </cell>
        </row>
        <row r="503">
          <cell r="X503" t="str">
            <v>1CCBC</v>
          </cell>
          <cell r="Y503" t="str">
            <v>NFGP UPGRADE  - CONSTRUCTION, MAJOR EQUIPMENT - REACTORS</v>
          </cell>
          <cell r="Z503" t="str">
            <v>N/A</v>
          </cell>
          <cell r="AA503" t="str">
            <v>N/A</v>
          </cell>
          <cell r="AB503" t="str">
            <v>N/A</v>
          </cell>
          <cell r="AC503" t="str">
            <v>N/A</v>
          </cell>
          <cell r="AD503" t="str">
            <v>N/A</v>
          </cell>
          <cell r="AE503" t="str">
            <v>N/A</v>
          </cell>
          <cell r="AF503" t="str">
            <v>N/A</v>
          </cell>
        </row>
        <row r="504">
          <cell r="X504" t="str">
            <v>1CCBD</v>
          </cell>
          <cell r="Y504" t="str">
            <v>NFGP UPGRADE  - CONSTRUCTION, MAJOR EQUIPMENT - FIELD ERECTED TANKS</v>
          </cell>
          <cell r="Z504" t="str">
            <v>N/A</v>
          </cell>
          <cell r="AA504" t="str">
            <v>N/A</v>
          </cell>
          <cell r="AB504" t="str">
            <v>N/A</v>
          </cell>
          <cell r="AC504" t="str">
            <v>N/A</v>
          </cell>
          <cell r="AD504" t="str">
            <v>N/A</v>
          </cell>
          <cell r="AE504" t="str">
            <v>N/A</v>
          </cell>
          <cell r="AF504" t="str">
            <v>N/A</v>
          </cell>
        </row>
        <row r="505">
          <cell r="X505" t="str">
            <v>1CCBE</v>
          </cell>
          <cell r="Y505" t="str">
            <v>NFGP UPGRADE  - CONSTRUCTION, MAJOR EQUIPMENT - PUMPS</v>
          </cell>
          <cell r="Z505">
            <v>11.8</v>
          </cell>
          <cell r="AA505" t="str">
            <v>TON</v>
          </cell>
          <cell r="AB505">
            <v>260</v>
          </cell>
          <cell r="AC505">
            <v>10900</v>
          </cell>
          <cell r="AF505">
            <v>10900</v>
          </cell>
          <cell r="AG505">
            <v>0</v>
          </cell>
        </row>
        <row r="506">
          <cell r="X506" t="str">
            <v>1CCBF</v>
          </cell>
          <cell r="Y506" t="str">
            <v>NFGP UPGRADE  - CONSTRUCTION, MAJOR EQUIPMENT - HEAT EXCHANGERS S&amp;T</v>
          </cell>
          <cell r="Z506">
            <v>712.9</v>
          </cell>
          <cell r="AA506" t="str">
            <v>TON</v>
          </cell>
          <cell r="AB506">
            <v>15880</v>
          </cell>
          <cell r="AC506">
            <v>418300</v>
          </cell>
          <cell r="AF506">
            <v>418300</v>
          </cell>
          <cell r="AG506">
            <v>0</v>
          </cell>
        </row>
        <row r="507">
          <cell r="X507" t="str">
            <v>1CCBG</v>
          </cell>
          <cell r="Y507" t="str">
            <v>NFGP UPGRADE  - CONSTRUCTION, MAJOR EQUIPMENT - HEAT EXCHANGERS FINNED</v>
          </cell>
          <cell r="Z507" t="str">
            <v>N/A</v>
          </cell>
          <cell r="AA507" t="str">
            <v>N/A</v>
          </cell>
          <cell r="AB507" t="str">
            <v>N/A</v>
          </cell>
          <cell r="AC507" t="str">
            <v>N/A</v>
          </cell>
          <cell r="AD507" t="str">
            <v>N/A</v>
          </cell>
          <cell r="AE507" t="str">
            <v>N/A</v>
          </cell>
          <cell r="AF507" t="str">
            <v>N/A</v>
          </cell>
        </row>
        <row r="508">
          <cell r="X508" t="str">
            <v>1CCBH</v>
          </cell>
          <cell r="Y508" t="str">
            <v>NFGP UPGRADE  - CONSTRUCTION, MAJOR EQUIPMENT - EXTRUDERS</v>
          </cell>
          <cell r="Z508" t="str">
            <v>N/A</v>
          </cell>
          <cell r="AA508" t="str">
            <v>N/A</v>
          </cell>
          <cell r="AB508" t="str">
            <v>N/A</v>
          </cell>
          <cell r="AC508" t="str">
            <v>N/A</v>
          </cell>
          <cell r="AD508" t="str">
            <v>N/A</v>
          </cell>
          <cell r="AE508" t="str">
            <v>N/A</v>
          </cell>
          <cell r="AF508" t="str">
            <v>N/A</v>
          </cell>
        </row>
        <row r="509">
          <cell r="X509" t="str">
            <v>1CCBI</v>
          </cell>
          <cell r="Y509" t="str">
            <v>NFGP UPGRADE  - CONSTRUCTION, MAJOR EQUIPMENT - COMPRESSORS</v>
          </cell>
          <cell r="Z509">
            <v>248.7</v>
          </cell>
          <cell r="AA509" t="str">
            <v>TON</v>
          </cell>
          <cell r="AB509">
            <v>17600</v>
          </cell>
          <cell r="AC509">
            <v>150200</v>
          </cell>
          <cell r="AF509">
            <v>150200</v>
          </cell>
          <cell r="AG509">
            <v>0</v>
          </cell>
        </row>
        <row r="510">
          <cell r="X510" t="str">
            <v>1CCBJ</v>
          </cell>
          <cell r="Y510" t="str">
            <v>NFGP UPGRADE  - CONSTRUCTION, MAJOR EQUIPMENT - GENERATORS</v>
          </cell>
          <cell r="Z510" t="str">
            <v>N/A</v>
          </cell>
          <cell r="AA510" t="str">
            <v>N/A</v>
          </cell>
          <cell r="AB510" t="str">
            <v>N/A</v>
          </cell>
          <cell r="AC510" t="str">
            <v>N/A</v>
          </cell>
          <cell r="AD510" t="str">
            <v>N/A</v>
          </cell>
          <cell r="AE510" t="str">
            <v>N/A</v>
          </cell>
          <cell r="AF510" t="str">
            <v>N/A</v>
          </cell>
        </row>
        <row r="511">
          <cell r="X511" t="str">
            <v>1CCBK</v>
          </cell>
          <cell r="Y511" t="str">
            <v>NFGP UPGRADE  - CONSTRUCTION, MAJOR EQUIPMENT - MOTORS &amp; DRIVERS</v>
          </cell>
          <cell r="AF511">
            <v>0</v>
          </cell>
          <cell r="AG511">
            <v>0</v>
          </cell>
        </row>
        <row r="512">
          <cell r="X512" t="str">
            <v>1CCBL</v>
          </cell>
          <cell r="Y512" t="str">
            <v>NFGP UPGRADE  - CONSTRUCTION, MAJOR EQUIPMENT - FIRED EQUIPMENT</v>
          </cell>
          <cell r="Z512" t="str">
            <v>N/A</v>
          </cell>
          <cell r="AA512" t="str">
            <v>N/A</v>
          </cell>
          <cell r="AB512" t="str">
            <v>N/A</v>
          </cell>
          <cell r="AC512" t="str">
            <v>N/A</v>
          </cell>
          <cell r="AD512" t="str">
            <v>N/A</v>
          </cell>
          <cell r="AE512" t="str">
            <v>N/A</v>
          </cell>
          <cell r="AF512" t="str">
            <v>N/A</v>
          </cell>
        </row>
        <row r="513">
          <cell r="X513" t="str">
            <v>1CCBM</v>
          </cell>
          <cell r="Y513" t="str">
            <v>NFGP UPGRADE  - CONSTRUCTION, MAJOR EQUIPMENT - BLOWERS, FANS</v>
          </cell>
          <cell r="Z513" t="str">
            <v>N/A</v>
          </cell>
          <cell r="AA513" t="str">
            <v>N/A</v>
          </cell>
          <cell r="AB513" t="str">
            <v>N/A</v>
          </cell>
          <cell r="AC513" t="str">
            <v>N/A</v>
          </cell>
          <cell r="AD513" t="str">
            <v>N/A</v>
          </cell>
          <cell r="AE513" t="str">
            <v>N/A</v>
          </cell>
          <cell r="AF513" t="str">
            <v>N/A</v>
          </cell>
        </row>
        <row r="514">
          <cell r="X514" t="str">
            <v>1CCBN</v>
          </cell>
          <cell r="Y514" t="str">
            <v>NFGP UPGRADE  - CONSTRUCTION, MAJOR EQUIPMENT - FILTERS</v>
          </cell>
          <cell r="Z514" t="str">
            <v>N/A</v>
          </cell>
          <cell r="AA514" t="str">
            <v>N/A</v>
          </cell>
          <cell r="AB514" t="str">
            <v>N/A</v>
          </cell>
          <cell r="AC514" t="str">
            <v>N/A</v>
          </cell>
          <cell r="AD514" t="str">
            <v>N/A</v>
          </cell>
          <cell r="AE514" t="str">
            <v>N/A</v>
          </cell>
          <cell r="AF514" t="str">
            <v>N/A</v>
          </cell>
        </row>
        <row r="515">
          <cell r="X515" t="str">
            <v>1CCBO</v>
          </cell>
          <cell r="Y515" t="str">
            <v>NFGP UPGRADE  - CONSTRUCTION, MAJOR EQUIPMENT - FLARES</v>
          </cell>
          <cell r="Z515" t="str">
            <v>N/A</v>
          </cell>
          <cell r="AA515" t="str">
            <v>N/A</v>
          </cell>
          <cell r="AB515" t="str">
            <v>N/A</v>
          </cell>
          <cell r="AC515" t="str">
            <v>N/A</v>
          </cell>
          <cell r="AD515" t="str">
            <v>N/A</v>
          </cell>
          <cell r="AE515" t="str">
            <v>N/A</v>
          </cell>
          <cell r="AF515" t="str">
            <v>N/A</v>
          </cell>
        </row>
        <row r="516">
          <cell r="X516" t="str">
            <v>1CCBP</v>
          </cell>
          <cell r="Y516" t="str">
            <v>NFGP UPGRADE  - CONSTRUCTION, MAJOR EQUIPMENT - SOLIDS HANDLING EQUIPMENT</v>
          </cell>
          <cell r="Z516" t="str">
            <v>N/A</v>
          </cell>
          <cell r="AA516" t="str">
            <v>N/A</v>
          </cell>
          <cell r="AB516" t="str">
            <v>N/A</v>
          </cell>
          <cell r="AC516" t="str">
            <v>N/A</v>
          </cell>
          <cell r="AD516" t="str">
            <v>N/A</v>
          </cell>
          <cell r="AE516" t="str">
            <v>N/A</v>
          </cell>
          <cell r="AF516" t="str">
            <v>N/A</v>
          </cell>
        </row>
        <row r="517">
          <cell r="X517" t="str">
            <v>1CCBQ</v>
          </cell>
          <cell r="Y517" t="str">
            <v>NFGP UPGRADE  - CONSTRUCTION, MAJOR EQUIPMENT - PACKAGED EQUIPMENT</v>
          </cell>
          <cell r="Z517" t="str">
            <v>N/A</v>
          </cell>
          <cell r="AA517" t="str">
            <v>N/A</v>
          </cell>
          <cell r="AB517" t="str">
            <v>N/A</v>
          </cell>
          <cell r="AC517" t="str">
            <v>N/A</v>
          </cell>
          <cell r="AD517" t="str">
            <v>N/A</v>
          </cell>
          <cell r="AE517" t="str">
            <v>N/A</v>
          </cell>
          <cell r="AF517" t="str">
            <v>N/A</v>
          </cell>
        </row>
        <row r="518">
          <cell r="X518" t="str">
            <v>1CCBX</v>
          </cell>
          <cell r="Y518" t="str">
            <v>NFGP UPGRADE  - CONSTRUCTION, MAJOR EQUIPMENT - OTHERS</v>
          </cell>
          <cell r="Z518">
            <v>21</v>
          </cell>
          <cell r="AA518" t="str">
            <v>TON</v>
          </cell>
          <cell r="AB518">
            <v>3900</v>
          </cell>
          <cell r="AC518">
            <v>46200</v>
          </cell>
          <cell r="AF518">
            <v>46200</v>
          </cell>
          <cell r="AG518">
            <v>0</v>
          </cell>
        </row>
        <row r="519">
          <cell r="X519" t="str">
            <v>1CCB-</v>
          </cell>
          <cell r="Y519" t="str">
            <v>SUBTOTAL - NFGP UPGRADE  - CONSTRUCTION, MAJOR EQUIPMENT</v>
          </cell>
          <cell r="Z519">
            <v>1390.8</v>
          </cell>
          <cell r="AA519" t="str">
            <v>N/A</v>
          </cell>
          <cell r="AB519">
            <v>48970</v>
          </cell>
          <cell r="AC519">
            <v>859300</v>
          </cell>
          <cell r="AD519">
            <v>0</v>
          </cell>
          <cell r="AE519">
            <v>0</v>
          </cell>
          <cell r="AF519">
            <v>859300</v>
          </cell>
        </row>
        <row r="521">
          <cell r="X521" t="str">
            <v>1CCCA</v>
          </cell>
          <cell r="Y521" t="str">
            <v>NFGP UPGRADE  - CONSTRUCTION, BULKS - STRUCTURAL</v>
          </cell>
          <cell r="AF521">
            <v>0</v>
          </cell>
          <cell r="AG521">
            <v>0</v>
          </cell>
        </row>
        <row r="522">
          <cell r="X522" t="str">
            <v>1CCCB</v>
          </cell>
          <cell r="Y522" t="str">
            <v>NFGP UPGRADE  - CONSTRUCTION, BULKS - PIPING</v>
          </cell>
          <cell r="AF522">
            <v>0</v>
          </cell>
          <cell r="AG522">
            <v>0</v>
          </cell>
        </row>
        <row r="523">
          <cell r="X523" t="str">
            <v>1CCCC</v>
          </cell>
          <cell r="Y523" t="str">
            <v>NFGP UPGRADE  - CONSTRUCTION, BULKS - ELECTRICAL</v>
          </cell>
          <cell r="AF523">
            <v>0</v>
          </cell>
          <cell r="AG523">
            <v>0</v>
          </cell>
        </row>
        <row r="524">
          <cell r="X524" t="str">
            <v>1CCCD</v>
          </cell>
          <cell r="Y524" t="str">
            <v>NFGP UPGRADE  - CONSTRUCTION, BULKS - INSTRUMENTATION</v>
          </cell>
          <cell r="AF524">
            <v>0</v>
          </cell>
          <cell r="AG524">
            <v>0</v>
          </cell>
        </row>
        <row r="525">
          <cell r="X525" t="str">
            <v>1CCCE</v>
          </cell>
          <cell r="Y525" t="str">
            <v>NFGP UPGRADE  - CONSTRUCTION, BULKS - PIPELINES</v>
          </cell>
          <cell r="Z525" t="str">
            <v>N/A</v>
          </cell>
          <cell r="AA525" t="str">
            <v>N/A</v>
          </cell>
          <cell r="AB525" t="str">
            <v>N/A</v>
          </cell>
          <cell r="AC525" t="str">
            <v>N/A</v>
          </cell>
          <cell r="AD525" t="str">
            <v>N/A</v>
          </cell>
          <cell r="AE525" t="str">
            <v>N/A</v>
          </cell>
          <cell r="AF525" t="str">
            <v>N/A</v>
          </cell>
        </row>
        <row r="526">
          <cell r="X526" t="str">
            <v>1CCC-</v>
          </cell>
          <cell r="Y526" t="str">
            <v xml:space="preserve">SUBTOTAL - NFGP UPGRADE  - CONSTRUCTION, BULKS </v>
          </cell>
          <cell r="Z526">
            <v>0</v>
          </cell>
          <cell r="AA526" t="str">
            <v>N/A</v>
          </cell>
          <cell r="AB526">
            <v>0</v>
          </cell>
          <cell r="AC526">
            <v>0</v>
          </cell>
          <cell r="AD526">
            <v>0</v>
          </cell>
          <cell r="AE526">
            <v>0</v>
          </cell>
          <cell r="AF526">
            <v>0</v>
          </cell>
        </row>
        <row r="528">
          <cell r="X528" t="str">
            <v>1CCDA</v>
          </cell>
          <cell r="Y528" t="str">
            <v>NFGP UPGRADE  - CONSTRUCTION SPECIALTIES - BUILDINGS</v>
          </cell>
          <cell r="AF528">
            <v>0</v>
          </cell>
          <cell r="AG528">
            <v>0</v>
          </cell>
        </row>
        <row r="529">
          <cell r="X529" t="str">
            <v>1CCDB</v>
          </cell>
          <cell r="Y529" t="str">
            <v>NFGP UPGRADE  - CONSTRUCTION SPECIALTIES - GENERAL</v>
          </cell>
          <cell r="AF529">
            <v>0</v>
          </cell>
          <cell r="AG529">
            <v>0</v>
          </cell>
        </row>
        <row r="530">
          <cell r="X530" t="str">
            <v>1CCD-</v>
          </cell>
          <cell r="Y530" t="str">
            <v>SUBTOTAL - NFGP UPGRADE  - CONSTRUCTION SPECIALTIES</v>
          </cell>
          <cell r="Z530">
            <v>0</v>
          </cell>
          <cell r="AA530" t="str">
            <v>N/A</v>
          </cell>
          <cell r="AB530">
            <v>0</v>
          </cell>
          <cell r="AC530">
            <v>0</v>
          </cell>
          <cell r="AD530">
            <v>0</v>
          </cell>
          <cell r="AE530">
            <v>0</v>
          </cell>
          <cell r="AF530">
            <v>0</v>
          </cell>
        </row>
        <row r="534">
          <cell r="W534" t="str">
            <v>LEVEL 2 NFGP UPGRADE PG 5</v>
          </cell>
          <cell r="X534" t="str">
            <v>WBS CODE</v>
          </cell>
          <cell r="Y534" t="str">
            <v>DESCRIPTION</v>
          </cell>
          <cell r="Z534" t="str">
            <v>QUANTITY</v>
          </cell>
          <cell r="AA534" t="str">
            <v>UNITS</v>
          </cell>
          <cell r="AB534" t="str">
            <v>TOTAL MANHOURS</v>
          </cell>
          <cell r="AC534" t="str">
            <v>TOTAL LABOR COST</v>
          </cell>
          <cell r="AD534" t="str">
            <v>TOTAL MAT'L COST</v>
          </cell>
          <cell r="AE534" t="str">
            <v>TOTAL S/C COST</v>
          </cell>
          <cell r="AF534" t="str">
            <v>TOTAL COST</v>
          </cell>
        </row>
        <row r="536">
          <cell r="X536" t="str">
            <v>1CCEA</v>
          </cell>
          <cell r="Y536" t="str">
            <v>NFGP UPGRADE  - CONSTRUCTION, OTHER DIRECT WORK - FIRE PROTECTION</v>
          </cell>
          <cell r="AF536">
            <v>0</v>
          </cell>
          <cell r="AG536">
            <v>0</v>
          </cell>
        </row>
        <row r="537">
          <cell r="X537" t="str">
            <v>1CCEB</v>
          </cell>
          <cell r="Y537" t="str">
            <v>NFGP UPGRADE  - CONSTRUCTION, OTHER DIRECT WORK - FIREPROOFING</v>
          </cell>
          <cell r="AF537">
            <v>0</v>
          </cell>
          <cell r="AG537">
            <v>0</v>
          </cell>
        </row>
        <row r="538">
          <cell r="X538" t="str">
            <v>1CCEC</v>
          </cell>
          <cell r="Y538" t="str">
            <v>NFGP UPGRADE  - CONSTRUCTION, OTHER DIRECT WORK - INSULATION</v>
          </cell>
          <cell r="AF538">
            <v>0</v>
          </cell>
          <cell r="AG538">
            <v>0</v>
          </cell>
        </row>
        <row r="539">
          <cell r="X539" t="str">
            <v>1CCED</v>
          </cell>
          <cell r="Y539" t="str">
            <v>NFGP UPGRADE  - CONSTRUCTION, OTHER DIRECT WORK - PAINTING</v>
          </cell>
          <cell r="AF539">
            <v>0</v>
          </cell>
          <cell r="AG539">
            <v>0</v>
          </cell>
        </row>
        <row r="540">
          <cell r="X540" t="str">
            <v>1CCEE</v>
          </cell>
          <cell r="Y540" t="str">
            <v>NFGP UPGRADE  - CONSTRUCTION, OTHER DIRECT WORK - SHUTDOWN</v>
          </cell>
          <cell r="AF540">
            <v>0</v>
          </cell>
          <cell r="AG540">
            <v>0</v>
          </cell>
        </row>
        <row r="541">
          <cell r="X541" t="str">
            <v>1CCEF</v>
          </cell>
          <cell r="Y541" t="str">
            <v>NFGP UPGRADE  - CONSTRUCTION, OTHER DIRECT WORK - PRE-COMMISSIONING</v>
          </cell>
          <cell r="AF541">
            <v>0</v>
          </cell>
          <cell r="AG541">
            <v>0</v>
          </cell>
        </row>
        <row r="542">
          <cell r="X542" t="str">
            <v>1CCEG</v>
          </cell>
          <cell r="Y542" t="str">
            <v>NFGP UPGRADE  - CONSTRUCTION, OTHER DIRECT WORK - ENVIRONMENTAL</v>
          </cell>
          <cell r="AF542">
            <v>0</v>
          </cell>
          <cell r="AG542">
            <v>0</v>
          </cell>
        </row>
        <row r="543">
          <cell r="X543" t="str">
            <v>1CCEX</v>
          </cell>
          <cell r="Y543" t="str">
            <v>NFGP UPGRADE  - CONSTRUCTION, OTHER DIRECT WORK - OTHER</v>
          </cell>
          <cell r="AF543">
            <v>0</v>
          </cell>
          <cell r="AG543">
            <v>0</v>
          </cell>
        </row>
        <row r="544">
          <cell r="X544" t="str">
            <v>1CCE</v>
          </cell>
          <cell r="Y544" t="str">
            <v xml:space="preserve">SUBTOTAL - NFGP UPGRADE  - CONSTRUCTION, OTHER DIRECT WORK - </v>
          </cell>
          <cell r="Z544">
            <v>0</v>
          </cell>
          <cell r="AA544" t="str">
            <v>N/A</v>
          </cell>
          <cell r="AB544">
            <v>0</v>
          </cell>
          <cell r="AC544">
            <v>0</v>
          </cell>
          <cell r="AD544">
            <v>0</v>
          </cell>
          <cell r="AE544">
            <v>0</v>
          </cell>
          <cell r="AF544">
            <v>0</v>
          </cell>
        </row>
        <row r="546">
          <cell r="X546" t="str">
            <v>1CCFA</v>
          </cell>
          <cell r="Y546" t="str">
            <v>NFGP UPGRADE  - CONSTRUCTION INDIRECTS</v>
          </cell>
          <cell r="AF546">
            <v>0</v>
          </cell>
          <cell r="AG546">
            <v>0</v>
          </cell>
        </row>
        <row r="547">
          <cell r="X547" t="str">
            <v>1CCF</v>
          </cell>
          <cell r="Y547" t="str">
            <v>SUBTOTAL - NFGP UPGRADE  - CONSTRUCTION INDIRECTS</v>
          </cell>
          <cell r="Z547">
            <v>0</v>
          </cell>
          <cell r="AA547" t="str">
            <v>N/A</v>
          </cell>
          <cell r="AB547">
            <v>0</v>
          </cell>
          <cell r="AC547">
            <v>0</v>
          </cell>
          <cell r="AD547">
            <v>0</v>
          </cell>
          <cell r="AE547">
            <v>0</v>
          </cell>
          <cell r="AF547">
            <v>0</v>
          </cell>
        </row>
        <row r="549">
          <cell r="X549" t="str">
            <v>1CDAA</v>
          </cell>
          <cell r="Y549" t="str">
            <v>NFGP UPGRADE  - COMMISSIONING - PROCESS</v>
          </cell>
          <cell r="AF549">
            <v>0</v>
          </cell>
          <cell r="AG549">
            <v>0</v>
          </cell>
        </row>
        <row r="550">
          <cell r="X550" t="str">
            <v>1CDAB</v>
          </cell>
          <cell r="Y550" t="str">
            <v>NFGP UPGRADE  - COMMISSIONING - UTILITIES</v>
          </cell>
          <cell r="AF550">
            <v>0</v>
          </cell>
          <cell r="AG550">
            <v>0</v>
          </cell>
        </row>
        <row r="551">
          <cell r="X551" t="str">
            <v>1CDA-</v>
          </cell>
          <cell r="Y551" t="str">
            <v>SUBTOTAL - NFGP UPGRADE  - COMMISSIONING</v>
          </cell>
          <cell r="Z551">
            <v>0</v>
          </cell>
          <cell r="AA551" t="str">
            <v>N/A</v>
          </cell>
          <cell r="AB551">
            <v>0</v>
          </cell>
          <cell r="AC551">
            <v>0</v>
          </cell>
          <cell r="AD551">
            <v>0</v>
          </cell>
          <cell r="AE551">
            <v>0</v>
          </cell>
          <cell r="AF551">
            <v>0</v>
          </cell>
        </row>
        <row r="553">
          <cell r="X553" t="str">
            <v>1CDBA</v>
          </cell>
          <cell r="Y553" t="str">
            <v>NFGP UPGRADE  - STARTUP - PROCESS</v>
          </cell>
          <cell r="AF553">
            <v>0</v>
          </cell>
          <cell r="AG553">
            <v>0</v>
          </cell>
        </row>
        <row r="554">
          <cell r="X554" t="str">
            <v>1CDBB</v>
          </cell>
          <cell r="Y554" t="str">
            <v>NFGP UPGRADE  - STARTUP - UTILITIES</v>
          </cell>
          <cell r="AF554">
            <v>0</v>
          </cell>
          <cell r="AG554">
            <v>0</v>
          </cell>
        </row>
        <row r="555">
          <cell r="X555" t="str">
            <v>1CDB-</v>
          </cell>
          <cell r="Y555" t="str">
            <v>SUBTOTAL - NFGP UPGRADE  - STARTUP</v>
          </cell>
          <cell r="Z555">
            <v>0</v>
          </cell>
          <cell r="AA555" t="str">
            <v>N/A</v>
          </cell>
          <cell r="AB555">
            <v>0</v>
          </cell>
          <cell r="AC555">
            <v>0</v>
          </cell>
          <cell r="AD555">
            <v>0</v>
          </cell>
          <cell r="AE555">
            <v>0</v>
          </cell>
          <cell r="AF555">
            <v>0</v>
          </cell>
        </row>
        <row r="557">
          <cell r="X557" t="str">
            <v>1CDCA</v>
          </cell>
          <cell r="Y557" t="str">
            <v>NFGP UPGRADE  - TRAINING</v>
          </cell>
          <cell r="AF557">
            <v>0</v>
          </cell>
          <cell r="AG557">
            <v>0</v>
          </cell>
        </row>
        <row r="558">
          <cell r="X558" t="str">
            <v>1CDC-</v>
          </cell>
          <cell r="Y558" t="str">
            <v>SUBTOTAL - NFGP UPGRADE  - TRAINING</v>
          </cell>
          <cell r="Z558">
            <v>0</v>
          </cell>
          <cell r="AA558" t="str">
            <v>N/A</v>
          </cell>
          <cell r="AB558">
            <v>0</v>
          </cell>
          <cell r="AC558">
            <v>0</v>
          </cell>
          <cell r="AD558">
            <v>0</v>
          </cell>
          <cell r="AE558">
            <v>0</v>
          </cell>
          <cell r="AF558">
            <v>0</v>
          </cell>
        </row>
        <row r="572">
          <cell r="L572" t="str">
            <v>CYCLE &amp; LVL 1    PIPELINE</v>
          </cell>
          <cell r="M572" t="str">
            <v>WBS CODE</v>
          </cell>
          <cell r="N572" t="str">
            <v>DESCRIPTION</v>
          </cell>
          <cell r="O572" t="str">
            <v>QUANTITY</v>
          </cell>
          <cell r="P572" t="str">
            <v>UNITS</v>
          </cell>
          <cell r="Q572" t="str">
            <v>TOTAL MANHOURS</v>
          </cell>
          <cell r="R572" t="str">
            <v>TOTAL LABOR COST</v>
          </cell>
          <cell r="S572" t="str">
            <v>TOTAL MAT'L COST</v>
          </cell>
          <cell r="T572" t="str">
            <v>TOTAL S/C COST</v>
          </cell>
          <cell r="U572" t="str">
            <v>TOTAL COST</v>
          </cell>
          <cell r="W572" t="str">
            <v>LEVEL 2 PIPELINE PG.1</v>
          </cell>
          <cell r="X572" t="str">
            <v>WBS CODE</v>
          </cell>
          <cell r="Y572" t="str">
            <v>DESCRIPTION</v>
          </cell>
          <cell r="Z572" t="str">
            <v>QUANTITY</v>
          </cell>
          <cell r="AA572" t="str">
            <v>UNITS</v>
          </cell>
          <cell r="AB572" t="str">
            <v>TOTAL MANHOURS</v>
          </cell>
          <cell r="AC572" t="str">
            <v>TOTAL LABOR COST</v>
          </cell>
          <cell r="AD572" t="str">
            <v>TOTAL MAT'L COST</v>
          </cell>
          <cell r="AE572" t="str">
            <v>TOTAL S/C COST</v>
          </cell>
          <cell r="AF572" t="str">
            <v>TOTAL COST</v>
          </cell>
          <cell r="AG572">
            <v>0</v>
          </cell>
          <cell r="AH572" t="str">
            <v>LEVEL 3 PIPELINE PG 1</v>
          </cell>
          <cell r="AI572" t="str">
            <v>WBS CODE</v>
          </cell>
          <cell r="AJ572" t="str">
            <v>DESCRIPTION</v>
          </cell>
          <cell r="AK572" t="str">
            <v>QUANTITY</v>
          </cell>
          <cell r="AL572" t="str">
            <v>UNITS</v>
          </cell>
          <cell r="AM572" t="str">
            <v>TOTAL MANHOURS</v>
          </cell>
          <cell r="AN572" t="str">
            <v>TOTAL LABOR COST</v>
          </cell>
          <cell r="AO572" t="str">
            <v>TOTAL MAT'L COST</v>
          </cell>
          <cell r="AP572" t="str">
            <v>TOTAL S/C COST</v>
          </cell>
          <cell r="AQ572" t="str">
            <v>TOTAL COST</v>
          </cell>
          <cell r="AR572">
            <v>0</v>
          </cell>
        </row>
        <row r="574">
          <cell r="M574" t="str">
            <v>1DAA-</v>
          </cell>
          <cell r="N574" t="str">
            <v>PIPELINE - DIRECT ENGINEERING</v>
          </cell>
          <cell r="Q574">
            <v>0</v>
          </cell>
          <cell r="R574">
            <v>0</v>
          </cell>
          <cell r="S574">
            <v>0</v>
          </cell>
          <cell r="T574">
            <v>0</v>
          </cell>
          <cell r="U574">
            <v>0</v>
          </cell>
          <cell r="X574" t="str">
            <v>1DAAA</v>
          </cell>
          <cell r="Y574" t="str">
            <v>PIPELINE - DIR. ENG.  PROCESS</v>
          </cell>
          <cell r="AF574">
            <v>0</v>
          </cell>
          <cell r="AG574">
            <v>0</v>
          </cell>
          <cell r="AH574">
            <v>0</v>
          </cell>
          <cell r="AI574" t="str">
            <v>1DAAIA</v>
          </cell>
          <cell r="AJ574" t="str">
            <v>SPECIFY PIPELINE</v>
          </cell>
          <cell r="AK574">
            <v>0</v>
          </cell>
          <cell r="AL574">
            <v>0</v>
          </cell>
          <cell r="AM574">
            <v>0</v>
          </cell>
          <cell r="AN574">
            <v>0</v>
          </cell>
          <cell r="AO574">
            <v>0</v>
          </cell>
          <cell r="AP574">
            <v>0</v>
          </cell>
          <cell r="AQ574">
            <v>0</v>
          </cell>
          <cell r="AR574">
            <v>0</v>
          </cell>
        </row>
        <row r="575">
          <cell r="M575" t="str">
            <v>1DAH-</v>
          </cell>
          <cell r="N575" t="str">
            <v>PIPELINE EQUIPMENT SPECIFICATION</v>
          </cell>
          <cell r="Q575">
            <v>0</v>
          </cell>
          <cell r="R575">
            <v>0</v>
          </cell>
          <cell r="S575">
            <v>0</v>
          </cell>
          <cell r="T575">
            <v>0</v>
          </cell>
          <cell r="U575">
            <v>0</v>
          </cell>
          <cell r="X575" t="str">
            <v>1DAAB</v>
          </cell>
          <cell r="Y575" t="str">
            <v>PIPELINE - DIR. ENG.  PERMITS</v>
          </cell>
          <cell r="AF575">
            <v>0</v>
          </cell>
          <cell r="AG575">
            <v>0</v>
          </cell>
          <cell r="AH575">
            <v>0</v>
          </cell>
          <cell r="AI575" t="str">
            <v>1DAAIX</v>
          </cell>
          <cell r="AJ575" t="str">
            <v>DIRECT ENG. -  OTHER PIPELINES</v>
          </cell>
          <cell r="AK575">
            <v>0</v>
          </cell>
          <cell r="AL575">
            <v>0</v>
          </cell>
          <cell r="AM575">
            <v>0</v>
          </cell>
          <cell r="AN575">
            <v>0</v>
          </cell>
          <cell r="AO575">
            <v>0</v>
          </cell>
          <cell r="AP575">
            <v>0</v>
          </cell>
          <cell r="AQ575">
            <v>0</v>
          </cell>
          <cell r="AR575">
            <v>0</v>
          </cell>
        </row>
        <row r="576">
          <cell r="M576" t="str">
            <v>1DAI-</v>
          </cell>
          <cell r="N576" t="str">
            <v>PIPELINE - ENGINEERING PROCUREMENT</v>
          </cell>
          <cell r="Q576">
            <v>0</v>
          </cell>
          <cell r="R576">
            <v>0</v>
          </cell>
          <cell r="S576">
            <v>0</v>
          </cell>
          <cell r="T576">
            <v>0</v>
          </cell>
          <cell r="U576">
            <v>0</v>
          </cell>
          <cell r="X576" t="str">
            <v>1DAAC</v>
          </cell>
          <cell r="Y576" t="str">
            <v>PIPELINE - DIR. ENG.  CIVIL/STRUCTURAL</v>
          </cell>
          <cell r="AF576">
            <v>0</v>
          </cell>
          <cell r="AG576">
            <v>0</v>
          </cell>
          <cell r="AH576">
            <v>0</v>
          </cell>
          <cell r="AI576" t="str">
            <v>1DAAI-</v>
          </cell>
          <cell r="AJ576" t="str">
            <v>SUBTOTAL - DIRECT ENGINEERING - PIPELINES</v>
          </cell>
          <cell r="AK576">
            <v>0</v>
          </cell>
          <cell r="AL576">
            <v>0</v>
          </cell>
          <cell r="AM576">
            <v>0</v>
          </cell>
          <cell r="AN576">
            <v>0</v>
          </cell>
          <cell r="AO576">
            <v>0</v>
          </cell>
          <cell r="AP576">
            <v>0</v>
          </cell>
          <cell r="AQ576">
            <v>0</v>
          </cell>
          <cell r="AR576">
            <v>0</v>
          </cell>
        </row>
        <row r="577">
          <cell r="M577" t="str">
            <v>1DAJ-</v>
          </cell>
          <cell r="N577" t="str">
            <v>PIPELINE - INDIRECT ENGINEERING</v>
          </cell>
          <cell r="Q577">
            <v>0</v>
          </cell>
          <cell r="R577">
            <v>0</v>
          </cell>
          <cell r="S577">
            <v>0</v>
          </cell>
          <cell r="T577">
            <v>0</v>
          </cell>
          <cell r="U577">
            <v>0</v>
          </cell>
          <cell r="X577" t="str">
            <v>1DAAD</v>
          </cell>
          <cell r="Y577" t="str">
            <v>PIPELINE - DIR. ENG.  MECHANICAL</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M578" t="str">
            <v>1DA--</v>
          </cell>
          <cell r="N578" t="str">
            <v>SUBTOTAL PIPELINE - ENGINEERING/PROCUREMENT</v>
          </cell>
          <cell r="Q578">
            <v>0</v>
          </cell>
          <cell r="R578">
            <v>0</v>
          </cell>
          <cell r="S578">
            <v>0</v>
          </cell>
          <cell r="T578">
            <v>0</v>
          </cell>
          <cell r="U578">
            <v>0</v>
          </cell>
          <cell r="X578" t="str">
            <v>1DAAE</v>
          </cell>
          <cell r="Y578" t="str">
            <v>PIPELINE - DIR. ENG.  PIPING</v>
          </cell>
          <cell r="AF578">
            <v>0</v>
          </cell>
          <cell r="AG578">
            <v>0</v>
          </cell>
          <cell r="AH578">
            <v>0</v>
          </cell>
          <cell r="AI578" t="str">
            <v>1DBAXA</v>
          </cell>
          <cell r="AJ578" t="str">
            <v>PIG LAUNCHING AND RECEIVING PACKAGES</v>
          </cell>
          <cell r="AK578">
            <v>0</v>
          </cell>
          <cell r="AL578">
            <v>0</v>
          </cell>
          <cell r="AM578">
            <v>0</v>
          </cell>
          <cell r="AN578">
            <v>0</v>
          </cell>
          <cell r="AO578">
            <v>0</v>
          </cell>
          <cell r="AP578">
            <v>0</v>
          </cell>
          <cell r="AQ578">
            <v>0</v>
          </cell>
          <cell r="AR578">
            <v>0</v>
          </cell>
        </row>
        <row r="579">
          <cell r="X579" t="str">
            <v>1DAAF</v>
          </cell>
          <cell r="Y579" t="str">
            <v>PIPELINE - DIR. ENG.  ELECTRICAL</v>
          </cell>
          <cell r="AF579">
            <v>0</v>
          </cell>
          <cell r="AG579">
            <v>0</v>
          </cell>
          <cell r="AH579">
            <v>0</v>
          </cell>
          <cell r="AI579" t="str">
            <v>1DBAXB</v>
          </cell>
          <cell r="AJ579" t="str">
            <v>LINE BREAK VALVES</v>
          </cell>
          <cell r="AK579">
            <v>0</v>
          </cell>
          <cell r="AL579">
            <v>0</v>
          </cell>
          <cell r="AM579">
            <v>0</v>
          </cell>
          <cell r="AN579">
            <v>0</v>
          </cell>
          <cell r="AO579">
            <v>0</v>
          </cell>
          <cell r="AP579">
            <v>0</v>
          </cell>
          <cell r="AQ579">
            <v>0</v>
          </cell>
          <cell r="AR579">
            <v>0</v>
          </cell>
        </row>
        <row r="580">
          <cell r="M580" t="str">
            <v>1DBA-</v>
          </cell>
          <cell r="N580" t="str">
            <v>PIPELINE - FAB/DELIVERY - MAJOR EQUIPMENT</v>
          </cell>
          <cell r="Q580">
            <v>0</v>
          </cell>
          <cell r="R580">
            <v>0</v>
          </cell>
          <cell r="S580">
            <v>0</v>
          </cell>
          <cell r="T580">
            <v>0</v>
          </cell>
          <cell r="U580">
            <v>0</v>
          </cell>
          <cell r="X580" t="str">
            <v>1DAAG</v>
          </cell>
          <cell r="Y580" t="str">
            <v>PIPELINE - DIR. ENG.  INSTRUMENTATION</v>
          </cell>
          <cell r="AF580">
            <v>0</v>
          </cell>
          <cell r="AG580">
            <v>0</v>
          </cell>
          <cell r="AH580">
            <v>0</v>
          </cell>
          <cell r="AI580" t="str">
            <v>1DBAXC</v>
          </cell>
          <cell r="AJ580" t="str">
            <v>CHEMICAL INJECTION SYSTEM ICL. CHEM TRANSFER PUMP</v>
          </cell>
          <cell r="AK580">
            <v>0</v>
          </cell>
          <cell r="AL580">
            <v>0</v>
          </cell>
          <cell r="AM580">
            <v>0</v>
          </cell>
          <cell r="AN580">
            <v>0</v>
          </cell>
          <cell r="AO580">
            <v>0</v>
          </cell>
          <cell r="AP580">
            <v>0</v>
          </cell>
          <cell r="AQ580">
            <v>0</v>
          </cell>
          <cell r="AR580">
            <v>0</v>
          </cell>
        </row>
        <row r="581">
          <cell r="M581" t="str">
            <v>1DBB-</v>
          </cell>
          <cell r="N581" t="str">
            <v>PIPELINE - FAB/DELIVERY - BULKS</v>
          </cell>
          <cell r="Q581">
            <v>0</v>
          </cell>
          <cell r="R581">
            <v>0</v>
          </cell>
          <cell r="S581">
            <v>0</v>
          </cell>
          <cell r="T581">
            <v>0</v>
          </cell>
          <cell r="U581">
            <v>0</v>
          </cell>
          <cell r="X581" t="str">
            <v>1DAAH</v>
          </cell>
          <cell r="Y581" t="str">
            <v>PIPELINE - DIR. ENG.  ARCHITECTURAL</v>
          </cell>
          <cell r="AF581">
            <v>0</v>
          </cell>
          <cell r="AG581">
            <v>0</v>
          </cell>
          <cell r="AH581">
            <v>0</v>
          </cell>
          <cell r="AI581" t="str">
            <v>1DBAXD</v>
          </cell>
          <cell r="AJ581" t="str">
            <v>CORROSION MONITORING SYSTEM</v>
          </cell>
          <cell r="AK581">
            <v>0</v>
          </cell>
          <cell r="AL581">
            <v>0</v>
          </cell>
          <cell r="AM581">
            <v>0</v>
          </cell>
          <cell r="AN581">
            <v>0</v>
          </cell>
          <cell r="AO581">
            <v>0</v>
          </cell>
          <cell r="AP581">
            <v>0</v>
          </cell>
          <cell r="AQ581">
            <v>0</v>
          </cell>
          <cell r="AR581">
            <v>0</v>
          </cell>
        </row>
        <row r="582">
          <cell r="M582" t="str">
            <v>1DBC-</v>
          </cell>
          <cell r="N582" t="str">
            <v>PIPELINE - FAB/DELIVERY - ENGINEERING SPECIALTIES</v>
          </cell>
          <cell r="Q582">
            <v>0</v>
          </cell>
          <cell r="R582">
            <v>0</v>
          </cell>
          <cell r="S582">
            <v>0</v>
          </cell>
          <cell r="T582">
            <v>0</v>
          </cell>
          <cell r="U582">
            <v>0</v>
          </cell>
          <cell r="X582" t="str">
            <v>1DAAI</v>
          </cell>
          <cell r="Y582" t="str">
            <v>PIPELINE - DIR. ENG.  PIPELINES</v>
          </cell>
          <cell r="Z582">
            <v>0</v>
          </cell>
          <cell r="AA582">
            <v>0</v>
          </cell>
          <cell r="AB582">
            <v>0</v>
          </cell>
          <cell r="AC582">
            <v>0</v>
          </cell>
          <cell r="AD582">
            <v>0</v>
          </cell>
          <cell r="AE582">
            <v>0</v>
          </cell>
          <cell r="AF582">
            <v>0</v>
          </cell>
          <cell r="AG582">
            <v>0</v>
          </cell>
          <cell r="AH582">
            <v>0</v>
          </cell>
          <cell r="AI582" t="str">
            <v>1DBAXE</v>
          </cell>
          <cell r="AJ582" t="str">
            <v>CATHODIC PROTECTION  SYSTEM</v>
          </cell>
          <cell r="AK582">
            <v>0</v>
          </cell>
          <cell r="AL582">
            <v>0</v>
          </cell>
          <cell r="AM582">
            <v>0</v>
          </cell>
          <cell r="AN582">
            <v>0</v>
          </cell>
          <cell r="AO582">
            <v>0</v>
          </cell>
          <cell r="AP582">
            <v>0</v>
          </cell>
          <cell r="AQ582">
            <v>0</v>
          </cell>
          <cell r="AR582">
            <v>0</v>
          </cell>
        </row>
        <row r="583">
          <cell r="M583" t="str">
            <v>1DB--</v>
          </cell>
          <cell r="N583" t="str">
            <v>SUBTOTAL PIPELINE - FABRICATION/DELIVERY</v>
          </cell>
          <cell r="Q583">
            <v>0</v>
          </cell>
          <cell r="R583">
            <v>0</v>
          </cell>
          <cell r="S583">
            <v>0</v>
          </cell>
          <cell r="T583">
            <v>0</v>
          </cell>
          <cell r="U583">
            <v>0</v>
          </cell>
          <cell r="X583" t="str">
            <v>1DAA-</v>
          </cell>
          <cell r="Y583" t="str">
            <v>SUBTOTAL - PIPELINE - DIRECT ENGINEERING</v>
          </cell>
          <cell r="Z583">
            <v>0</v>
          </cell>
          <cell r="AA583" t="str">
            <v>N/A</v>
          </cell>
          <cell r="AB583">
            <v>0</v>
          </cell>
          <cell r="AC583">
            <v>0</v>
          </cell>
          <cell r="AD583">
            <v>0</v>
          </cell>
          <cell r="AE583">
            <v>0</v>
          </cell>
          <cell r="AF583">
            <v>0</v>
          </cell>
          <cell r="AG583">
            <v>0</v>
          </cell>
          <cell r="AH583">
            <v>0</v>
          </cell>
          <cell r="AI583" t="str">
            <v>1DBAXX</v>
          </cell>
          <cell r="AJ583" t="str">
            <v>OTHER EQUIPMENT -  OTHER</v>
          </cell>
          <cell r="AK583">
            <v>0</v>
          </cell>
          <cell r="AL583">
            <v>0</v>
          </cell>
          <cell r="AM583">
            <v>0</v>
          </cell>
          <cell r="AN583">
            <v>0</v>
          </cell>
          <cell r="AO583">
            <v>0</v>
          </cell>
          <cell r="AP583">
            <v>0</v>
          </cell>
          <cell r="AQ583">
            <v>0</v>
          </cell>
          <cell r="AR583">
            <v>0</v>
          </cell>
        </row>
        <row r="584">
          <cell r="AI584" t="str">
            <v>1DBAX-</v>
          </cell>
          <cell r="AJ584" t="str">
            <v>SUBTOTAL OTHER EQUIPMENT</v>
          </cell>
          <cell r="AK584">
            <v>0</v>
          </cell>
          <cell r="AL584">
            <v>0</v>
          </cell>
          <cell r="AM584">
            <v>0</v>
          </cell>
          <cell r="AN584">
            <v>0</v>
          </cell>
          <cell r="AO584">
            <v>0</v>
          </cell>
          <cell r="AP584">
            <v>0</v>
          </cell>
          <cell r="AQ584">
            <v>0</v>
          </cell>
        </row>
        <row r="585">
          <cell r="M585" t="str">
            <v>1DCA-</v>
          </cell>
          <cell r="N585" t="str">
            <v>PIPELINE - CONSTRUCTION - CIVIL</v>
          </cell>
          <cell r="Q585">
            <v>0</v>
          </cell>
          <cell r="R585">
            <v>0</v>
          </cell>
          <cell r="S585">
            <v>0</v>
          </cell>
          <cell r="T585">
            <v>0</v>
          </cell>
          <cell r="U585">
            <v>0</v>
          </cell>
          <cell r="X585" t="str">
            <v>1DAHA</v>
          </cell>
          <cell r="Y585" t="str">
            <v>PIPELINE - EQUIP. SPECS - PRESSURE VESSELS</v>
          </cell>
          <cell r="Z585" t="str">
            <v>N/A</v>
          </cell>
          <cell r="AA585" t="str">
            <v>N/A</v>
          </cell>
          <cell r="AB585" t="str">
            <v>N/A</v>
          </cell>
          <cell r="AC585" t="str">
            <v>N/A</v>
          </cell>
          <cell r="AD585" t="str">
            <v>N/A</v>
          </cell>
          <cell r="AE585" t="str">
            <v>N/A</v>
          </cell>
          <cell r="AF585" t="str">
            <v>N/A</v>
          </cell>
          <cell r="AG585">
            <v>0</v>
          </cell>
          <cell r="AH585">
            <v>0</v>
          </cell>
          <cell r="AI585">
            <v>0</v>
          </cell>
          <cell r="AJ585">
            <v>0</v>
          </cell>
          <cell r="AK585">
            <v>0</v>
          </cell>
          <cell r="AL585">
            <v>0</v>
          </cell>
          <cell r="AM585">
            <v>0</v>
          </cell>
          <cell r="AN585">
            <v>0</v>
          </cell>
          <cell r="AO585">
            <v>0</v>
          </cell>
          <cell r="AP585">
            <v>0</v>
          </cell>
          <cell r="AQ585">
            <v>0</v>
          </cell>
          <cell r="AR585">
            <v>0</v>
          </cell>
        </row>
        <row r="586">
          <cell r="M586" t="str">
            <v>1DCB-</v>
          </cell>
          <cell r="N586" t="str">
            <v>PIPELINE - CONSTRUCTION - MAJOR EQUIPMENT</v>
          </cell>
          <cell r="Q586">
            <v>0</v>
          </cell>
          <cell r="R586">
            <v>0</v>
          </cell>
          <cell r="S586">
            <v>0</v>
          </cell>
          <cell r="T586">
            <v>0</v>
          </cell>
          <cell r="U586">
            <v>0</v>
          </cell>
          <cell r="X586" t="str">
            <v>1DAHB</v>
          </cell>
          <cell r="Y586" t="str">
            <v>PIPELINE - EQUIP. SPECS - COLUMNS</v>
          </cell>
          <cell r="Z586" t="str">
            <v>N/A</v>
          </cell>
          <cell r="AA586" t="str">
            <v>N/A</v>
          </cell>
          <cell r="AB586" t="str">
            <v>N/A</v>
          </cell>
          <cell r="AC586" t="str">
            <v>N/A</v>
          </cell>
          <cell r="AD586" t="str">
            <v>N/A</v>
          </cell>
          <cell r="AE586" t="str">
            <v>N/A</v>
          </cell>
          <cell r="AF586" t="str">
            <v>N/A</v>
          </cell>
          <cell r="AG586">
            <v>0</v>
          </cell>
          <cell r="AH586">
            <v>0</v>
          </cell>
          <cell r="AI586" t="str">
            <v>1DBBFA</v>
          </cell>
          <cell r="AJ586" t="str">
            <v>FAB/DELIVERY BULKS - PIPELINE - SPECIFY</v>
          </cell>
          <cell r="AK586">
            <v>0</v>
          </cell>
          <cell r="AL586">
            <v>0</v>
          </cell>
          <cell r="AM586">
            <v>0</v>
          </cell>
          <cell r="AN586">
            <v>0</v>
          </cell>
          <cell r="AO586">
            <v>0</v>
          </cell>
          <cell r="AP586">
            <v>0</v>
          </cell>
          <cell r="AQ586">
            <v>0</v>
          </cell>
          <cell r="AR586">
            <v>0</v>
          </cell>
        </row>
        <row r="587">
          <cell r="M587" t="str">
            <v>1DCC-</v>
          </cell>
          <cell r="N587" t="str">
            <v>PIPELINE - CONSTRUCTION - BULKS</v>
          </cell>
          <cell r="Q587">
            <v>0</v>
          </cell>
          <cell r="R587">
            <v>0</v>
          </cell>
          <cell r="S587">
            <v>0</v>
          </cell>
          <cell r="T587">
            <v>0</v>
          </cell>
          <cell r="U587">
            <v>0</v>
          </cell>
          <cell r="X587" t="str">
            <v>1DAHC</v>
          </cell>
          <cell r="Y587" t="str">
            <v>PIPELINE - EQUIP. SPECS - REACTORS</v>
          </cell>
          <cell r="Z587" t="str">
            <v>N/A</v>
          </cell>
          <cell r="AA587" t="str">
            <v>N/A</v>
          </cell>
          <cell r="AB587" t="str">
            <v>N/A</v>
          </cell>
          <cell r="AC587" t="str">
            <v>N/A</v>
          </cell>
          <cell r="AD587" t="str">
            <v>N/A</v>
          </cell>
          <cell r="AE587" t="str">
            <v>N/A</v>
          </cell>
          <cell r="AF587" t="str">
            <v>N/A</v>
          </cell>
          <cell r="AG587">
            <v>0</v>
          </cell>
          <cell r="AH587">
            <v>0</v>
          </cell>
          <cell r="AI587" t="str">
            <v>1DBBFX</v>
          </cell>
          <cell r="AJ587" t="str">
            <v>FAB/DELIVERY BULKS -  OTHER PIPELINES</v>
          </cell>
          <cell r="AK587">
            <v>0</v>
          </cell>
          <cell r="AL587">
            <v>0</v>
          </cell>
          <cell r="AM587">
            <v>0</v>
          </cell>
          <cell r="AN587">
            <v>0</v>
          </cell>
          <cell r="AO587">
            <v>0</v>
          </cell>
          <cell r="AP587">
            <v>0</v>
          </cell>
          <cell r="AQ587">
            <v>0</v>
          </cell>
          <cell r="AR587">
            <v>0</v>
          </cell>
        </row>
        <row r="588">
          <cell r="M588" t="str">
            <v>1DCD-</v>
          </cell>
          <cell r="N588" t="str">
            <v>PIPELINE - CONSTRUCTION - CONSTRUCTION SPECIALTIES</v>
          </cell>
          <cell r="Q588">
            <v>0</v>
          </cell>
          <cell r="R588">
            <v>0</v>
          </cell>
          <cell r="S588">
            <v>0</v>
          </cell>
          <cell r="T588">
            <v>0</v>
          </cell>
          <cell r="U588">
            <v>0</v>
          </cell>
          <cell r="X588" t="str">
            <v>1DAHD</v>
          </cell>
          <cell r="Y588" t="str">
            <v>PIPELINE - EQUIP. SPECS - FIELD ERECTED TANKS</v>
          </cell>
          <cell r="Z588" t="str">
            <v>N/A</v>
          </cell>
          <cell r="AA588" t="str">
            <v>N/A</v>
          </cell>
          <cell r="AB588" t="str">
            <v>N/A</v>
          </cell>
          <cell r="AC588" t="str">
            <v>N/A</v>
          </cell>
          <cell r="AD588" t="str">
            <v>N/A</v>
          </cell>
          <cell r="AE588" t="str">
            <v>N/A</v>
          </cell>
          <cell r="AF588" t="str">
            <v>N/A</v>
          </cell>
          <cell r="AG588">
            <v>0</v>
          </cell>
          <cell r="AH588">
            <v>0</v>
          </cell>
          <cell r="AI588" t="str">
            <v>1DBBF-</v>
          </cell>
          <cell r="AJ588" t="str">
            <v>SUBTOTAL - FAB/DELIVERY BULKS -PIPELINES</v>
          </cell>
          <cell r="AK588">
            <v>0</v>
          </cell>
          <cell r="AL588">
            <v>0</v>
          </cell>
          <cell r="AM588">
            <v>0</v>
          </cell>
          <cell r="AN588">
            <v>0</v>
          </cell>
          <cell r="AO588">
            <v>0</v>
          </cell>
          <cell r="AP588">
            <v>0</v>
          </cell>
          <cell r="AQ588">
            <v>0</v>
          </cell>
          <cell r="AR588">
            <v>0</v>
          </cell>
        </row>
        <row r="589">
          <cell r="M589" t="str">
            <v>1DCE-</v>
          </cell>
          <cell r="N589" t="str">
            <v>PIPELINE - CONSTRUCTION - OTHER DIRECT WORK</v>
          </cell>
          <cell r="Q589">
            <v>0</v>
          </cell>
          <cell r="R589">
            <v>0</v>
          </cell>
          <cell r="S589">
            <v>0</v>
          </cell>
          <cell r="T589">
            <v>0</v>
          </cell>
          <cell r="U589">
            <v>0</v>
          </cell>
          <cell r="X589" t="str">
            <v>1DAHE</v>
          </cell>
          <cell r="Y589" t="str">
            <v>PIPELINE - EQUIP. SPECS - PUMPS</v>
          </cell>
          <cell r="Z589" t="str">
            <v>N/A</v>
          </cell>
          <cell r="AA589" t="str">
            <v>N/A</v>
          </cell>
          <cell r="AB589" t="str">
            <v>N/A</v>
          </cell>
          <cell r="AC589" t="str">
            <v>N/A</v>
          </cell>
          <cell r="AD589" t="str">
            <v>N/A</v>
          </cell>
          <cell r="AE589" t="str">
            <v>N/A</v>
          </cell>
          <cell r="AF589" t="str">
            <v>N/A</v>
          </cell>
          <cell r="AG589">
            <v>0</v>
          </cell>
          <cell r="AH589">
            <v>0</v>
          </cell>
          <cell r="AI589">
            <v>0</v>
          </cell>
          <cell r="AJ589">
            <v>0</v>
          </cell>
          <cell r="AK589">
            <v>0</v>
          </cell>
          <cell r="AL589">
            <v>0</v>
          </cell>
          <cell r="AM589">
            <v>0</v>
          </cell>
          <cell r="AN589">
            <v>0</v>
          </cell>
          <cell r="AO589">
            <v>0</v>
          </cell>
          <cell r="AP589">
            <v>0</v>
          </cell>
          <cell r="AQ589">
            <v>0</v>
          </cell>
          <cell r="AR589">
            <v>0</v>
          </cell>
        </row>
        <row r="590">
          <cell r="M590" t="str">
            <v>1DCF-</v>
          </cell>
          <cell r="N590" t="str">
            <v>PIPELINE - CONSTRUCTION - INDIRECTS</v>
          </cell>
          <cell r="Q590">
            <v>0</v>
          </cell>
          <cell r="R590">
            <v>0</v>
          </cell>
          <cell r="S590">
            <v>0</v>
          </cell>
          <cell r="T590">
            <v>0</v>
          </cell>
          <cell r="U590">
            <v>0</v>
          </cell>
          <cell r="X590" t="str">
            <v>1DAHF</v>
          </cell>
          <cell r="Y590" t="str">
            <v>PIPELINE - EQUIP. SPECS - HEAT EXCHANGERS - S &amp; T</v>
          </cell>
          <cell r="Z590" t="str">
            <v>N/A</v>
          </cell>
          <cell r="AA590" t="str">
            <v>N/A</v>
          </cell>
          <cell r="AB590" t="str">
            <v>N/A</v>
          </cell>
          <cell r="AC590" t="str">
            <v>N/A</v>
          </cell>
          <cell r="AD590" t="str">
            <v>N/A</v>
          </cell>
          <cell r="AE590" t="str">
            <v>N/A</v>
          </cell>
          <cell r="AF590" t="str">
            <v>N/A</v>
          </cell>
          <cell r="AG590">
            <v>0</v>
          </cell>
          <cell r="AH590">
            <v>0</v>
          </cell>
          <cell r="AI590" t="str">
            <v>1DCAAA</v>
          </cell>
          <cell r="AJ590" t="str">
            <v>CONSTRUCTION, CIVIL - SITE WORK - SITE PREP</v>
          </cell>
          <cell r="AK590">
            <v>0</v>
          </cell>
          <cell r="AL590">
            <v>0</v>
          </cell>
          <cell r="AM590">
            <v>0</v>
          </cell>
          <cell r="AN590">
            <v>0</v>
          </cell>
          <cell r="AO590">
            <v>0</v>
          </cell>
          <cell r="AP590">
            <v>0</v>
          </cell>
          <cell r="AQ590">
            <v>0</v>
          </cell>
          <cell r="AR590">
            <v>0</v>
          </cell>
        </row>
        <row r="591">
          <cell r="M591" t="str">
            <v>1DC--</v>
          </cell>
          <cell r="N591" t="str">
            <v>SUBTOTAL PIPELINE - CONSTRUCTION</v>
          </cell>
          <cell r="Q591">
            <v>0</v>
          </cell>
          <cell r="R591">
            <v>0</v>
          </cell>
          <cell r="S591">
            <v>0</v>
          </cell>
          <cell r="T591">
            <v>0</v>
          </cell>
          <cell r="U591">
            <v>0</v>
          </cell>
          <cell r="X591" t="str">
            <v>1DAHG</v>
          </cell>
          <cell r="Y591" t="str">
            <v>PIPELINE - EQUIP. SPECS - HEAT EXCHANGERS - FINNED</v>
          </cell>
          <cell r="Z591" t="str">
            <v>N/A</v>
          </cell>
          <cell r="AA591" t="str">
            <v>N/A</v>
          </cell>
          <cell r="AB591" t="str">
            <v>N/A</v>
          </cell>
          <cell r="AC591" t="str">
            <v>N/A</v>
          </cell>
          <cell r="AD591" t="str">
            <v>N/A</v>
          </cell>
          <cell r="AE591" t="str">
            <v>N/A</v>
          </cell>
          <cell r="AF591" t="str">
            <v>N/A</v>
          </cell>
          <cell r="AG591">
            <v>0</v>
          </cell>
          <cell r="AH591">
            <v>0</v>
          </cell>
          <cell r="AI591" t="str">
            <v>1DCAAB</v>
          </cell>
          <cell r="AJ591" t="str">
            <v>CONSTRUCTION, CIVIL - SITE WORK - SURVEYS</v>
          </cell>
          <cell r="AK591">
            <v>0</v>
          </cell>
          <cell r="AL591">
            <v>0</v>
          </cell>
          <cell r="AM591">
            <v>0</v>
          </cell>
          <cell r="AN591">
            <v>0</v>
          </cell>
          <cell r="AO591">
            <v>0</v>
          </cell>
          <cell r="AP591">
            <v>0</v>
          </cell>
          <cell r="AQ591">
            <v>0</v>
          </cell>
          <cell r="AR591">
            <v>0</v>
          </cell>
        </row>
        <row r="592">
          <cell r="X592" t="str">
            <v>1DAHH</v>
          </cell>
          <cell r="Y592" t="str">
            <v>PIPELINE - EQUIP. SPECS - EXTRUDERS</v>
          </cell>
          <cell r="Z592" t="str">
            <v>N/A</v>
          </cell>
          <cell r="AA592" t="str">
            <v>N/A</v>
          </cell>
          <cell r="AB592" t="str">
            <v>N/A</v>
          </cell>
          <cell r="AC592" t="str">
            <v>N/A</v>
          </cell>
          <cell r="AD592" t="str">
            <v>N/A</v>
          </cell>
          <cell r="AE592" t="str">
            <v>N/A</v>
          </cell>
          <cell r="AF592" t="str">
            <v>N/A</v>
          </cell>
          <cell r="AI592" t="str">
            <v>1DCAAC</v>
          </cell>
          <cell r="AJ592" t="str">
            <v>CONSTRUCTION, CIVIL - SITE WORK - ROADS</v>
          </cell>
          <cell r="AQ592">
            <v>0</v>
          </cell>
        </row>
        <row r="593">
          <cell r="M593" t="str">
            <v>1DDA-</v>
          </cell>
          <cell r="N593" t="str">
            <v>PIPELINE - COMMISSIONING</v>
          </cell>
          <cell r="Q593">
            <v>0</v>
          </cell>
          <cell r="R593">
            <v>0</v>
          </cell>
          <cell r="S593">
            <v>0</v>
          </cell>
          <cell r="T593">
            <v>0</v>
          </cell>
          <cell r="U593">
            <v>0</v>
          </cell>
          <cell r="X593" t="str">
            <v>1DAHI</v>
          </cell>
          <cell r="Y593" t="str">
            <v>PIPELINE - EQUIP. SPECS - COMPRESSORS</v>
          </cell>
          <cell r="Z593" t="str">
            <v>N/A</v>
          </cell>
          <cell r="AA593" t="str">
            <v>N/A</v>
          </cell>
          <cell r="AB593" t="str">
            <v>N/A</v>
          </cell>
          <cell r="AC593" t="str">
            <v>N/A</v>
          </cell>
          <cell r="AD593" t="str">
            <v>N/A</v>
          </cell>
          <cell r="AE593" t="str">
            <v>N/A</v>
          </cell>
          <cell r="AF593" t="str">
            <v>N/A</v>
          </cell>
          <cell r="AG593">
            <v>0</v>
          </cell>
          <cell r="AH593">
            <v>0</v>
          </cell>
          <cell r="AI593" t="str">
            <v>1DCAAD</v>
          </cell>
          <cell r="AJ593" t="str">
            <v>CONSTRUCTION, CIVIL - SITE WORK - AREA PAVING</v>
          </cell>
          <cell r="AK593">
            <v>0</v>
          </cell>
          <cell r="AL593">
            <v>0</v>
          </cell>
          <cell r="AM593">
            <v>0</v>
          </cell>
          <cell r="AN593">
            <v>0</v>
          </cell>
          <cell r="AO593">
            <v>0</v>
          </cell>
          <cell r="AP593">
            <v>0</v>
          </cell>
          <cell r="AQ593">
            <v>0</v>
          </cell>
          <cell r="AR593">
            <v>0</v>
          </cell>
        </row>
        <row r="594">
          <cell r="M594" t="str">
            <v>1DDB-</v>
          </cell>
          <cell r="N594" t="str">
            <v>PIPELINE -STARTUP</v>
          </cell>
          <cell r="Q594">
            <v>0</v>
          </cell>
          <cell r="R594">
            <v>0</v>
          </cell>
          <cell r="S594">
            <v>0</v>
          </cell>
          <cell r="T594">
            <v>0</v>
          </cell>
          <cell r="U594">
            <v>0</v>
          </cell>
          <cell r="X594" t="str">
            <v>1DAHJ</v>
          </cell>
          <cell r="Y594" t="str">
            <v>PIPELINE - EQUIP. SPECS - GENERATORS</v>
          </cell>
          <cell r="Z594" t="str">
            <v>N/A</v>
          </cell>
          <cell r="AA594" t="str">
            <v>N/A</v>
          </cell>
          <cell r="AB594" t="str">
            <v>N/A</v>
          </cell>
          <cell r="AC594" t="str">
            <v>N/A</v>
          </cell>
          <cell r="AD594" t="str">
            <v>N/A</v>
          </cell>
          <cell r="AE594" t="str">
            <v>N/A</v>
          </cell>
          <cell r="AF594" t="str">
            <v>N/A</v>
          </cell>
          <cell r="AG594">
            <v>0</v>
          </cell>
          <cell r="AH594">
            <v>0</v>
          </cell>
          <cell r="AI594" t="str">
            <v>1DCAAE</v>
          </cell>
          <cell r="AJ594" t="str">
            <v>CONSTRUCTION, CIVIL - SITE WORK - PONDS</v>
          </cell>
          <cell r="AK594">
            <v>0</v>
          </cell>
          <cell r="AL594">
            <v>0</v>
          </cell>
          <cell r="AM594">
            <v>0</v>
          </cell>
          <cell r="AN594">
            <v>0</v>
          </cell>
          <cell r="AO594">
            <v>0</v>
          </cell>
          <cell r="AP594">
            <v>0</v>
          </cell>
          <cell r="AQ594">
            <v>0</v>
          </cell>
          <cell r="AR594">
            <v>0</v>
          </cell>
        </row>
        <row r="595">
          <cell r="M595" t="str">
            <v>1DDC-</v>
          </cell>
          <cell r="N595" t="str">
            <v>PIPELINE -TRAINING</v>
          </cell>
          <cell r="Q595">
            <v>0</v>
          </cell>
          <cell r="R595">
            <v>0</v>
          </cell>
          <cell r="S595">
            <v>0</v>
          </cell>
          <cell r="T595">
            <v>0</v>
          </cell>
          <cell r="U595">
            <v>0</v>
          </cell>
          <cell r="X595" t="str">
            <v>1DAHK</v>
          </cell>
          <cell r="Y595" t="str">
            <v>PIPELINE - EQUIP. SPECS - MOTORS &amp; DRIVERS</v>
          </cell>
          <cell r="Z595" t="str">
            <v>N/A</v>
          </cell>
          <cell r="AA595" t="str">
            <v>N/A</v>
          </cell>
          <cell r="AB595" t="str">
            <v>N/A</v>
          </cell>
          <cell r="AC595" t="str">
            <v>N/A</v>
          </cell>
          <cell r="AD595" t="str">
            <v>N/A</v>
          </cell>
          <cell r="AE595" t="str">
            <v>N/A</v>
          </cell>
          <cell r="AF595" t="str">
            <v>N/A</v>
          </cell>
          <cell r="AG595">
            <v>0</v>
          </cell>
          <cell r="AH595">
            <v>0</v>
          </cell>
          <cell r="AI595" t="str">
            <v>1DCAAF</v>
          </cell>
          <cell r="AJ595" t="str">
            <v>CONSTRUCTION, CIVIL - SITE WORK - FENCE</v>
          </cell>
          <cell r="AK595">
            <v>0</v>
          </cell>
          <cell r="AL595">
            <v>0</v>
          </cell>
          <cell r="AM595">
            <v>0</v>
          </cell>
          <cell r="AN595">
            <v>0</v>
          </cell>
          <cell r="AO595">
            <v>0</v>
          </cell>
          <cell r="AP595">
            <v>0</v>
          </cell>
          <cell r="AQ595">
            <v>0</v>
          </cell>
          <cell r="AR595">
            <v>0</v>
          </cell>
        </row>
        <row r="596">
          <cell r="M596" t="str">
            <v>1DD--</v>
          </cell>
          <cell r="N596" t="str">
            <v>SUBTOTAL PIPELINE - COMMISSIONING, STARTUP &amp; TRAINING</v>
          </cell>
          <cell r="Q596">
            <v>0</v>
          </cell>
          <cell r="R596">
            <v>0</v>
          </cell>
          <cell r="S596">
            <v>0</v>
          </cell>
          <cell r="T596">
            <v>0</v>
          </cell>
          <cell r="U596">
            <v>0</v>
          </cell>
          <cell r="X596" t="str">
            <v>1DAHL</v>
          </cell>
          <cell r="Y596" t="str">
            <v>PIPELINE - EQUIP. SPECS - FIRED EQUIPMENT</v>
          </cell>
          <cell r="Z596" t="str">
            <v>N/A</v>
          </cell>
          <cell r="AA596" t="str">
            <v>N/A</v>
          </cell>
          <cell r="AB596" t="str">
            <v>N/A</v>
          </cell>
          <cell r="AC596" t="str">
            <v>N/A</v>
          </cell>
          <cell r="AD596" t="str">
            <v>N/A</v>
          </cell>
          <cell r="AE596" t="str">
            <v>N/A</v>
          </cell>
          <cell r="AF596" t="str">
            <v>N/A</v>
          </cell>
          <cell r="AG596">
            <v>0</v>
          </cell>
          <cell r="AH596">
            <v>0</v>
          </cell>
          <cell r="AI596" t="str">
            <v>1DCAAG</v>
          </cell>
          <cell r="AJ596" t="str">
            <v>CONSTRUCTION, CIVIL - SITE WORK - GUARDS</v>
          </cell>
          <cell r="AK596">
            <v>0</v>
          </cell>
          <cell r="AL596">
            <v>0</v>
          </cell>
          <cell r="AM596">
            <v>0</v>
          </cell>
          <cell r="AN596">
            <v>0</v>
          </cell>
          <cell r="AO596">
            <v>0</v>
          </cell>
          <cell r="AP596">
            <v>0</v>
          </cell>
          <cell r="AQ596">
            <v>0</v>
          </cell>
          <cell r="AR596">
            <v>0</v>
          </cell>
        </row>
        <row r="597">
          <cell r="X597" t="str">
            <v>1DAHM</v>
          </cell>
          <cell r="Y597" t="str">
            <v>PIPELINE - EQUIP. SPECS - BLOWERS, FANS</v>
          </cell>
          <cell r="Z597" t="str">
            <v>N/A</v>
          </cell>
          <cell r="AA597" t="str">
            <v>N/A</v>
          </cell>
          <cell r="AB597" t="str">
            <v>N/A</v>
          </cell>
          <cell r="AC597" t="str">
            <v>N/A</v>
          </cell>
          <cell r="AD597" t="str">
            <v>N/A</v>
          </cell>
          <cell r="AE597" t="str">
            <v>N/A</v>
          </cell>
          <cell r="AF597" t="str">
            <v>N/A</v>
          </cell>
          <cell r="AI597" t="str">
            <v>1DCAAH</v>
          </cell>
          <cell r="AJ597" t="str">
            <v>CONSTRUCTION, CIVIL - SITE WORK - LANDSCAPING</v>
          </cell>
          <cell r="AQ597">
            <v>0</v>
          </cell>
        </row>
        <row r="598">
          <cell r="X598" t="str">
            <v>1DAHN</v>
          </cell>
          <cell r="Y598" t="str">
            <v>PIPELINE - EQUIP. SPECS - FILTERS</v>
          </cell>
          <cell r="Z598" t="str">
            <v>N/A</v>
          </cell>
          <cell r="AA598" t="str">
            <v>N/A</v>
          </cell>
          <cell r="AB598" t="str">
            <v>N/A</v>
          </cell>
          <cell r="AC598" t="str">
            <v>N/A</v>
          </cell>
          <cell r="AD598" t="str">
            <v>N/A</v>
          </cell>
          <cell r="AE598" t="str">
            <v>N/A</v>
          </cell>
          <cell r="AF598" t="str">
            <v>N/A</v>
          </cell>
          <cell r="AI598" t="str">
            <v>1DCAAX</v>
          </cell>
          <cell r="AJ598" t="str">
            <v>CONSTRUCTION, CIVIL - SITE WORK - OTHER</v>
          </cell>
          <cell r="AQ598">
            <v>0</v>
          </cell>
        </row>
        <row r="599">
          <cell r="X599" t="str">
            <v>1DAHO</v>
          </cell>
          <cell r="Y599" t="str">
            <v>PIPELINE - EQUIP. SPECS - FLARES</v>
          </cell>
          <cell r="Z599" t="str">
            <v>N/A</v>
          </cell>
          <cell r="AA599" t="str">
            <v>N/A</v>
          </cell>
          <cell r="AB599" t="str">
            <v>N/A</v>
          </cell>
          <cell r="AC599" t="str">
            <v>N/A</v>
          </cell>
          <cell r="AD599" t="str">
            <v>N/A</v>
          </cell>
          <cell r="AE599" t="str">
            <v>N/A</v>
          </cell>
          <cell r="AF599" t="str">
            <v>N/A</v>
          </cell>
          <cell r="AI599" t="str">
            <v>1DCAA-</v>
          </cell>
          <cell r="AJ599" t="str">
            <v>SUBTOTAL - CONSTRUCTION, CIVIL - SITE WORK</v>
          </cell>
          <cell r="AK599">
            <v>0</v>
          </cell>
          <cell r="AL599">
            <v>0</v>
          </cell>
          <cell r="AM599">
            <v>0</v>
          </cell>
          <cell r="AN599">
            <v>0</v>
          </cell>
          <cell r="AO599">
            <v>0</v>
          </cell>
          <cell r="AP599">
            <v>0</v>
          </cell>
          <cell r="AQ599">
            <v>0</v>
          </cell>
        </row>
        <row r="600">
          <cell r="X600" t="str">
            <v>1DAHP</v>
          </cell>
          <cell r="Y600" t="str">
            <v>PIPELINE - EQUIP. SPECS - SOLIDS HANDLING EQUIPMENT</v>
          </cell>
          <cell r="Z600" t="str">
            <v>N/A</v>
          </cell>
          <cell r="AA600" t="str">
            <v>N/A</v>
          </cell>
          <cell r="AB600" t="str">
            <v>N/A</v>
          </cell>
          <cell r="AC600" t="str">
            <v>N/A</v>
          </cell>
          <cell r="AD600" t="str">
            <v>N/A</v>
          </cell>
          <cell r="AE600" t="str">
            <v>N/A</v>
          </cell>
          <cell r="AF600" t="str">
            <v>N/A</v>
          </cell>
        </row>
        <row r="601">
          <cell r="X601" t="str">
            <v>1DAHQ</v>
          </cell>
          <cell r="Y601" t="str">
            <v>PIPELINE - EQUIP. SPECS - PACKAGED EQUIPMENT</v>
          </cell>
          <cell r="Z601" t="str">
            <v>N/A</v>
          </cell>
          <cell r="AA601" t="str">
            <v>N/A</v>
          </cell>
          <cell r="AB601" t="str">
            <v>N/A</v>
          </cell>
          <cell r="AC601" t="str">
            <v>N/A</v>
          </cell>
          <cell r="AD601" t="str">
            <v>N/A</v>
          </cell>
          <cell r="AE601" t="str">
            <v>N/A</v>
          </cell>
          <cell r="AF601" t="str">
            <v>N/A</v>
          </cell>
          <cell r="AI601" t="str">
            <v>1DCCEA</v>
          </cell>
          <cell r="AJ601" t="str">
            <v>CONSTRUCTION BULKS - PIPELINE SPECIFY</v>
          </cell>
          <cell r="AQ601">
            <v>0</v>
          </cell>
        </row>
        <row r="602">
          <cell r="X602" t="str">
            <v>1DAHX</v>
          </cell>
          <cell r="Y602" t="str">
            <v>PIPELINE - EQUIP. SPECS - OTHERS</v>
          </cell>
          <cell r="Z602" t="str">
            <v>N/A</v>
          </cell>
          <cell r="AA602" t="str">
            <v>N/A</v>
          </cell>
          <cell r="AB602" t="str">
            <v>N/A</v>
          </cell>
          <cell r="AC602" t="str">
            <v>N/A</v>
          </cell>
          <cell r="AD602" t="str">
            <v>N/A</v>
          </cell>
          <cell r="AE602" t="str">
            <v>N/A</v>
          </cell>
          <cell r="AF602" t="str">
            <v>N/A</v>
          </cell>
          <cell r="AI602" t="str">
            <v>1DCCEX</v>
          </cell>
          <cell r="AJ602" t="str">
            <v>CONSTRUCTION BULKS -  OTHER PIPELINES</v>
          </cell>
          <cell r="AQ602">
            <v>0</v>
          </cell>
        </row>
        <row r="603">
          <cell r="X603" t="str">
            <v>1DAH-</v>
          </cell>
          <cell r="Y603" t="str">
            <v xml:space="preserve">SUBTOTAL - PIPELINE - EQUIP. SPECS </v>
          </cell>
          <cell r="Z603">
            <v>0</v>
          </cell>
          <cell r="AA603" t="str">
            <v>N/A</v>
          </cell>
          <cell r="AB603">
            <v>0</v>
          </cell>
          <cell r="AC603">
            <v>0</v>
          </cell>
          <cell r="AD603">
            <v>0</v>
          </cell>
          <cell r="AE603">
            <v>0</v>
          </cell>
          <cell r="AF603">
            <v>0</v>
          </cell>
          <cell r="AI603" t="str">
            <v>1DCCE-</v>
          </cell>
          <cell r="AJ603" t="str">
            <v>SUBTOTAL - CONSTRUCTION BULKS -PIPELINES</v>
          </cell>
          <cell r="AK603">
            <v>0</v>
          </cell>
          <cell r="AL603">
            <v>0</v>
          </cell>
          <cell r="AM603">
            <v>0</v>
          </cell>
          <cell r="AN603">
            <v>0</v>
          </cell>
          <cell r="AO603">
            <v>0</v>
          </cell>
          <cell r="AP603">
            <v>0</v>
          </cell>
          <cell r="AQ603">
            <v>0</v>
          </cell>
        </row>
        <row r="610">
          <cell r="W610" t="str">
            <v>LEVEL 2 PIPELINE PG.2</v>
          </cell>
          <cell r="X610" t="str">
            <v>WBS CODE</v>
          </cell>
          <cell r="Y610" t="str">
            <v>DESCRIPTION</v>
          </cell>
          <cell r="Z610" t="str">
            <v>QUANTITY</v>
          </cell>
          <cell r="AA610" t="str">
            <v>UNITS</v>
          </cell>
          <cell r="AB610" t="str">
            <v>TOTAL MANHOURS</v>
          </cell>
          <cell r="AC610" t="str">
            <v>TOTAL LABOR COST</v>
          </cell>
          <cell r="AD610" t="str">
            <v>TOTAL MAT'L COST</v>
          </cell>
          <cell r="AE610" t="str">
            <v>TOTAL S/C COST</v>
          </cell>
          <cell r="AF610" t="str">
            <v>TOTAL COST</v>
          </cell>
        </row>
        <row r="612">
          <cell r="X612" t="str">
            <v>1DAIA</v>
          </cell>
          <cell r="Y612" t="str">
            <v>PIPELINE - PROCUREMENT PRESSURE VESSELS</v>
          </cell>
          <cell r="Z612" t="str">
            <v>N/A</v>
          </cell>
          <cell r="AA612" t="str">
            <v>N/A</v>
          </cell>
          <cell r="AB612" t="str">
            <v>N/A</v>
          </cell>
          <cell r="AC612" t="str">
            <v>N/A</v>
          </cell>
          <cell r="AD612" t="str">
            <v>N/A</v>
          </cell>
          <cell r="AE612" t="str">
            <v>N/A</v>
          </cell>
          <cell r="AF612" t="str">
            <v>N/A</v>
          </cell>
        </row>
        <row r="613">
          <cell r="X613" t="str">
            <v>1DAIB</v>
          </cell>
          <cell r="Y613" t="str">
            <v>PIPELINE - PROCUREMENT   COLUMNS</v>
          </cell>
          <cell r="Z613" t="str">
            <v>N/A</v>
          </cell>
          <cell r="AA613" t="str">
            <v>N/A</v>
          </cell>
          <cell r="AB613" t="str">
            <v>N/A</v>
          </cell>
          <cell r="AC613" t="str">
            <v>N/A</v>
          </cell>
          <cell r="AD613" t="str">
            <v>N/A</v>
          </cell>
          <cell r="AE613" t="str">
            <v>N/A</v>
          </cell>
          <cell r="AF613" t="str">
            <v>N/A</v>
          </cell>
        </row>
        <row r="614">
          <cell r="X614" t="str">
            <v>1DAIC</v>
          </cell>
          <cell r="Y614" t="str">
            <v>PIPELINE - PROCUREMENT   REACTORS</v>
          </cell>
          <cell r="Z614" t="str">
            <v>N/A</v>
          </cell>
          <cell r="AA614" t="str">
            <v>N/A</v>
          </cell>
          <cell r="AB614" t="str">
            <v>N/A</v>
          </cell>
          <cell r="AC614" t="str">
            <v>N/A</v>
          </cell>
          <cell r="AD614" t="str">
            <v>N/A</v>
          </cell>
          <cell r="AE614" t="str">
            <v>N/A</v>
          </cell>
          <cell r="AF614" t="str">
            <v>N/A</v>
          </cell>
        </row>
        <row r="615">
          <cell r="X615" t="str">
            <v>1DAID</v>
          </cell>
          <cell r="Y615" t="str">
            <v>PIPELINE - PROCUREMENT   FIELD ERECTED TANKS</v>
          </cell>
          <cell r="Z615" t="str">
            <v>N/A</v>
          </cell>
          <cell r="AA615" t="str">
            <v>N/A</v>
          </cell>
          <cell r="AB615" t="str">
            <v>N/A</v>
          </cell>
          <cell r="AC615" t="str">
            <v>N/A</v>
          </cell>
          <cell r="AD615" t="str">
            <v>N/A</v>
          </cell>
          <cell r="AE615" t="str">
            <v>N/A</v>
          </cell>
          <cell r="AF615" t="str">
            <v>N/A</v>
          </cell>
        </row>
        <row r="616">
          <cell r="X616" t="str">
            <v>1DAIE</v>
          </cell>
          <cell r="Y616" t="str">
            <v>PIPELINE - PROCUREMENT   PUMPS</v>
          </cell>
          <cell r="Z616" t="str">
            <v>N/A</v>
          </cell>
          <cell r="AA616" t="str">
            <v>N/A</v>
          </cell>
          <cell r="AB616" t="str">
            <v>N/A</v>
          </cell>
          <cell r="AC616" t="str">
            <v>N/A</v>
          </cell>
          <cell r="AD616" t="str">
            <v>N/A</v>
          </cell>
          <cell r="AE616" t="str">
            <v>N/A</v>
          </cell>
          <cell r="AF616" t="str">
            <v>N/A</v>
          </cell>
        </row>
        <row r="617">
          <cell r="X617" t="str">
            <v>1DAIF</v>
          </cell>
          <cell r="Y617" t="str">
            <v>PIPELINE - PROCUREMENT   HEAT EXCHANGERS - S &amp; T</v>
          </cell>
          <cell r="Z617" t="str">
            <v>N/A</v>
          </cell>
          <cell r="AA617" t="str">
            <v>N/A</v>
          </cell>
          <cell r="AB617" t="str">
            <v>N/A</v>
          </cell>
          <cell r="AC617" t="str">
            <v>N/A</v>
          </cell>
          <cell r="AD617" t="str">
            <v>N/A</v>
          </cell>
          <cell r="AE617" t="str">
            <v>N/A</v>
          </cell>
          <cell r="AF617" t="str">
            <v>N/A</v>
          </cell>
        </row>
        <row r="618">
          <cell r="X618" t="str">
            <v>1DAIG</v>
          </cell>
          <cell r="Y618" t="str">
            <v>PIPELINE - PROCUREMENT   HEAT EXCHANGERS - FINNED</v>
          </cell>
          <cell r="Z618" t="str">
            <v>N/A</v>
          </cell>
          <cell r="AA618" t="str">
            <v>N/A</v>
          </cell>
          <cell r="AB618" t="str">
            <v>N/A</v>
          </cell>
          <cell r="AC618" t="str">
            <v>N/A</v>
          </cell>
          <cell r="AD618" t="str">
            <v>N/A</v>
          </cell>
          <cell r="AE618" t="str">
            <v>N/A</v>
          </cell>
          <cell r="AF618" t="str">
            <v>N/A</v>
          </cell>
        </row>
        <row r="619">
          <cell r="X619" t="str">
            <v>1DAIH</v>
          </cell>
          <cell r="Y619" t="str">
            <v>PIPELINE - PROCUREMENT   EXTRUDERS</v>
          </cell>
          <cell r="Z619" t="str">
            <v>N/A</v>
          </cell>
          <cell r="AA619" t="str">
            <v>N/A</v>
          </cell>
          <cell r="AB619" t="str">
            <v>N/A</v>
          </cell>
          <cell r="AC619" t="str">
            <v>N/A</v>
          </cell>
          <cell r="AD619" t="str">
            <v>N/A</v>
          </cell>
          <cell r="AE619" t="str">
            <v>N/A</v>
          </cell>
          <cell r="AF619" t="str">
            <v>N/A</v>
          </cell>
        </row>
        <row r="620">
          <cell r="X620" t="str">
            <v>1DAII</v>
          </cell>
          <cell r="Y620" t="str">
            <v>PIPELINE - PROCUREMENT   COMPRESSORS</v>
          </cell>
          <cell r="Z620" t="str">
            <v>N/A</v>
          </cell>
          <cell r="AA620" t="str">
            <v>N/A</v>
          </cell>
          <cell r="AB620" t="str">
            <v>N/A</v>
          </cell>
          <cell r="AC620" t="str">
            <v>N/A</v>
          </cell>
          <cell r="AD620" t="str">
            <v>N/A</v>
          </cell>
          <cell r="AE620" t="str">
            <v>N/A</v>
          </cell>
          <cell r="AF620" t="str">
            <v>N/A</v>
          </cell>
        </row>
        <row r="621">
          <cell r="X621" t="str">
            <v>1DAIJ</v>
          </cell>
          <cell r="Y621" t="str">
            <v>PIPELINE - PROCUREMENT   GENERATORS</v>
          </cell>
          <cell r="Z621" t="str">
            <v>N/A</v>
          </cell>
          <cell r="AA621" t="str">
            <v>N/A</v>
          </cell>
          <cell r="AB621" t="str">
            <v>N/A</v>
          </cell>
          <cell r="AC621" t="str">
            <v>N/A</v>
          </cell>
          <cell r="AD621" t="str">
            <v>N/A</v>
          </cell>
          <cell r="AE621" t="str">
            <v>N/A</v>
          </cell>
          <cell r="AF621" t="str">
            <v>N/A</v>
          </cell>
        </row>
        <row r="622">
          <cell r="X622" t="str">
            <v>1DAIK</v>
          </cell>
          <cell r="Y622" t="str">
            <v>PIPELINE - PROCUREMENT   MOTORS &amp; DRIVERS</v>
          </cell>
          <cell r="Z622" t="str">
            <v>N/A</v>
          </cell>
          <cell r="AA622" t="str">
            <v>N/A</v>
          </cell>
          <cell r="AB622" t="str">
            <v>N/A</v>
          </cell>
          <cell r="AC622" t="str">
            <v>N/A</v>
          </cell>
          <cell r="AD622" t="str">
            <v>N/A</v>
          </cell>
          <cell r="AE622" t="str">
            <v>N/A</v>
          </cell>
          <cell r="AF622" t="str">
            <v>N/A</v>
          </cell>
        </row>
        <row r="623">
          <cell r="X623" t="str">
            <v>1DAIL</v>
          </cell>
          <cell r="Y623" t="str">
            <v>PIPELINE - PROCUREMENT   FIRED EQUIPMENT</v>
          </cell>
          <cell r="Z623" t="str">
            <v>N/A</v>
          </cell>
          <cell r="AA623" t="str">
            <v>N/A</v>
          </cell>
          <cell r="AB623" t="str">
            <v>N/A</v>
          </cell>
          <cell r="AC623" t="str">
            <v>N/A</v>
          </cell>
          <cell r="AD623" t="str">
            <v>N/A</v>
          </cell>
          <cell r="AE623" t="str">
            <v>N/A</v>
          </cell>
          <cell r="AF623" t="str">
            <v>N/A</v>
          </cell>
        </row>
        <row r="624">
          <cell r="X624" t="str">
            <v>1DAIM</v>
          </cell>
          <cell r="Y624" t="str">
            <v>PIPELINE - PROCUREMENT   BLOWERS &amp; FANS</v>
          </cell>
          <cell r="Z624" t="str">
            <v>N/A</v>
          </cell>
          <cell r="AA624" t="str">
            <v>N/A</v>
          </cell>
          <cell r="AB624" t="str">
            <v>N/A</v>
          </cell>
          <cell r="AC624" t="str">
            <v>N/A</v>
          </cell>
          <cell r="AD624" t="str">
            <v>N/A</v>
          </cell>
          <cell r="AE624" t="str">
            <v>N/A</v>
          </cell>
          <cell r="AF624" t="str">
            <v>N/A</v>
          </cell>
        </row>
        <row r="625">
          <cell r="X625" t="str">
            <v>1DAIN</v>
          </cell>
          <cell r="Y625" t="str">
            <v>PIPELINE - PROCUREMENT   FILTERS</v>
          </cell>
          <cell r="Z625" t="str">
            <v>N/A</v>
          </cell>
          <cell r="AA625" t="str">
            <v>N/A</v>
          </cell>
          <cell r="AB625" t="str">
            <v>N/A</v>
          </cell>
          <cell r="AC625" t="str">
            <v>N/A</v>
          </cell>
          <cell r="AD625" t="str">
            <v>N/A</v>
          </cell>
          <cell r="AE625" t="str">
            <v>N/A</v>
          </cell>
          <cell r="AF625" t="str">
            <v>N/A</v>
          </cell>
        </row>
        <row r="626">
          <cell r="X626" t="str">
            <v>1DAIO</v>
          </cell>
          <cell r="Y626" t="str">
            <v>PIPELINE - PROCUREMENT   FLARES</v>
          </cell>
          <cell r="Z626" t="str">
            <v>N/A</v>
          </cell>
          <cell r="AA626" t="str">
            <v>N/A</v>
          </cell>
          <cell r="AB626" t="str">
            <v>N/A</v>
          </cell>
          <cell r="AC626" t="str">
            <v>N/A</v>
          </cell>
          <cell r="AD626" t="str">
            <v>N/A</v>
          </cell>
          <cell r="AE626" t="str">
            <v>N/A</v>
          </cell>
          <cell r="AF626" t="str">
            <v>N/A</v>
          </cell>
        </row>
        <row r="627">
          <cell r="X627" t="str">
            <v>1DAIP</v>
          </cell>
          <cell r="Y627" t="str">
            <v>PIPELINE - PROCUREMENT   SOLIDS HANDLING EQUIPMENT</v>
          </cell>
          <cell r="Z627" t="str">
            <v>N/A</v>
          </cell>
          <cell r="AA627" t="str">
            <v>N/A</v>
          </cell>
          <cell r="AB627" t="str">
            <v>N/A</v>
          </cell>
          <cell r="AC627" t="str">
            <v>N/A</v>
          </cell>
          <cell r="AD627" t="str">
            <v>N/A</v>
          </cell>
          <cell r="AE627" t="str">
            <v>N/A</v>
          </cell>
          <cell r="AF627" t="str">
            <v>N/A</v>
          </cell>
        </row>
        <row r="628">
          <cell r="X628" t="str">
            <v>1DAIQ</v>
          </cell>
          <cell r="Y628" t="str">
            <v>PIPELINE - PROCUREMENT   PACKAGED EQUIPMENT</v>
          </cell>
          <cell r="Z628" t="str">
            <v>N/A</v>
          </cell>
          <cell r="AA628" t="str">
            <v>N/A</v>
          </cell>
          <cell r="AB628" t="str">
            <v>N/A</v>
          </cell>
          <cell r="AC628" t="str">
            <v>N/A</v>
          </cell>
          <cell r="AD628" t="str">
            <v>N/A</v>
          </cell>
          <cell r="AE628" t="str">
            <v>N/A</v>
          </cell>
          <cell r="AF628" t="str">
            <v>N/A</v>
          </cell>
        </row>
        <row r="629">
          <cell r="X629" t="str">
            <v>1DAIT</v>
          </cell>
          <cell r="Y629" t="str">
            <v>PIPELINE - PROCUREMENT   BULKS</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X630" t="str">
            <v>1DAIX</v>
          </cell>
          <cell r="Y630" t="str">
            <v>PIPELINE - PROCUREMENT   OTHER</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X631" t="str">
            <v>1DAI-</v>
          </cell>
          <cell r="Y631" t="str">
            <v>SUBTOTAL - PIPELINE - PROCUREMENT</v>
          </cell>
          <cell r="Z631">
            <v>0</v>
          </cell>
          <cell r="AA631" t="str">
            <v>N/A</v>
          </cell>
          <cell r="AB631">
            <v>0</v>
          </cell>
          <cell r="AC631">
            <v>0</v>
          </cell>
          <cell r="AD631">
            <v>0</v>
          </cell>
          <cell r="AE631">
            <v>0</v>
          </cell>
          <cell r="AF631">
            <v>0</v>
          </cell>
        </row>
        <row r="633">
          <cell r="X633" t="str">
            <v>1DAJA</v>
          </cell>
          <cell r="Y633" t="str">
            <v>PIPELINE - INDIRECT ENG'G CONTRACTS</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X634" t="str">
            <v>1DAJB</v>
          </cell>
          <cell r="Y634" t="str">
            <v>PIPELINE - INDIRECT ENG'G PROJECT MANAGEMENT</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X635" t="str">
            <v>1DAJC</v>
          </cell>
          <cell r="Y635" t="str">
            <v>PIPELINE - INDIRECT ENG'G ENGINEERING/NON-TECH</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X636" t="str">
            <v>1DAJX</v>
          </cell>
          <cell r="Y636" t="str">
            <v>PIPELINE - INDIRECT ENG'G OTHER</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X637" t="str">
            <v>1DAJ-</v>
          </cell>
          <cell r="Y637" t="str">
            <v>SUBTOTAL - PIPELINE - INDIRECT ENGINEERING</v>
          </cell>
          <cell r="Z637">
            <v>0</v>
          </cell>
          <cell r="AA637" t="str">
            <v>N/A</v>
          </cell>
          <cell r="AB637">
            <v>0</v>
          </cell>
          <cell r="AC637">
            <v>0</v>
          </cell>
          <cell r="AD637">
            <v>0</v>
          </cell>
          <cell r="AE637">
            <v>0</v>
          </cell>
          <cell r="AF637">
            <v>0</v>
          </cell>
        </row>
        <row r="648">
          <cell r="W648" t="str">
            <v>LEVEL 2 PIPELINE PG.3</v>
          </cell>
          <cell r="X648" t="str">
            <v>WBS CODE</v>
          </cell>
          <cell r="Y648" t="str">
            <v>DESCRIPTION</v>
          </cell>
          <cell r="Z648" t="str">
            <v>QUANTITY</v>
          </cell>
          <cell r="AA648" t="str">
            <v>UNITS</v>
          </cell>
          <cell r="AB648" t="str">
            <v>TOTAL MANHOURS</v>
          </cell>
          <cell r="AC648" t="str">
            <v>TOTAL LABOR COST</v>
          </cell>
          <cell r="AD648" t="str">
            <v>TOTAL MAT'L COST</v>
          </cell>
          <cell r="AE648" t="str">
            <v>TOTAL S/C COST</v>
          </cell>
          <cell r="AF648" t="str">
            <v>TOTAL COST</v>
          </cell>
        </row>
        <row r="650">
          <cell r="X650" t="str">
            <v>1DBAA</v>
          </cell>
          <cell r="Y650" t="str">
            <v>PIPELINE - FAB/DELIVERY MAJOR EQUIP PRESSURE VESSELS</v>
          </cell>
          <cell r="Z650" t="str">
            <v>N/A</v>
          </cell>
          <cell r="AA650" t="str">
            <v>N/A</v>
          </cell>
          <cell r="AB650" t="str">
            <v>N/A</v>
          </cell>
          <cell r="AC650" t="str">
            <v>N/A</v>
          </cell>
          <cell r="AD650" t="str">
            <v>N/A</v>
          </cell>
          <cell r="AE650" t="str">
            <v>N/A</v>
          </cell>
          <cell r="AF650" t="str">
            <v>N/A</v>
          </cell>
        </row>
        <row r="651">
          <cell r="X651" t="str">
            <v>1DBAB</v>
          </cell>
          <cell r="Y651" t="str">
            <v>PIPELINE - FAB/DELIVERY MAJOR EQUIP COLUMNS</v>
          </cell>
          <cell r="Z651" t="str">
            <v>N/A</v>
          </cell>
          <cell r="AA651" t="str">
            <v>N/A</v>
          </cell>
          <cell r="AB651" t="str">
            <v>N/A</v>
          </cell>
          <cell r="AC651" t="str">
            <v>N/A</v>
          </cell>
          <cell r="AD651" t="str">
            <v>N/A</v>
          </cell>
          <cell r="AE651" t="str">
            <v>N/A</v>
          </cell>
          <cell r="AF651" t="str">
            <v>N/A</v>
          </cell>
        </row>
        <row r="652">
          <cell r="X652" t="str">
            <v>1DBAC</v>
          </cell>
          <cell r="Y652" t="str">
            <v>PIPELINE - FAB/DELIVERY MAJOR EQUIP REACTORS</v>
          </cell>
          <cell r="Z652" t="str">
            <v>N/A</v>
          </cell>
          <cell r="AA652" t="str">
            <v>N/A</v>
          </cell>
          <cell r="AB652" t="str">
            <v>N/A</v>
          </cell>
          <cell r="AC652" t="str">
            <v>N/A</v>
          </cell>
          <cell r="AD652" t="str">
            <v>N/A</v>
          </cell>
          <cell r="AE652" t="str">
            <v>N/A</v>
          </cell>
          <cell r="AF652" t="str">
            <v>N/A</v>
          </cell>
        </row>
        <row r="653">
          <cell r="X653" t="str">
            <v>1DBAD</v>
          </cell>
          <cell r="Y653" t="str">
            <v>PIPELINE - FAB/DELIVERY MAJOR EQUIP FIELD ERECTED TANKS</v>
          </cell>
          <cell r="Z653" t="str">
            <v>N/A</v>
          </cell>
          <cell r="AA653" t="str">
            <v>N/A</v>
          </cell>
          <cell r="AB653" t="str">
            <v>N/A</v>
          </cell>
          <cell r="AC653" t="str">
            <v>N/A</v>
          </cell>
          <cell r="AD653" t="str">
            <v>N/A</v>
          </cell>
          <cell r="AE653" t="str">
            <v>N/A</v>
          </cell>
          <cell r="AF653" t="str">
            <v>N/A</v>
          </cell>
        </row>
        <row r="654">
          <cell r="X654" t="str">
            <v>1DBAE</v>
          </cell>
          <cell r="Y654" t="str">
            <v>PIPELINE - FAB/DELIVERY MAJOR EQUIP PUMPS</v>
          </cell>
          <cell r="Z654" t="str">
            <v>N/A</v>
          </cell>
          <cell r="AA654" t="str">
            <v>N/A</v>
          </cell>
          <cell r="AB654" t="str">
            <v>N/A</v>
          </cell>
          <cell r="AC654" t="str">
            <v>N/A</v>
          </cell>
          <cell r="AD654" t="str">
            <v>N/A</v>
          </cell>
          <cell r="AE654" t="str">
            <v>N/A</v>
          </cell>
          <cell r="AF654" t="str">
            <v>N/A</v>
          </cell>
        </row>
        <row r="655">
          <cell r="X655" t="str">
            <v>1DBAF</v>
          </cell>
          <cell r="Y655" t="str">
            <v>PIPELINE - FAB/DELIVERY MAJOR EQUIP HEAT EXCHANGERS S&amp;T</v>
          </cell>
          <cell r="Z655" t="str">
            <v>N/A</v>
          </cell>
          <cell r="AA655" t="str">
            <v>N/A</v>
          </cell>
          <cell r="AB655" t="str">
            <v>N/A</v>
          </cell>
          <cell r="AC655" t="str">
            <v>N/A</v>
          </cell>
          <cell r="AD655" t="str">
            <v>N/A</v>
          </cell>
          <cell r="AE655" t="str">
            <v>N/A</v>
          </cell>
          <cell r="AF655" t="str">
            <v>N/A</v>
          </cell>
        </row>
        <row r="656">
          <cell r="X656" t="str">
            <v>1DBAG</v>
          </cell>
          <cell r="Y656" t="str">
            <v>PIPELINE - FAB/DELIVERY MAJOR EQUIP HEAT EXCHANGERS FINNED</v>
          </cell>
          <cell r="Z656" t="str">
            <v>N/A</v>
          </cell>
          <cell r="AA656" t="str">
            <v>N/A</v>
          </cell>
          <cell r="AB656" t="str">
            <v>N/A</v>
          </cell>
          <cell r="AC656" t="str">
            <v>N/A</v>
          </cell>
          <cell r="AD656" t="str">
            <v>N/A</v>
          </cell>
          <cell r="AE656" t="str">
            <v>N/A</v>
          </cell>
          <cell r="AF656" t="str">
            <v>N/A</v>
          </cell>
        </row>
        <row r="657">
          <cell r="X657" t="str">
            <v>1DBAH</v>
          </cell>
          <cell r="Y657" t="str">
            <v>PIPELINE - FAB/DELIVERY MAJOR EQUIP EXTRUDERS</v>
          </cell>
          <cell r="Z657" t="str">
            <v>N/A</v>
          </cell>
          <cell r="AA657" t="str">
            <v>N/A</v>
          </cell>
          <cell r="AB657" t="str">
            <v>N/A</v>
          </cell>
          <cell r="AC657" t="str">
            <v>N/A</v>
          </cell>
          <cell r="AD657" t="str">
            <v>N/A</v>
          </cell>
          <cell r="AE657" t="str">
            <v>N/A</v>
          </cell>
          <cell r="AF657" t="str">
            <v>N/A</v>
          </cell>
        </row>
        <row r="658">
          <cell r="X658" t="str">
            <v>1DBAI</v>
          </cell>
          <cell r="Y658" t="str">
            <v>PIPELINE - FAB/DELIVERY MAJOR EQUIP COMPRESSORS</v>
          </cell>
          <cell r="Z658" t="str">
            <v>N/A</v>
          </cell>
          <cell r="AA658" t="str">
            <v>N/A</v>
          </cell>
          <cell r="AB658" t="str">
            <v>N/A</v>
          </cell>
          <cell r="AC658" t="str">
            <v>N/A</v>
          </cell>
          <cell r="AD658" t="str">
            <v>N/A</v>
          </cell>
          <cell r="AE658" t="str">
            <v>N/A</v>
          </cell>
          <cell r="AF658" t="str">
            <v>N/A</v>
          </cell>
        </row>
        <row r="659">
          <cell r="X659" t="str">
            <v>1DBAJ</v>
          </cell>
          <cell r="Y659" t="str">
            <v>PIPELINE - FAB/DELIVERY MAJOR EQUIP GENERATORS</v>
          </cell>
          <cell r="Z659" t="str">
            <v>N/A</v>
          </cell>
          <cell r="AA659" t="str">
            <v>N/A</v>
          </cell>
          <cell r="AB659" t="str">
            <v>N/A</v>
          </cell>
          <cell r="AC659" t="str">
            <v>N/A</v>
          </cell>
          <cell r="AD659" t="str">
            <v>N/A</v>
          </cell>
          <cell r="AE659" t="str">
            <v>N/A</v>
          </cell>
          <cell r="AF659" t="str">
            <v>N/A</v>
          </cell>
        </row>
        <row r="660">
          <cell r="X660" t="str">
            <v>1DBAJ</v>
          </cell>
          <cell r="Y660" t="str">
            <v>PIPELINE - FAB/DELIVERY MAJOR EQUIP MOTORS &amp; DRIVERS</v>
          </cell>
          <cell r="Z660" t="str">
            <v>N/A</v>
          </cell>
          <cell r="AA660" t="str">
            <v>N/A</v>
          </cell>
          <cell r="AB660" t="str">
            <v>N/A</v>
          </cell>
          <cell r="AC660" t="str">
            <v>N/A</v>
          </cell>
          <cell r="AD660" t="str">
            <v>N/A</v>
          </cell>
          <cell r="AE660" t="str">
            <v>N/A</v>
          </cell>
          <cell r="AF660" t="str">
            <v>N/A</v>
          </cell>
        </row>
        <row r="661">
          <cell r="X661" t="str">
            <v>1DBAL</v>
          </cell>
          <cell r="Y661" t="str">
            <v>PIPELINE - FAB/DELIVERY MAJOR EQUIP FIRED EQUIPMENT</v>
          </cell>
          <cell r="Z661" t="str">
            <v>N/A</v>
          </cell>
          <cell r="AA661" t="str">
            <v>N/A</v>
          </cell>
          <cell r="AB661" t="str">
            <v>N/A</v>
          </cell>
          <cell r="AC661" t="str">
            <v>N/A</v>
          </cell>
          <cell r="AD661" t="str">
            <v>N/A</v>
          </cell>
          <cell r="AE661" t="str">
            <v>N/A</v>
          </cell>
          <cell r="AF661" t="str">
            <v>N/A</v>
          </cell>
        </row>
        <row r="662">
          <cell r="X662" t="str">
            <v>1DBAM</v>
          </cell>
          <cell r="Y662" t="str">
            <v>PIPELINE - FAB/DELIVERY MAJOR EQUIP BLOWERS, FANS</v>
          </cell>
          <cell r="Z662" t="str">
            <v>N/A</v>
          </cell>
          <cell r="AA662" t="str">
            <v>N/A</v>
          </cell>
          <cell r="AB662" t="str">
            <v>N/A</v>
          </cell>
          <cell r="AC662" t="str">
            <v>N/A</v>
          </cell>
          <cell r="AD662" t="str">
            <v>N/A</v>
          </cell>
          <cell r="AE662" t="str">
            <v>N/A</v>
          </cell>
          <cell r="AF662" t="str">
            <v>N/A</v>
          </cell>
        </row>
        <row r="663">
          <cell r="X663" t="str">
            <v>1DBAN</v>
          </cell>
          <cell r="Y663" t="str">
            <v>PIPELINE - FAB/DELIVERY MAJOR EQUIP FILTERS</v>
          </cell>
          <cell r="Z663" t="str">
            <v>N/A</v>
          </cell>
          <cell r="AA663" t="str">
            <v>N/A</v>
          </cell>
          <cell r="AB663" t="str">
            <v>N/A</v>
          </cell>
          <cell r="AC663" t="str">
            <v>N/A</v>
          </cell>
          <cell r="AD663" t="str">
            <v>N/A</v>
          </cell>
          <cell r="AE663" t="str">
            <v>N/A</v>
          </cell>
          <cell r="AF663" t="str">
            <v>N/A</v>
          </cell>
        </row>
        <row r="664">
          <cell r="X664" t="str">
            <v>1DBAO</v>
          </cell>
          <cell r="Y664" t="str">
            <v>PIPELINE - FAB/DELIVERY MAJOR EQUIP FLARES</v>
          </cell>
          <cell r="Z664" t="str">
            <v>N/A</v>
          </cell>
          <cell r="AA664" t="str">
            <v>N/A</v>
          </cell>
          <cell r="AB664" t="str">
            <v>N/A</v>
          </cell>
          <cell r="AC664" t="str">
            <v>N/A</v>
          </cell>
          <cell r="AD664" t="str">
            <v>N/A</v>
          </cell>
          <cell r="AE664" t="str">
            <v>N/A</v>
          </cell>
          <cell r="AF664" t="str">
            <v>N/A</v>
          </cell>
        </row>
        <row r="665">
          <cell r="X665" t="str">
            <v>1DBAP</v>
          </cell>
          <cell r="Y665" t="str">
            <v>PIPELINE - FAB/DELIVERY MAJOR EQUIP SOLIDS HANDLING EQUIPMENT</v>
          </cell>
          <cell r="Z665" t="str">
            <v>N/A</v>
          </cell>
          <cell r="AA665" t="str">
            <v>N/A</v>
          </cell>
          <cell r="AB665" t="str">
            <v>N/A</v>
          </cell>
          <cell r="AC665" t="str">
            <v>N/A</v>
          </cell>
          <cell r="AD665" t="str">
            <v>N/A</v>
          </cell>
          <cell r="AE665" t="str">
            <v>N/A</v>
          </cell>
          <cell r="AF665" t="str">
            <v>N/A</v>
          </cell>
        </row>
        <row r="666">
          <cell r="X666" t="str">
            <v>1DBAQ</v>
          </cell>
          <cell r="Y666" t="str">
            <v>PIPELINE - FAB/DELIVERY MAJOR EQUIP PACKAGED EQUIPMENT</v>
          </cell>
          <cell r="Z666" t="str">
            <v>N/A</v>
          </cell>
          <cell r="AA666" t="str">
            <v>N/A</v>
          </cell>
          <cell r="AB666" t="str">
            <v>N/A</v>
          </cell>
          <cell r="AC666" t="str">
            <v>N/A</v>
          </cell>
          <cell r="AD666" t="str">
            <v>N/A</v>
          </cell>
          <cell r="AE666" t="str">
            <v>N/A</v>
          </cell>
          <cell r="AF666" t="str">
            <v>N/A</v>
          </cell>
        </row>
        <row r="667">
          <cell r="X667" t="str">
            <v>1DBAX</v>
          </cell>
          <cell r="Y667" t="str">
            <v>PIPELINE - FAB/DELIVERY MAJOR EQUIP OTHER</v>
          </cell>
          <cell r="Z667">
            <v>0</v>
          </cell>
          <cell r="AA667">
            <v>0</v>
          </cell>
          <cell r="AB667">
            <v>0</v>
          </cell>
          <cell r="AC667">
            <v>0</v>
          </cell>
          <cell r="AD667">
            <v>0</v>
          </cell>
          <cell r="AE667">
            <v>0</v>
          </cell>
          <cell r="AF667">
            <v>0</v>
          </cell>
        </row>
        <row r="668">
          <cell r="X668" t="str">
            <v>1DBA-</v>
          </cell>
          <cell r="Y668" t="str">
            <v>SUBTOTAL - PIPELINE - FAB/DELIVERY MAJOR EQUIP.</v>
          </cell>
          <cell r="Z668">
            <v>0</v>
          </cell>
          <cell r="AA668" t="str">
            <v>N/A</v>
          </cell>
          <cell r="AB668">
            <v>0</v>
          </cell>
          <cell r="AC668">
            <v>0</v>
          </cell>
          <cell r="AD668">
            <v>0</v>
          </cell>
          <cell r="AE668">
            <v>0</v>
          </cell>
          <cell r="AF668">
            <v>0</v>
          </cell>
        </row>
        <row r="670">
          <cell r="X670" t="str">
            <v>1DBBA</v>
          </cell>
          <cell r="Y670" t="str">
            <v>PIPELINE - FAB/DELIVERY BULKS - IMBEDS</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X671" t="str">
            <v>1DBBB</v>
          </cell>
          <cell r="Y671" t="str">
            <v>PIPELINE - FAB/DELIVERY BULKS - STRUCTURAL</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X672" t="str">
            <v>1DBBC</v>
          </cell>
          <cell r="Y672" t="str">
            <v>PIPELINE - FAB/DELIVERY BULKS - PIPING</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X673" t="str">
            <v>1DBBD</v>
          </cell>
          <cell r="Y673" t="str">
            <v>PIPELINE - FAB/DELIVERY BULKS - ELECTRICAL</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X674" t="str">
            <v>1DBBE</v>
          </cell>
          <cell r="Y674" t="str">
            <v>PIPELINE - FAB/DELIVERY BULKS - INSTRUMENTATION</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X675" t="str">
            <v>1DBBF</v>
          </cell>
          <cell r="Y675" t="str">
            <v>PIPELINE - FAB/DELIVERY BULKS - PIPELINES</v>
          </cell>
          <cell r="Z675">
            <v>0</v>
          </cell>
          <cell r="AA675">
            <v>0</v>
          </cell>
          <cell r="AB675">
            <v>0</v>
          </cell>
          <cell r="AC675">
            <v>0</v>
          </cell>
          <cell r="AD675">
            <v>0</v>
          </cell>
          <cell r="AE675">
            <v>0</v>
          </cell>
          <cell r="AF675">
            <v>0</v>
          </cell>
        </row>
        <row r="676">
          <cell r="X676" t="str">
            <v>1DBB-</v>
          </cell>
          <cell r="Y676" t="str">
            <v>SUBTOTAL - PIPELINE - FAB/DELIVERY BULKS</v>
          </cell>
          <cell r="Z676">
            <v>0</v>
          </cell>
          <cell r="AA676" t="str">
            <v>N/A</v>
          </cell>
          <cell r="AB676">
            <v>0</v>
          </cell>
          <cell r="AC676">
            <v>0</v>
          </cell>
          <cell r="AD676">
            <v>0</v>
          </cell>
          <cell r="AE676">
            <v>0</v>
          </cell>
          <cell r="AF676">
            <v>0</v>
          </cell>
        </row>
        <row r="678">
          <cell r="X678" t="str">
            <v>1DBCA</v>
          </cell>
          <cell r="Y678" t="str">
            <v>PIPELINE - FAB/DELIVERY ENG. SPECIALTIES - BUILDINGS</v>
          </cell>
          <cell r="Z678" t="str">
            <v>N/A</v>
          </cell>
          <cell r="AA678" t="str">
            <v>N/A</v>
          </cell>
          <cell r="AB678" t="str">
            <v>N/A</v>
          </cell>
          <cell r="AC678" t="str">
            <v>N/A</v>
          </cell>
          <cell r="AD678" t="str">
            <v>N/A</v>
          </cell>
          <cell r="AE678" t="str">
            <v>N/A</v>
          </cell>
          <cell r="AF678" t="str">
            <v>N/A</v>
          </cell>
        </row>
        <row r="679">
          <cell r="X679" t="str">
            <v>1DBCB</v>
          </cell>
          <cell r="Y679" t="str">
            <v>PIPELINE - FAB/DELIVERY ENG. SPECIALTIES - GENERAL</v>
          </cell>
          <cell r="Z679" t="str">
            <v>N/A</v>
          </cell>
          <cell r="AA679" t="str">
            <v>N/A</v>
          </cell>
          <cell r="AB679" t="str">
            <v>N/A</v>
          </cell>
          <cell r="AC679" t="str">
            <v>N/A</v>
          </cell>
          <cell r="AD679" t="str">
            <v>N/A</v>
          </cell>
          <cell r="AE679" t="str">
            <v>N/A</v>
          </cell>
          <cell r="AF679" t="str">
            <v>N/A</v>
          </cell>
        </row>
        <row r="680">
          <cell r="X680" t="str">
            <v>1DBC-</v>
          </cell>
          <cell r="Y680" t="str">
            <v>SUBTOTAL - PIPELINE - FAB/DELIVERY ENGINEERING SPECIALTIES</v>
          </cell>
          <cell r="Z680">
            <v>0</v>
          </cell>
          <cell r="AA680" t="str">
            <v>N/A</v>
          </cell>
          <cell r="AB680">
            <v>0</v>
          </cell>
          <cell r="AC680">
            <v>0</v>
          </cell>
          <cell r="AD680">
            <v>0</v>
          </cell>
          <cell r="AE680">
            <v>0</v>
          </cell>
          <cell r="AF680">
            <v>0</v>
          </cell>
        </row>
        <row r="686">
          <cell r="W686" t="str">
            <v>LEVEL 2 PIPELINE PG.4</v>
          </cell>
          <cell r="X686" t="str">
            <v>WBS CODE</v>
          </cell>
          <cell r="Y686" t="str">
            <v>DESCRIPTION</v>
          </cell>
          <cell r="Z686" t="str">
            <v>QUANTITY</v>
          </cell>
          <cell r="AA686" t="str">
            <v>UNITS</v>
          </cell>
          <cell r="AB686" t="str">
            <v>TOTAL MANHOURS</v>
          </cell>
          <cell r="AC686" t="str">
            <v>TOTAL LABOR COST</v>
          </cell>
          <cell r="AD686" t="str">
            <v>TOTAL MAT'L COST</v>
          </cell>
          <cell r="AE686" t="str">
            <v>TOTAL S/C COST</v>
          </cell>
          <cell r="AF686" t="str">
            <v>TOTAL COST</v>
          </cell>
        </row>
        <row r="687">
          <cell r="X687" t="str">
            <v>1DCAA</v>
          </cell>
          <cell r="Y687" t="str">
            <v>PIPELINE - CONSTRUCTION, CIVIL - SITE WORK</v>
          </cell>
          <cell r="Z687">
            <v>0</v>
          </cell>
          <cell r="AA687">
            <v>0</v>
          </cell>
          <cell r="AB687">
            <v>0</v>
          </cell>
          <cell r="AC687">
            <v>0</v>
          </cell>
          <cell r="AD687">
            <v>0</v>
          </cell>
          <cell r="AE687">
            <v>0</v>
          </cell>
          <cell r="AF687">
            <v>0</v>
          </cell>
        </row>
        <row r="688">
          <cell r="X688" t="str">
            <v>1DCAB</v>
          </cell>
          <cell r="Y688" t="str">
            <v>PIPELINE - CONSTRUCTION, CIVIL - FOUNDATIONS</v>
          </cell>
          <cell r="AF688">
            <v>0</v>
          </cell>
          <cell r="AG688">
            <v>0</v>
          </cell>
        </row>
        <row r="689">
          <cell r="X689" t="str">
            <v>1DCA</v>
          </cell>
          <cell r="Y689" t="str">
            <v>SUBTOTAL - PIPELINE - CONSTRUCTION, CIVIL</v>
          </cell>
          <cell r="Z689">
            <v>0</v>
          </cell>
          <cell r="AA689" t="str">
            <v>N/A</v>
          </cell>
          <cell r="AB689">
            <v>0</v>
          </cell>
          <cell r="AC689">
            <v>0</v>
          </cell>
          <cell r="AD689">
            <v>0</v>
          </cell>
          <cell r="AE689">
            <v>0</v>
          </cell>
          <cell r="AF689">
            <v>0</v>
          </cell>
        </row>
        <row r="691">
          <cell r="X691" t="str">
            <v>1DCBA</v>
          </cell>
          <cell r="Y691" t="str">
            <v>PIPELINE - CONSTRUCTION, MAJOR EQUIPMENT - PRESSURE VESSELS</v>
          </cell>
          <cell r="Z691" t="str">
            <v>N/A</v>
          </cell>
          <cell r="AA691" t="str">
            <v>N/A</v>
          </cell>
          <cell r="AB691" t="str">
            <v>N/A</v>
          </cell>
          <cell r="AC691" t="str">
            <v>N/A</v>
          </cell>
          <cell r="AD691" t="str">
            <v>N/A</v>
          </cell>
          <cell r="AE691" t="str">
            <v>N/A</v>
          </cell>
          <cell r="AF691" t="str">
            <v>N/A</v>
          </cell>
        </row>
        <row r="692">
          <cell r="X692" t="str">
            <v>1DCBB</v>
          </cell>
          <cell r="Y692" t="str">
            <v>PIPELINE - CONSTRUCTION, MAJOR EQUIPMENT - COLUMNS</v>
          </cell>
          <cell r="Z692" t="str">
            <v>N/A</v>
          </cell>
          <cell r="AA692" t="str">
            <v>N/A</v>
          </cell>
          <cell r="AB692" t="str">
            <v>N/A</v>
          </cell>
          <cell r="AC692" t="str">
            <v>N/A</v>
          </cell>
          <cell r="AD692" t="str">
            <v>N/A</v>
          </cell>
          <cell r="AE692" t="str">
            <v>N/A</v>
          </cell>
          <cell r="AF692" t="str">
            <v>N/A</v>
          </cell>
        </row>
        <row r="693">
          <cell r="X693" t="str">
            <v>1DCBC</v>
          </cell>
          <cell r="Y693" t="str">
            <v>PIPELINE - CONSTRUCTION, MAJOR EQUIPMENT - REACTORS</v>
          </cell>
          <cell r="Z693" t="str">
            <v>N/A</v>
          </cell>
          <cell r="AA693" t="str">
            <v>N/A</v>
          </cell>
          <cell r="AB693" t="str">
            <v>N/A</v>
          </cell>
          <cell r="AC693" t="str">
            <v>N/A</v>
          </cell>
          <cell r="AD693" t="str">
            <v>N/A</v>
          </cell>
          <cell r="AE693" t="str">
            <v>N/A</v>
          </cell>
          <cell r="AF693" t="str">
            <v>N/A</v>
          </cell>
        </row>
        <row r="694">
          <cell r="X694" t="str">
            <v>1DCBD</v>
          </cell>
          <cell r="Y694" t="str">
            <v>PIPELINE - CONSTRUCTION, MAJOR EQUIPMENT - FIELD ERECTED TANKS</v>
          </cell>
          <cell r="Z694" t="str">
            <v>N/A</v>
          </cell>
          <cell r="AA694" t="str">
            <v>N/A</v>
          </cell>
          <cell r="AB694" t="str">
            <v>N/A</v>
          </cell>
          <cell r="AC694" t="str">
            <v>N/A</v>
          </cell>
          <cell r="AD694" t="str">
            <v>N/A</v>
          </cell>
          <cell r="AE694" t="str">
            <v>N/A</v>
          </cell>
          <cell r="AF694" t="str">
            <v>N/A</v>
          </cell>
        </row>
        <row r="695">
          <cell r="X695" t="str">
            <v>1DCBE</v>
          </cell>
          <cell r="Y695" t="str">
            <v>PIPELINE - CONSTRUCTION, MAJOR EQUIPMENT - PUMPS</v>
          </cell>
          <cell r="Z695" t="str">
            <v>N/A</v>
          </cell>
          <cell r="AA695" t="str">
            <v>N/A</v>
          </cell>
          <cell r="AB695" t="str">
            <v>N/A</v>
          </cell>
          <cell r="AC695" t="str">
            <v>N/A</v>
          </cell>
          <cell r="AD695" t="str">
            <v>N/A</v>
          </cell>
          <cell r="AE695" t="str">
            <v>N/A</v>
          </cell>
          <cell r="AF695" t="str">
            <v>N/A</v>
          </cell>
        </row>
        <row r="696">
          <cell r="X696" t="str">
            <v>1DCBF</v>
          </cell>
          <cell r="Y696" t="str">
            <v>PIPELINE - CONSTRUCTION, MAJOR EQUIPMENT - HEAT EXCHANGERS S&amp;T</v>
          </cell>
          <cell r="Z696" t="str">
            <v>N/A</v>
          </cell>
          <cell r="AA696" t="str">
            <v>N/A</v>
          </cell>
          <cell r="AB696" t="str">
            <v>N/A</v>
          </cell>
          <cell r="AC696" t="str">
            <v>N/A</v>
          </cell>
          <cell r="AD696" t="str">
            <v>N/A</v>
          </cell>
          <cell r="AE696" t="str">
            <v>N/A</v>
          </cell>
          <cell r="AF696" t="str">
            <v>N/A</v>
          </cell>
        </row>
        <row r="697">
          <cell r="X697" t="str">
            <v>1DCBG</v>
          </cell>
          <cell r="Y697" t="str">
            <v>PIPELINE - CONSTRUCTION, MAJOR EQUIPMENT - HEAT EXCHANGERS FINNED</v>
          </cell>
          <cell r="Z697" t="str">
            <v>N/A</v>
          </cell>
          <cell r="AA697" t="str">
            <v>N/A</v>
          </cell>
          <cell r="AB697" t="str">
            <v>N/A</v>
          </cell>
          <cell r="AC697" t="str">
            <v>N/A</v>
          </cell>
          <cell r="AD697" t="str">
            <v>N/A</v>
          </cell>
          <cell r="AE697" t="str">
            <v>N/A</v>
          </cell>
          <cell r="AF697" t="str">
            <v>N/A</v>
          </cell>
        </row>
        <row r="698">
          <cell r="X698" t="str">
            <v>1DCBH</v>
          </cell>
          <cell r="Y698" t="str">
            <v>PIPELINE - CONSTRUCTION, MAJOR EQUIPMENT - EXTRUDERS</v>
          </cell>
          <cell r="Z698" t="str">
            <v>N/A</v>
          </cell>
          <cell r="AA698" t="str">
            <v>N/A</v>
          </cell>
          <cell r="AB698" t="str">
            <v>N/A</v>
          </cell>
          <cell r="AC698" t="str">
            <v>N/A</v>
          </cell>
          <cell r="AD698" t="str">
            <v>N/A</v>
          </cell>
          <cell r="AE698" t="str">
            <v>N/A</v>
          </cell>
          <cell r="AF698" t="str">
            <v>N/A</v>
          </cell>
        </row>
        <row r="699">
          <cell r="X699" t="str">
            <v>1DCBI</v>
          </cell>
          <cell r="Y699" t="str">
            <v>PIPELINE - CONSTRUCTION, MAJOR EQUIPMENT - COMPRESSORS</v>
          </cell>
          <cell r="Z699" t="str">
            <v>N/A</v>
          </cell>
          <cell r="AA699" t="str">
            <v>N/A</v>
          </cell>
          <cell r="AB699" t="str">
            <v>N/A</v>
          </cell>
          <cell r="AC699" t="str">
            <v>N/A</v>
          </cell>
          <cell r="AD699" t="str">
            <v>N/A</v>
          </cell>
          <cell r="AE699" t="str">
            <v>N/A</v>
          </cell>
          <cell r="AF699" t="str">
            <v>N/A</v>
          </cell>
        </row>
        <row r="700">
          <cell r="X700" t="str">
            <v>1DCBJ</v>
          </cell>
          <cell r="Y700" t="str">
            <v>PIPELINE - CONSTRUCTION, MAJOR EQUIPMENT - GENERATORS</v>
          </cell>
          <cell r="Z700" t="str">
            <v>N/A</v>
          </cell>
          <cell r="AA700" t="str">
            <v>N/A</v>
          </cell>
          <cell r="AB700" t="str">
            <v>N/A</v>
          </cell>
          <cell r="AC700" t="str">
            <v>N/A</v>
          </cell>
          <cell r="AD700" t="str">
            <v>N/A</v>
          </cell>
          <cell r="AE700" t="str">
            <v>N/A</v>
          </cell>
          <cell r="AF700" t="str">
            <v>N/A</v>
          </cell>
        </row>
        <row r="701">
          <cell r="X701" t="str">
            <v>1DCBK</v>
          </cell>
          <cell r="Y701" t="str">
            <v>PIPELINE - CONSTRUCTION, MAJOR EQUIPMENT - MOTORS &amp; DRIVERS</v>
          </cell>
          <cell r="Z701" t="str">
            <v>N/A</v>
          </cell>
          <cell r="AA701" t="str">
            <v>N/A</v>
          </cell>
          <cell r="AB701" t="str">
            <v>N/A</v>
          </cell>
          <cell r="AC701" t="str">
            <v>N/A</v>
          </cell>
          <cell r="AD701" t="str">
            <v>N/A</v>
          </cell>
          <cell r="AE701" t="str">
            <v>N/A</v>
          </cell>
          <cell r="AF701" t="str">
            <v>N/A</v>
          </cell>
        </row>
        <row r="702">
          <cell r="X702" t="str">
            <v>1DCBL</v>
          </cell>
          <cell r="Y702" t="str">
            <v>PIPELINE - CONSTRUCTION, MAJOR EQUIPMENT - FIRED EQUIPMENT</v>
          </cell>
          <cell r="Z702" t="str">
            <v>N/A</v>
          </cell>
          <cell r="AA702" t="str">
            <v>N/A</v>
          </cell>
          <cell r="AB702" t="str">
            <v>N/A</v>
          </cell>
          <cell r="AC702" t="str">
            <v>N/A</v>
          </cell>
          <cell r="AD702" t="str">
            <v>N/A</v>
          </cell>
          <cell r="AE702" t="str">
            <v>N/A</v>
          </cell>
          <cell r="AF702" t="str">
            <v>N/A</v>
          </cell>
        </row>
        <row r="703">
          <cell r="X703" t="str">
            <v>1DCBM</v>
          </cell>
          <cell r="Y703" t="str">
            <v>PIPELINE - CONSTRUCTION, MAJOR EQUIPMENT - BLOWERS, FANS</v>
          </cell>
          <cell r="Z703" t="str">
            <v>N/A</v>
          </cell>
          <cell r="AA703" t="str">
            <v>N/A</v>
          </cell>
          <cell r="AB703" t="str">
            <v>N/A</v>
          </cell>
          <cell r="AC703" t="str">
            <v>N/A</v>
          </cell>
          <cell r="AD703" t="str">
            <v>N/A</v>
          </cell>
          <cell r="AE703" t="str">
            <v>N/A</v>
          </cell>
          <cell r="AF703" t="str">
            <v>N/A</v>
          </cell>
        </row>
        <row r="704">
          <cell r="X704" t="str">
            <v>1DCBN</v>
          </cell>
          <cell r="Y704" t="str">
            <v>PIPELINE - CONSTRUCTION, MAJOR EQUIPMENT - FILTERS</v>
          </cell>
          <cell r="Z704" t="str">
            <v>N/A</v>
          </cell>
          <cell r="AA704" t="str">
            <v>N/A</v>
          </cell>
          <cell r="AB704" t="str">
            <v>N/A</v>
          </cell>
          <cell r="AC704" t="str">
            <v>N/A</v>
          </cell>
          <cell r="AD704" t="str">
            <v>N/A</v>
          </cell>
          <cell r="AE704" t="str">
            <v>N/A</v>
          </cell>
          <cell r="AF704" t="str">
            <v>N/A</v>
          </cell>
        </row>
        <row r="705">
          <cell r="X705" t="str">
            <v>1DCBO</v>
          </cell>
          <cell r="Y705" t="str">
            <v>PIPELINE - CONSTRUCTION, MAJOR EQUIPMENT - FLARES</v>
          </cell>
          <cell r="Z705" t="str">
            <v>N/A</v>
          </cell>
          <cell r="AA705" t="str">
            <v>N/A</v>
          </cell>
          <cell r="AB705" t="str">
            <v>N/A</v>
          </cell>
          <cell r="AC705" t="str">
            <v>N/A</v>
          </cell>
          <cell r="AD705" t="str">
            <v>N/A</v>
          </cell>
          <cell r="AE705" t="str">
            <v>N/A</v>
          </cell>
          <cell r="AF705" t="str">
            <v>N/A</v>
          </cell>
        </row>
        <row r="706">
          <cell r="X706" t="str">
            <v>1DCBP</v>
          </cell>
          <cell r="Y706" t="str">
            <v>PIPELINE - CONSTRUCTION, MAJOR EQUIPMENT - SOLIDS HANDLING EQUIPMENT</v>
          </cell>
          <cell r="Z706" t="str">
            <v>N/A</v>
          </cell>
          <cell r="AA706" t="str">
            <v>N/A</v>
          </cell>
          <cell r="AB706" t="str">
            <v>N/A</v>
          </cell>
          <cell r="AC706" t="str">
            <v>N/A</v>
          </cell>
          <cell r="AD706" t="str">
            <v>N/A</v>
          </cell>
          <cell r="AE706" t="str">
            <v>N/A</v>
          </cell>
          <cell r="AF706" t="str">
            <v>N/A</v>
          </cell>
        </row>
        <row r="707">
          <cell r="X707" t="str">
            <v>1DCBQ</v>
          </cell>
          <cell r="Y707" t="str">
            <v>PIPELINE - CONSTRUCTION, MAJOR EQUIPMENT - PACKAGED EQUIPMENT</v>
          </cell>
          <cell r="Z707" t="str">
            <v>N/A</v>
          </cell>
          <cell r="AA707" t="str">
            <v>N/A</v>
          </cell>
          <cell r="AB707" t="str">
            <v>N/A</v>
          </cell>
          <cell r="AC707" t="str">
            <v>N/A</v>
          </cell>
          <cell r="AD707" t="str">
            <v>N/A</v>
          </cell>
          <cell r="AE707" t="str">
            <v>N/A</v>
          </cell>
          <cell r="AF707" t="str">
            <v>N/A</v>
          </cell>
        </row>
        <row r="708">
          <cell r="X708" t="str">
            <v>1DCBX</v>
          </cell>
          <cell r="Y708" t="str">
            <v>PIPELINE - CONSTRUCTION, MAJOR EQUIPMENT - OTHERS</v>
          </cell>
          <cell r="Z708" t="str">
            <v>N/A</v>
          </cell>
          <cell r="AA708" t="str">
            <v>N/A</v>
          </cell>
          <cell r="AB708" t="str">
            <v>N/A</v>
          </cell>
          <cell r="AC708" t="str">
            <v>N/A</v>
          </cell>
          <cell r="AD708" t="str">
            <v>N/A</v>
          </cell>
          <cell r="AE708" t="str">
            <v>N/A</v>
          </cell>
          <cell r="AF708" t="str">
            <v>N/A</v>
          </cell>
        </row>
        <row r="709">
          <cell r="X709" t="str">
            <v>1DCB-</v>
          </cell>
          <cell r="Y709" t="str">
            <v>SUBTOTAL - PIPELINE - CONSTRUCTION, MAJOR EQUIPMENT</v>
          </cell>
          <cell r="Z709">
            <v>0</v>
          </cell>
          <cell r="AA709" t="str">
            <v>N/A</v>
          </cell>
          <cell r="AB709">
            <v>0</v>
          </cell>
          <cell r="AC709">
            <v>0</v>
          </cell>
          <cell r="AD709">
            <v>0</v>
          </cell>
          <cell r="AE709">
            <v>0</v>
          </cell>
          <cell r="AF709">
            <v>0</v>
          </cell>
        </row>
        <row r="711">
          <cell r="X711" t="str">
            <v>1DCCA</v>
          </cell>
          <cell r="Y711" t="str">
            <v>PIPELINE - CONSTRUCTION, BULKS - STRUCTURAL</v>
          </cell>
          <cell r="AF711">
            <v>0</v>
          </cell>
          <cell r="AG711">
            <v>0</v>
          </cell>
        </row>
        <row r="712">
          <cell r="X712" t="str">
            <v>1DCCB</v>
          </cell>
          <cell r="Y712" t="str">
            <v>PIPELINE - CONSTRUCTION, BULKS - PIPING</v>
          </cell>
          <cell r="AF712">
            <v>0</v>
          </cell>
          <cell r="AG712">
            <v>0</v>
          </cell>
        </row>
        <row r="713">
          <cell r="X713" t="str">
            <v>1DCCC</v>
          </cell>
          <cell r="Y713" t="str">
            <v>PIPELINE - CONSTRUCTION, BULKS - ELECTRICAL</v>
          </cell>
          <cell r="AF713">
            <v>0</v>
          </cell>
          <cell r="AG713">
            <v>0</v>
          </cell>
        </row>
        <row r="714">
          <cell r="X714" t="str">
            <v>1DCCD</v>
          </cell>
          <cell r="Y714" t="str">
            <v>PIPELINE - CONSTRUCTION, BULKS - INSTRUMENTATION</v>
          </cell>
          <cell r="AF714">
            <v>0</v>
          </cell>
          <cell r="AG714">
            <v>0</v>
          </cell>
        </row>
        <row r="715">
          <cell r="X715" t="str">
            <v>1DCCE</v>
          </cell>
          <cell r="Y715" t="str">
            <v>PIPELINE - CONSTRUCTION, BULKS - PIPELINES</v>
          </cell>
          <cell r="Z715">
            <v>0</v>
          </cell>
          <cell r="AA715">
            <v>0</v>
          </cell>
          <cell r="AB715">
            <v>0</v>
          </cell>
          <cell r="AC715">
            <v>0</v>
          </cell>
          <cell r="AD715">
            <v>0</v>
          </cell>
          <cell r="AE715">
            <v>0</v>
          </cell>
          <cell r="AF715">
            <v>0</v>
          </cell>
        </row>
        <row r="716">
          <cell r="X716" t="str">
            <v>1DCC-</v>
          </cell>
          <cell r="Y716" t="str">
            <v xml:space="preserve">SUBTOTAL - PIPELINE - CONSTRUCTION, BULKS </v>
          </cell>
          <cell r="Z716">
            <v>0</v>
          </cell>
          <cell r="AA716" t="str">
            <v>N/A</v>
          </cell>
          <cell r="AB716">
            <v>0</v>
          </cell>
          <cell r="AC716">
            <v>0</v>
          </cell>
          <cell r="AD716">
            <v>0</v>
          </cell>
          <cell r="AE716">
            <v>0</v>
          </cell>
          <cell r="AF716">
            <v>0</v>
          </cell>
        </row>
        <row r="718">
          <cell r="X718" t="str">
            <v>1DCDA</v>
          </cell>
          <cell r="Y718" t="str">
            <v>PIPELINE - CONSTRUCTION SPECIALTIES - BUILDINGS</v>
          </cell>
          <cell r="Z718" t="str">
            <v>N/A</v>
          </cell>
          <cell r="AA718" t="str">
            <v>N/A</v>
          </cell>
          <cell r="AB718" t="str">
            <v>N/A</v>
          </cell>
          <cell r="AC718" t="str">
            <v>N/A</v>
          </cell>
          <cell r="AD718" t="str">
            <v>N/A</v>
          </cell>
          <cell r="AE718" t="str">
            <v>N/A</v>
          </cell>
          <cell r="AF718" t="str">
            <v>N/A</v>
          </cell>
        </row>
        <row r="719">
          <cell r="X719" t="str">
            <v>1DCDB</v>
          </cell>
          <cell r="Y719" t="str">
            <v>PIPELINE - CONSTRUCTION SPECIALTIES - GENERAL</v>
          </cell>
          <cell r="AF719">
            <v>0</v>
          </cell>
          <cell r="AG719">
            <v>0</v>
          </cell>
        </row>
        <row r="720">
          <cell r="X720" t="str">
            <v>1DCD-</v>
          </cell>
          <cell r="Y720" t="str">
            <v>SUBTOTAL - PIPELINE - CONSTRUCTION SPECIALTIES</v>
          </cell>
          <cell r="Z720">
            <v>0</v>
          </cell>
          <cell r="AA720" t="str">
            <v>N/A</v>
          </cell>
          <cell r="AB720">
            <v>0</v>
          </cell>
          <cell r="AC720">
            <v>0</v>
          </cell>
          <cell r="AD720">
            <v>0</v>
          </cell>
          <cell r="AE720">
            <v>0</v>
          </cell>
          <cell r="AF720">
            <v>0</v>
          </cell>
        </row>
        <row r="724">
          <cell r="W724" t="str">
            <v>LEVEL 2 PIPELINE PG 5</v>
          </cell>
          <cell r="X724" t="str">
            <v>WBS CODE</v>
          </cell>
          <cell r="Y724" t="str">
            <v>DESCRIPTION</v>
          </cell>
          <cell r="Z724" t="str">
            <v>QUANTITY</v>
          </cell>
          <cell r="AA724" t="str">
            <v>UNITS</v>
          </cell>
          <cell r="AB724" t="str">
            <v>TOTAL MANHOURS</v>
          </cell>
          <cell r="AC724" t="str">
            <v>TOTAL LABOR COST</v>
          </cell>
          <cell r="AD724" t="str">
            <v>TOTAL MAT'L COST</v>
          </cell>
          <cell r="AE724" t="str">
            <v>TOTAL S/C COST</v>
          </cell>
          <cell r="AF724" t="str">
            <v>TOTAL COST</v>
          </cell>
        </row>
        <row r="726">
          <cell r="X726" t="str">
            <v>1DCEA</v>
          </cell>
          <cell r="Y726" t="str">
            <v>PIPELINE - CONSTRUCTION, OTHER DIRECT WORK - FIRE PROTECTION</v>
          </cell>
          <cell r="AF726">
            <v>0</v>
          </cell>
          <cell r="AG726">
            <v>0</v>
          </cell>
        </row>
        <row r="727">
          <cell r="X727" t="str">
            <v>1DCEB</v>
          </cell>
          <cell r="Y727" t="str">
            <v>PIPELINE - CONSTRUCTION, OTHER DIRECT WORK - FIREPROOFING</v>
          </cell>
          <cell r="AF727">
            <v>0</v>
          </cell>
          <cell r="AG727">
            <v>0</v>
          </cell>
        </row>
        <row r="728">
          <cell r="X728" t="str">
            <v>1DCEC</v>
          </cell>
          <cell r="Y728" t="str">
            <v>PIPELINE - CONSTRUCTION, OTHER DIRECT WORK - INSULATION</v>
          </cell>
          <cell r="AF728">
            <v>0</v>
          </cell>
          <cell r="AG728">
            <v>0</v>
          </cell>
        </row>
        <row r="729">
          <cell r="X729" t="str">
            <v>1DCED</v>
          </cell>
          <cell r="Y729" t="str">
            <v>PIPELINE - CONSTRUCTION, OTHER DIRECT WORK - PAINTING</v>
          </cell>
          <cell r="AF729">
            <v>0</v>
          </cell>
          <cell r="AG729">
            <v>0</v>
          </cell>
        </row>
        <row r="730">
          <cell r="X730" t="str">
            <v>1DCEE</v>
          </cell>
          <cell r="Y730" t="str">
            <v>PIPELINE - CONSTRUCTION, OTHER DIRECT WORK - SHUTDOWN</v>
          </cell>
          <cell r="AF730">
            <v>0</v>
          </cell>
          <cell r="AG730">
            <v>0</v>
          </cell>
        </row>
        <row r="731">
          <cell r="X731" t="str">
            <v>1DCEF</v>
          </cell>
          <cell r="Y731" t="str">
            <v>PIPELINE - CONSTRUCTION, OTHER DIRECT WORK - PRE-COMMISSIONING</v>
          </cell>
          <cell r="AF731">
            <v>0</v>
          </cell>
          <cell r="AG731">
            <v>0</v>
          </cell>
        </row>
        <row r="732">
          <cell r="X732" t="str">
            <v>1DCEG</v>
          </cell>
          <cell r="Y732" t="str">
            <v>PIPELINE - CONSTRUCTION, OTHER DIRECT WORK - ENVIRONMENTAL</v>
          </cell>
          <cell r="AF732">
            <v>0</v>
          </cell>
          <cell r="AG732">
            <v>0</v>
          </cell>
        </row>
        <row r="733">
          <cell r="X733" t="str">
            <v>1DCEX</v>
          </cell>
          <cell r="Y733" t="str">
            <v>PIPELINE - CONSTRUCTION, OTHER DIRECT WORK - OTHER</v>
          </cell>
          <cell r="AF733">
            <v>0</v>
          </cell>
          <cell r="AG733">
            <v>0</v>
          </cell>
        </row>
        <row r="734">
          <cell r="X734" t="str">
            <v>1DCE</v>
          </cell>
          <cell r="Y734" t="str">
            <v xml:space="preserve">SUBTOTAL - PIPELINE - CONSTRUCTION, OTHER DIRECT WORK - </v>
          </cell>
          <cell r="Z734">
            <v>0</v>
          </cell>
          <cell r="AA734" t="str">
            <v>N/A</v>
          </cell>
          <cell r="AB734">
            <v>0</v>
          </cell>
          <cell r="AC734">
            <v>0</v>
          </cell>
          <cell r="AD734">
            <v>0</v>
          </cell>
          <cell r="AE734">
            <v>0</v>
          </cell>
          <cell r="AF734">
            <v>0</v>
          </cell>
        </row>
        <row r="736">
          <cell r="X736" t="str">
            <v>1DCFA</v>
          </cell>
          <cell r="Y736" t="str">
            <v>PIPELINE - CONSTRUCTION INDIRECTS</v>
          </cell>
          <cell r="AF736">
            <v>0</v>
          </cell>
          <cell r="AG736">
            <v>0</v>
          </cell>
        </row>
        <row r="737">
          <cell r="X737" t="str">
            <v>1DCF</v>
          </cell>
          <cell r="Y737" t="str">
            <v>SUBTOTAL - PIPELINE - CONSTRUCTION INDIRECTS</v>
          </cell>
          <cell r="Z737">
            <v>0</v>
          </cell>
          <cell r="AA737" t="str">
            <v>N/A</v>
          </cell>
          <cell r="AB737">
            <v>0</v>
          </cell>
          <cell r="AC737">
            <v>0</v>
          </cell>
          <cell r="AD737">
            <v>0</v>
          </cell>
          <cell r="AE737">
            <v>0</v>
          </cell>
          <cell r="AF737">
            <v>0</v>
          </cell>
        </row>
        <row r="739">
          <cell r="X739" t="str">
            <v>1DDAA</v>
          </cell>
          <cell r="Y739" t="str">
            <v>PIPELINE - COMMISSIONING - PROCESS</v>
          </cell>
          <cell r="AF739">
            <v>0</v>
          </cell>
          <cell r="AG739">
            <v>0</v>
          </cell>
        </row>
        <row r="740">
          <cell r="X740" t="str">
            <v>1DDAB</v>
          </cell>
          <cell r="Y740" t="str">
            <v>PIPELINE - COMMISSIONING - UTILITIES</v>
          </cell>
          <cell r="AF740">
            <v>0</v>
          </cell>
          <cell r="AG740">
            <v>0</v>
          </cell>
        </row>
        <row r="741">
          <cell r="X741" t="str">
            <v>1DDA-</v>
          </cell>
          <cell r="Y741" t="str">
            <v>SUBTOTAL - PIPELINE - COMMISSIONING</v>
          </cell>
          <cell r="Z741">
            <v>0</v>
          </cell>
          <cell r="AA741" t="str">
            <v>N/A</v>
          </cell>
          <cell r="AB741">
            <v>0</v>
          </cell>
          <cell r="AC741">
            <v>0</v>
          </cell>
          <cell r="AD741">
            <v>0</v>
          </cell>
          <cell r="AE741">
            <v>0</v>
          </cell>
          <cell r="AF741">
            <v>0</v>
          </cell>
        </row>
        <row r="743">
          <cell r="X743" t="str">
            <v>1DDBA</v>
          </cell>
          <cell r="Y743" t="str">
            <v>PIPELINE - STARTUP - PROCESS</v>
          </cell>
          <cell r="AF743">
            <v>0</v>
          </cell>
          <cell r="AG743">
            <v>0</v>
          </cell>
        </row>
        <row r="744">
          <cell r="X744" t="str">
            <v>1DDBB</v>
          </cell>
          <cell r="Y744" t="str">
            <v>PIPELINE - STARTUP - UTILITIES</v>
          </cell>
          <cell r="AF744">
            <v>0</v>
          </cell>
          <cell r="AG744">
            <v>0</v>
          </cell>
        </row>
        <row r="745">
          <cell r="X745" t="str">
            <v>1DDB-</v>
          </cell>
          <cell r="Y745" t="str">
            <v>SUBTOTAL - PIPELINE - STARTUP</v>
          </cell>
          <cell r="Z745">
            <v>0</v>
          </cell>
          <cell r="AA745" t="str">
            <v>N/A</v>
          </cell>
          <cell r="AB745">
            <v>0</v>
          </cell>
          <cell r="AC745">
            <v>0</v>
          </cell>
          <cell r="AD745">
            <v>0</v>
          </cell>
          <cell r="AE745">
            <v>0</v>
          </cell>
          <cell r="AF745">
            <v>0</v>
          </cell>
        </row>
        <row r="747">
          <cell r="X747" t="str">
            <v>1DDCA</v>
          </cell>
          <cell r="Y747" t="str">
            <v>PIPELINE - TRAINING</v>
          </cell>
          <cell r="AF747">
            <v>0</v>
          </cell>
          <cell r="AG747">
            <v>0</v>
          </cell>
        </row>
        <row r="748">
          <cell r="X748" t="str">
            <v>1DDC-</v>
          </cell>
          <cell r="Y748" t="str">
            <v>SUBTOTAL - PIPELINE - TRAINING</v>
          </cell>
          <cell r="Z748">
            <v>0</v>
          </cell>
          <cell r="AA748" t="str">
            <v>N/A</v>
          </cell>
          <cell r="AB748">
            <v>0</v>
          </cell>
          <cell r="AC748">
            <v>0</v>
          </cell>
          <cell r="AD748">
            <v>0</v>
          </cell>
          <cell r="AE748">
            <v>0</v>
          </cell>
          <cell r="AF748">
            <v>0</v>
          </cell>
        </row>
        <row r="762">
          <cell r="L762" t="str">
            <v>CYCLE &amp; LVL 1    TANK</v>
          </cell>
          <cell r="M762" t="str">
            <v>WBS CODE</v>
          </cell>
          <cell r="N762" t="str">
            <v>DESCRIPTION</v>
          </cell>
          <cell r="O762" t="str">
            <v>QUANTITY</v>
          </cell>
          <cell r="P762" t="str">
            <v>UNITS</v>
          </cell>
          <cell r="Q762" t="str">
            <v>TOTAL MANHOURS</v>
          </cell>
          <cell r="R762" t="str">
            <v>TOTAL LABOR COST</v>
          </cell>
          <cell r="S762" t="str">
            <v>TOTAL MAT'L COST</v>
          </cell>
          <cell r="T762" t="str">
            <v>TOTAL S/C COST</v>
          </cell>
          <cell r="U762" t="str">
            <v>TOTAL COST</v>
          </cell>
          <cell r="W762" t="str">
            <v>LEVEL 2 TANK PG.1</v>
          </cell>
          <cell r="X762" t="str">
            <v>WBS CODE</v>
          </cell>
          <cell r="Y762" t="str">
            <v>DESCRIPTION</v>
          </cell>
          <cell r="Z762" t="str">
            <v>QUANTITY</v>
          </cell>
          <cell r="AA762" t="str">
            <v>UNITS</v>
          </cell>
          <cell r="AB762" t="str">
            <v>TOTAL MANHOURS</v>
          </cell>
          <cell r="AC762" t="str">
            <v>TOTAL LABOR COST</v>
          </cell>
          <cell r="AD762" t="str">
            <v>TOTAL MAT'L COST</v>
          </cell>
          <cell r="AE762" t="str">
            <v>TOTAL S/C COST</v>
          </cell>
          <cell r="AF762" t="str">
            <v>TOTAL COST</v>
          </cell>
          <cell r="AG762">
            <v>0</v>
          </cell>
          <cell r="AH762" t="str">
            <v>LEVEL 3 TANK PG 1</v>
          </cell>
          <cell r="AI762" t="str">
            <v>WBS CODE</v>
          </cell>
          <cell r="AJ762" t="str">
            <v>DESCRIPTION</v>
          </cell>
          <cell r="AK762" t="str">
            <v>QUANTITY</v>
          </cell>
          <cell r="AL762" t="str">
            <v>UNITS</v>
          </cell>
          <cell r="AM762" t="str">
            <v>TOTAL MANHOURS</v>
          </cell>
          <cell r="AN762" t="str">
            <v>TOTAL LABOR COST</v>
          </cell>
          <cell r="AO762" t="str">
            <v>TOTAL MAT'L COST</v>
          </cell>
          <cell r="AP762" t="str">
            <v>TOTAL S/C COST</v>
          </cell>
          <cell r="AQ762" t="str">
            <v>TOTAL COST</v>
          </cell>
          <cell r="AR762">
            <v>0</v>
          </cell>
        </row>
        <row r="764">
          <cell r="M764" t="str">
            <v>1EAA-</v>
          </cell>
          <cell r="N764" t="str">
            <v>TANK - DIRECT ENGINEERING</v>
          </cell>
          <cell r="Q764">
            <v>0</v>
          </cell>
          <cell r="R764">
            <v>0</v>
          </cell>
          <cell r="S764">
            <v>0</v>
          </cell>
          <cell r="T764">
            <v>0</v>
          </cell>
          <cell r="U764">
            <v>0</v>
          </cell>
          <cell r="X764" t="str">
            <v>1EAAA</v>
          </cell>
          <cell r="Y764" t="str">
            <v>TANK - DIR. ENG.  PROCESS</v>
          </cell>
          <cell r="AF764">
            <v>0</v>
          </cell>
          <cell r="AG764">
            <v>0</v>
          </cell>
          <cell r="AH764">
            <v>0</v>
          </cell>
          <cell r="AI764" t="str">
            <v>1ECBIA</v>
          </cell>
          <cell r="AJ764" t="str">
            <v>BOIL OFF GAS COMPRESSOR</v>
          </cell>
          <cell r="AK764">
            <v>0</v>
          </cell>
          <cell r="AL764">
            <v>0</v>
          </cell>
          <cell r="AM764">
            <v>0</v>
          </cell>
          <cell r="AN764">
            <v>0</v>
          </cell>
          <cell r="AO764">
            <v>0</v>
          </cell>
          <cell r="AP764">
            <v>0</v>
          </cell>
          <cell r="AQ764">
            <v>0</v>
          </cell>
          <cell r="AR764">
            <v>0</v>
          </cell>
        </row>
        <row r="765">
          <cell r="M765" t="str">
            <v>1EAH-</v>
          </cell>
          <cell r="N765" t="str">
            <v>TANK EQUIPMENT SPECIFICATION</v>
          </cell>
          <cell r="Q765">
            <v>0</v>
          </cell>
          <cell r="R765">
            <v>0</v>
          </cell>
          <cell r="S765">
            <v>0</v>
          </cell>
          <cell r="T765">
            <v>0</v>
          </cell>
          <cell r="U765">
            <v>0</v>
          </cell>
          <cell r="X765" t="str">
            <v>1EAAB</v>
          </cell>
          <cell r="Y765" t="str">
            <v>TANK - DIR. ENG.  PERMITS</v>
          </cell>
          <cell r="AF765">
            <v>0</v>
          </cell>
          <cell r="AG765">
            <v>0</v>
          </cell>
          <cell r="AH765">
            <v>0</v>
          </cell>
          <cell r="AI765" t="str">
            <v>1ECBIX</v>
          </cell>
          <cell r="AJ765" t="str">
            <v>OTHER COMPRESSORS</v>
          </cell>
          <cell r="AK765">
            <v>0</v>
          </cell>
          <cell r="AL765">
            <v>0</v>
          </cell>
          <cell r="AM765">
            <v>0</v>
          </cell>
          <cell r="AN765">
            <v>0</v>
          </cell>
          <cell r="AO765">
            <v>0</v>
          </cell>
          <cell r="AP765">
            <v>0</v>
          </cell>
          <cell r="AQ765">
            <v>0</v>
          </cell>
          <cell r="AR765">
            <v>0</v>
          </cell>
        </row>
        <row r="766">
          <cell r="M766" t="str">
            <v>1EAI-</v>
          </cell>
          <cell r="N766" t="str">
            <v>TANK - ENGINEERING PROCUREMENT</v>
          </cell>
          <cell r="Q766">
            <v>0</v>
          </cell>
          <cell r="R766">
            <v>0</v>
          </cell>
          <cell r="S766">
            <v>0</v>
          </cell>
          <cell r="T766">
            <v>0</v>
          </cell>
          <cell r="U766">
            <v>0</v>
          </cell>
          <cell r="X766" t="str">
            <v>1EAAC</v>
          </cell>
          <cell r="Y766" t="str">
            <v>TANK - DIR. ENG.  CIVIL/STRUCTURAL</v>
          </cell>
          <cell r="AF766">
            <v>0</v>
          </cell>
          <cell r="AG766">
            <v>0</v>
          </cell>
          <cell r="AH766">
            <v>0</v>
          </cell>
          <cell r="AI766" t="str">
            <v>1ECBI-</v>
          </cell>
          <cell r="AJ766" t="str">
            <v>TANK - CONSTRUCTION, MAJOR EQUIPMENT - COMPRESSORS</v>
          </cell>
          <cell r="AK766">
            <v>0</v>
          </cell>
          <cell r="AL766">
            <v>0</v>
          </cell>
          <cell r="AM766">
            <v>0</v>
          </cell>
          <cell r="AN766">
            <v>0</v>
          </cell>
          <cell r="AO766">
            <v>0</v>
          </cell>
          <cell r="AP766">
            <v>0</v>
          </cell>
          <cell r="AQ766">
            <v>0</v>
          </cell>
          <cell r="AR766">
            <v>0</v>
          </cell>
        </row>
        <row r="767">
          <cell r="M767" t="str">
            <v>1EAJ-</v>
          </cell>
          <cell r="N767" t="str">
            <v>TANK - INDIRECT ENGINEERING</v>
          </cell>
          <cell r="Q767">
            <v>0</v>
          </cell>
          <cell r="R767">
            <v>0</v>
          </cell>
          <cell r="S767">
            <v>0</v>
          </cell>
          <cell r="T767">
            <v>0</v>
          </cell>
          <cell r="U767">
            <v>0</v>
          </cell>
          <cell r="X767" t="str">
            <v>1EAAD</v>
          </cell>
          <cell r="Y767" t="str">
            <v>TANK - DIR. ENG.  MECHANICAL</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row>
        <row r="768">
          <cell r="M768" t="str">
            <v>1EA--</v>
          </cell>
          <cell r="N768" t="str">
            <v>SUBTOTAL TANK - ENGINEERING/PROCUREMENT</v>
          </cell>
          <cell r="Q768">
            <v>0</v>
          </cell>
          <cell r="R768">
            <v>0</v>
          </cell>
          <cell r="S768">
            <v>0</v>
          </cell>
          <cell r="T768">
            <v>0</v>
          </cell>
          <cell r="U768">
            <v>0</v>
          </cell>
          <cell r="X768" t="str">
            <v>1EAAE</v>
          </cell>
          <cell r="Y768" t="str">
            <v>TANK - DIR. ENG.  PIPING</v>
          </cell>
          <cell r="AF768">
            <v>0</v>
          </cell>
          <cell r="AG768">
            <v>0</v>
          </cell>
          <cell r="AH768">
            <v>0</v>
          </cell>
          <cell r="AI768" t="str">
            <v>1ECBXA</v>
          </cell>
          <cell r="AJ768" t="str">
            <v>PROPANE STORAGE TANK</v>
          </cell>
          <cell r="AK768">
            <v>0</v>
          </cell>
          <cell r="AL768">
            <v>0</v>
          </cell>
          <cell r="AM768">
            <v>0</v>
          </cell>
          <cell r="AN768">
            <v>0</v>
          </cell>
          <cell r="AO768">
            <v>0</v>
          </cell>
          <cell r="AP768">
            <v>0</v>
          </cell>
          <cell r="AQ768">
            <v>0</v>
          </cell>
          <cell r="AR768">
            <v>0</v>
          </cell>
        </row>
        <row r="769">
          <cell r="X769" t="str">
            <v>1EAAF</v>
          </cell>
          <cell r="Y769" t="str">
            <v>TANK - DIR. ENG.  ELECTRICAL</v>
          </cell>
          <cell r="AF769">
            <v>0</v>
          </cell>
          <cell r="AG769">
            <v>0</v>
          </cell>
          <cell r="AH769">
            <v>0</v>
          </cell>
          <cell r="AI769" t="str">
            <v>1ECBXB</v>
          </cell>
          <cell r="AJ769" t="str">
            <v>TANK BOTTOM HEATING AND ACCESSORIES</v>
          </cell>
          <cell r="AK769">
            <v>0</v>
          </cell>
          <cell r="AL769">
            <v>0</v>
          </cell>
          <cell r="AM769">
            <v>0</v>
          </cell>
          <cell r="AN769">
            <v>0</v>
          </cell>
          <cell r="AO769">
            <v>0</v>
          </cell>
          <cell r="AP769">
            <v>0</v>
          </cell>
          <cell r="AQ769">
            <v>0</v>
          </cell>
          <cell r="AR769">
            <v>0</v>
          </cell>
        </row>
        <row r="770">
          <cell r="M770" t="str">
            <v>1EBA-</v>
          </cell>
          <cell r="N770" t="str">
            <v>TANK - FAB/DELIVERY - MAJOR EQUIPMENT</v>
          </cell>
          <cell r="Q770">
            <v>0</v>
          </cell>
          <cell r="R770">
            <v>0</v>
          </cell>
          <cell r="S770">
            <v>0</v>
          </cell>
          <cell r="T770">
            <v>0</v>
          </cell>
          <cell r="U770">
            <v>0</v>
          </cell>
          <cell r="X770" t="str">
            <v>1EAAG</v>
          </cell>
          <cell r="Y770" t="str">
            <v>TANK - DIR. ENG.  INSTRUMENTATION</v>
          </cell>
          <cell r="AF770">
            <v>0</v>
          </cell>
          <cell r="AG770">
            <v>0</v>
          </cell>
          <cell r="AH770">
            <v>0</v>
          </cell>
          <cell r="AI770" t="str">
            <v>1ECBXC</v>
          </cell>
          <cell r="AJ770" t="str">
            <v>PUMPS</v>
          </cell>
          <cell r="AK770">
            <v>0</v>
          </cell>
          <cell r="AL770">
            <v>0</v>
          </cell>
          <cell r="AM770">
            <v>0</v>
          </cell>
          <cell r="AN770">
            <v>0</v>
          </cell>
          <cell r="AO770">
            <v>0</v>
          </cell>
          <cell r="AP770">
            <v>0</v>
          </cell>
          <cell r="AQ770">
            <v>0</v>
          </cell>
          <cell r="AR770">
            <v>0</v>
          </cell>
        </row>
        <row r="771">
          <cell r="M771" t="str">
            <v>1EBB-</v>
          </cell>
          <cell r="N771" t="str">
            <v>TANK - FAB/DELIVERY - BULKS</v>
          </cell>
          <cell r="Q771">
            <v>0</v>
          </cell>
          <cell r="R771">
            <v>0</v>
          </cell>
          <cell r="S771">
            <v>0</v>
          </cell>
          <cell r="T771">
            <v>0</v>
          </cell>
          <cell r="U771">
            <v>0</v>
          </cell>
          <cell r="X771" t="str">
            <v>1EAAH</v>
          </cell>
          <cell r="Y771" t="str">
            <v>TANK - DIR. ENG.  ARCHITECTURAL</v>
          </cell>
          <cell r="AF771">
            <v>0</v>
          </cell>
          <cell r="AG771">
            <v>0</v>
          </cell>
          <cell r="AH771">
            <v>0</v>
          </cell>
          <cell r="AI771" t="str">
            <v>1ECBXD</v>
          </cell>
          <cell r="AJ771" t="str">
            <v>EXCHANGERS</v>
          </cell>
          <cell r="AK771">
            <v>0</v>
          </cell>
          <cell r="AL771">
            <v>0</v>
          </cell>
          <cell r="AM771">
            <v>0</v>
          </cell>
          <cell r="AN771">
            <v>0</v>
          </cell>
          <cell r="AO771">
            <v>0</v>
          </cell>
          <cell r="AP771">
            <v>0</v>
          </cell>
          <cell r="AQ771">
            <v>0</v>
          </cell>
          <cell r="AR771">
            <v>0</v>
          </cell>
        </row>
        <row r="772">
          <cell r="M772" t="str">
            <v>1EBC-</v>
          </cell>
          <cell r="N772" t="str">
            <v>TANK - FAB/DELIVERY - ENGINEERING SPECIALTIES</v>
          </cell>
          <cell r="Q772">
            <v>0</v>
          </cell>
          <cell r="R772">
            <v>0</v>
          </cell>
          <cell r="S772">
            <v>0</v>
          </cell>
          <cell r="T772">
            <v>0</v>
          </cell>
          <cell r="U772">
            <v>0</v>
          </cell>
          <cell r="X772" t="str">
            <v>1EAAI</v>
          </cell>
          <cell r="Y772" t="str">
            <v>TANK - DIR. ENG.  PIPELINES</v>
          </cell>
          <cell r="Z772" t="str">
            <v>N/A</v>
          </cell>
          <cell r="AA772" t="str">
            <v>N/A</v>
          </cell>
          <cell r="AB772" t="str">
            <v>N/A</v>
          </cell>
          <cell r="AC772" t="str">
            <v>N/A</v>
          </cell>
          <cell r="AD772" t="str">
            <v>N/A</v>
          </cell>
          <cell r="AE772" t="str">
            <v>N/A</v>
          </cell>
          <cell r="AF772" t="str">
            <v>N/A</v>
          </cell>
          <cell r="AG772">
            <v>0</v>
          </cell>
          <cell r="AH772">
            <v>0</v>
          </cell>
          <cell r="AI772" t="str">
            <v>1ECBXE</v>
          </cell>
          <cell r="AJ772" t="str">
            <v>FIRE FIGHTING SYSTEM</v>
          </cell>
          <cell r="AK772">
            <v>0</v>
          </cell>
          <cell r="AL772">
            <v>0</v>
          </cell>
          <cell r="AM772">
            <v>0</v>
          </cell>
          <cell r="AN772">
            <v>0</v>
          </cell>
          <cell r="AO772">
            <v>0</v>
          </cell>
          <cell r="AP772">
            <v>0</v>
          </cell>
          <cell r="AQ772">
            <v>0</v>
          </cell>
          <cell r="AR772">
            <v>0</v>
          </cell>
        </row>
        <row r="773">
          <cell r="M773" t="str">
            <v>1EB--</v>
          </cell>
          <cell r="N773" t="str">
            <v>SUBTOTAL TANK - FABRICATION/DELIVERY</v>
          </cell>
          <cell r="Q773">
            <v>0</v>
          </cell>
          <cell r="R773">
            <v>0</v>
          </cell>
          <cell r="S773">
            <v>0</v>
          </cell>
          <cell r="T773">
            <v>0</v>
          </cell>
          <cell r="U773">
            <v>0</v>
          </cell>
          <cell r="X773" t="str">
            <v>1EAA-</v>
          </cell>
          <cell r="Y773" t="str">
            <v>SUBTOTAL - TANK - DIRECT ENGINEERING</v>
          </cell>
          <cell r="Z773">
            <v>0</v>
          </cell>
          <cell r="AA773" t="str">
            <v>N/A</v>
          </cell>
          <cell r="AB773">
            <v>0</v>
          </cell>
          <cell r="AC773">
            <v>0</v>
          </cell>
          <cell r="AD773">
            <v>0</v>
          </cell>
          <cell r="AE773">
            <v>0</v>
          </cell>
          <cell r="AF773">
            <v>0</v>
          </cell>
          <cell r="AG773">
            <v>0</v>
          </cell>
          <cell r="AH773">
            <v>0</v>
          </cell>
          <cell r="AI773" t="str">
            <v>1ECBXX</v>
          </cell>
          <cell r="AJ773" t="str">
            <v>OTHER</v>
          </cell>
          <cell r="AK773">
            <v>0</v>
          </cell>
          <cell r="AL773">
            <v>0</v>
          </cell>
          <cell r="AM773">
            <v>0</v>
          </cell>
          <cell r="AN773">
            <v>0</v>
          </cell>
          <cell r="AO773">
            <v>0</v>
          </cell>
          <cell r="AP773">
            <v>0</v>
          </cell>
          <cell r="AQ773">
            <v>0</v>
          </cell>
          <cell r="AR773">
            <v>0</v>
          </cell>
        </row>
        <row r="774">
          <cell r="AI774" t="str">
            <v>1ECBX-</v>
          </cell>
          <cell r="AJ774" t="str">
            <v>TANK - CONSTRUCTION, MAJOR EQUIPMENT - OTHER</v>
          </cell>
          <cell r="AK774">
            <v>0</v>
          </cell>
          <cell r="AL774">
            <v>0</v>
          </cell>
          <cell r="AM774">
            <v>0</v>
          </cell>
          <cell r="AN774">
            <v>0</v>
          </cell>
          <cell r="AO774">
            <v>0</v>
          </cell>
          <cell r="AP774">
            <v>0</v>
          </cell>
          <cell r="AQ774">
            <v>0</v>
          </cell>
        </row>
        <row r="775">
          <cell r="M775" t="str">
            <v>1ECA-</v>
          </cell>
          <cell r="N775" t="str">
            <v>TANK - CONSTRUCTION - CIVIL</v>
          </cell>
          <cell r="Q775">
            <v>0</v>
          </cell>
          <cell r="R775">
            <v>0</v>
          </cell>
          <cell r="S775">
            <v>0</v>
          </cell>
          <cell r="T775">
            <v>0</v>
          </cell>
          <cell r="U775">
            <v>0</v>
          </cell>
          <cell r="X775" t="str">
            <v>1EAHA</v>
          </cell>
          <cell r="Y775" t="str">
            <v>TANK - EQUIP. SPECS - PRESSURE VESSELS</v>
          </cell>
          <cell r="Z775" t="str">
            <v>N/A</v>
          </cell>
          <cell r="AA775" t="str">
            <v>N/A</v>
          </cell>
          <cell r="AB775" t="str">
            <v>N/A</v>
          </cell>
          <cell r="AC775" t="str">
            <v>N/A</v>
          </cell>
          <cell r="AD775" t="str">
            <v>N/A</v>
          </cell>
          <cell r="AE775" t="str">
            <v>N/A</v>
          </cell>
          <cell r="AF775" t="str">
            <v>N/A</v>
          </cell>
          <cell r="AG775">
            <v>0</v>
          </cell>
          <cell r="AH775">
            <v>0</v>
          </cell>
          <cell r="AI775">
            <v>0</v>
          </cell>
          <cell r="AJ775">
            <v>0</v>
          </cell>
          <cell r="AK775">
            <v>0</v>
          </cell>
          <cell r="AL775">
            <v>0</v>
          </cell>
          <cell r="AM775">
            <v>0</v>
          </cell>
          <cell r="AN775">
            <v>0</v>
          </cell>
          <cell r="AO775">
            <v>0</v>
          </cell>
          <cell r="AP775">
            <v>0</v>
          </cell>
          <cell r="AQ775">
            <v>0</v>
          </cell>
          <cell r="AR775">
            <v>0</v>
          </cell>
        </row>
        <row r="776">
          <cell r="M776" t="str">
            <v>1ECB-</v>
          </cell>
          <cell r="N776" t="str">
            <v>TANK - CONSTRUCTION - MAJOR EQUIPMENT</v>
          </cell>
          <cell r="Q776">
            <v>0</v>
          </cell>
          <cell r="R776">
            <v>0</v>
          </cell>
          <cell r="S776">
            <v>0</v>
          </cell>
          <cell r="T776">
            <v>0</v>
          </cell>
          <cell r="U776">
            <v>0</v>
          </cell>
          <cell r="X776" t="str">
            <v>1EAHB</v>
          </cell>
          <cell r="Y776" t="str">
            <v>TANK - EQUIP. SPECS - COLUMNS</v>
          </cell>
          <cell r="Z776" t="str">
            <v>N/A</v>
          </cell>
          <cell r="AA776" t="str">
            <v>N/A</v>
          </cell>
          <cell r="AB776" t="str">
            <v>N/A</v>
          </cell>
          <cell r="AC776" t="str">
            <v>N/A</v>
          </cell>
          <cell r="AD776" t="str">
            <v>N/A</v>
          </cell>
          <cell r="AE776" t="str">
            <v>N/A</v>
          </cell>
          <cell r="AF776" t="str">
            <v>N/A</v>
          </cell>
          <cell r="AG776">
            <v>0</v>
          </cell>
          <cell r="AH776">
            <v>0</v>
          </cell>
          <cell r="AI776">
            <v>0</v>
          </cell>
          <cell r="AJ776">
            <v>0</v>
          </cell>
          <cell r="AK776">
            <v>0</v>
          </cell>
          <cell r="AL776">
            <v>0</v>
          </cell>
          <cell r="AM776">
            <v>0</v>
          </cell>
          <cell r="AN776">
            <v>0</v>
          </cell>
          <cell r="AO776">
            <v>0</v>
          </cell>
          <cell r="AP776">
            <v>0</v>
          </cell>
          <cell r="AQ776">
            <v>0</v>
          </cell>
          <cell r="AR776">
            <v>0</v>
          </cell>
        </row>
        <row r="777">
          <cell r="M777" t="str">
            <v>1ECC-</v>
          </cell>
          <cell r="N777" t="str">
            <v>TANK - CONSTRUCTION - BULKS</v>
          </cell>
          <cell r="Q777">
            <v>0</v>
          </cell>
          <cell r="R777">
            <v>0</v>
          </cell>
          <cell r="S777">
            <v>0</v>
          </cell>
          <cell r="T777">
            <v>0</v>
          </cell>
          <cell r="U777">
            <v>0</v>
          </cell>
          <cell r="X777" t="str">
            <v>1EAHC</v>
          </cell>
          <cell r="Y777" t="str">
            <v>TANK - EQUIP. SPECS - REACTORS</v>
          </cell>
          <cell r="Z777" t="str">
            <v>N/A</v>
          </cell>
          <cell r="AA777" t="str">
            <v>N/A</v>
          </cell>
          <cell r="AB777" t="str">
            <v>N/A</v>
          </cell>
          <cell r="AC777" t="str">
            <v>N/A</v>
          </cell>
          <cell r="AD777" t="str">
            <v>N/A</v>
          </cell>
          <cell r="AE777" t="str">
            <v>N/A</v>
          </cell>
          <cell r="AF777" t="str">
            <v>N/A</v>
          </cell>
          <cell r="AG777">
            <v>0</v>
          </cell>
          <cell r="AH777">
            <v>0</v>
          </cell>
          <cell r="AI777">
            <v>0</v>
          </cell>
          <cell r="AJ777">
            <v>0</v>
          </cell>
          <cell r="AK777">
            <v>0</v>
          </cell>
          <cell r="AL777">
            <v>0</v>
          </cell>
          <cell r="AM777">
            <v>0</v>
          </cell>
          <cell r="AN777">
            <v>0</v>
          </cell>
          <cell r="AO777">
            <v>0</v>
          </cell>
          <cell r="AP777">
            <v>0</v>
          </cell>
          <cell r="AQ777">
            <v>0</v>
          </cell>
          <cell r="AR777">
            <v>0</v>
          </cell>
        </row>
        <row r="778">
          <cell r="M778" t="str">
            <v>1ECD-</v>
          </cell>
          <cell r="N778" t="str">
            <v>TANK - CONSTRUCTION - CONSTRUCTION SPECIALTIES</v>
          </cell>
          <cell r="Q778">
            <v>0</v>
          </cell>
          <cell r="R778">
            <v>0</v>
          </cell>
          <cell r="S778">
            <v>0</v>
          </cell>
          <cell r="T778">
            <v>0</v>
          </cell>
          <cell r="U778">
            <v>0</v>
          </cell>
          <cell r="X778" t="str">
            <v>1EAHD</v>
          </cell>
          <cell r="Y778" t="str">
            <v>TANK - EQUIP. SPECS - FIELD ERECTED TANKS</v>
          </cell>
          <cell r="Z778" t="str">
            <v>N/A</v>
          </cell>
          <cell r="AA778" t="str">
            <v>N/A</v>
          </cell>
          <cell r="AB778" t="str">
            <v>N/A</v>
          </cell>
          <cell r="AC778" t="str">
            <v>N/A</v>
          </cell>
          <cell r="AD778" t="str">
            <v>N/A</v>
          </cell>
          <cell r="AE778" t="str">
            <v>N/A</v>
          </cell>
          <cell r="AF778" t="str">
            <v>N/A</v>
          </cell>
          <cell r="AG778">
            <v>0</v>
          </cell>
          <cell r="AH778">
            <v>0</v>
          </cell>
          <cell r="AI778">
            <v>0</v>
          </cell>
          <cell r="AJ778">
            <v>0</v>
          </cell>
          <cell r="AK778">
            <v>0</v>
          </cell>
          <cell r="AL778">
            <v>0</v>
          </cell>
          <cell r="AM778">
            <v>0</v>
          </cell>
          <cell r="AN778">
            <v>0</v>
          </cell>
          <cell r="AO778">
            <v>0</v>
          </cell>
          <cell r="AP778">
            <v>0</v>
          </cell>
          <cell r="AQ778">
            <v>0</v>
          </cell>
          <cell r="AR778">
            <v>0</v>
          </cell>
        </row>
        <row r="779">
          <cell r="M779" t="str">
            <v>1ECE-</v>
          </cell>
          <cell r="N779" t="str">
            <v>TANK - CONSTRUCTION - OTHER DIRECT WORK</v>
          </cell>
          <cell r="Q779">
            <v>0</v>
          </cell>
          <cell r="R779">
            <v>0</v>
          </cell>
          <cell r="S779">
            <v>0</v>
          </cell>
          <cell r="T779">
            <v>0</v>
          </cell>
          <cell r="U779">
            <v>0</v>
          </cell>
          <cell r="X779" t="str">
            <v>1EAHE</v>
          </cell>
          <cell r="Y779" t="str">
            <v>TANK - EQUIP. SPECS - PUMPS</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row>
        <row r="780">
          <cell r="M780" t="str">
            <v>1ECF-</v>
          </cell>
          <cell r="N780" t="str">
            <v>TANK - CONSTRUCTION - INDIRECTS</v>
          </cell>
          <cell r="Q780">
            <v>0</v>
          </cell>
          <cell r="R780">
            <v>0</v>
          </cell>
          <cell r="S780">
            <v>0</v>
          </cell>
          <cell r="T780">
            <v>0</v>
          </cell>
          <cell r="U780">
            <v>0</v>
          </cell>
          <cell r="X780" t="str">
            <v>1EAHF</v>
          </cell>
          <cell r="Y780" t="str">
            <v>TANK - EQUIP. SPECS - HEAT EXCHANGERS - S &amp; T</v>
          </cell>
          <cell r="Z780" t="str">
            <v>N/A</v>
          </cell>
          <cell r="AA780" t="str">
            <v>N/A</v>
          </cell>
          <cell r="AB780" t="str">
            <v>N/A</v>
          </cell>
          <cell r="AC780" t="str">
            <v>N/A</v>
          </cell>
          <cell r="AD780" t="str">
            <v>N/A</v>
          </cell>
          <cell r="AE780" t="str">
            <v>N/A</v>
          </cell>
          <cell r="AF780" t="str">
            <v>N/A</v>
          </cell>
          <cell r="AG780">
            <v>0</v>
          </cell>
          <cell r="AH780">
            <v>0</v>
          </cell>
          <cell r="AI780">
            <v>0</v>
          </cell>
          <cell r="AJ780">
            <v>0</v>
          </cell>
          <cell r="AK780">
            <v>0</v>
          </cell>
          <cell r="AL780">
            <v>0</v>
          </cell>
          <cell r="AM780">
            <v>0</v>
          </cell>
          <cell r="AN780">
            <v>0</v>
          </cell>
          <cell r="AO780">
            <v>0</v>
          </cell>
          <cell r="AP780">
            <v>0</v>
          </cell>
          <cell r="AQ780">
            <v>0</v>
          </cell>
          <cell r="AR780">
            <v>0</v>
          </cell>
        </row>
        <row r="781">
          <cell r="M781" t="str">
            <v>1EC--</v>
          </cell>
          <cell r="N781" t="str">
            <v>SUBTOTAL TANK - CONSTRUCTION</v>
          </cell>
          <cell r="Q781">
            <v>0</v>
          </cell>
          <cell r="R781">
            <v>0</v>
          </cell>
          <cell r="S781">
            <v>0</v>
          </cell>
          <cell r="T781">
            <v>0</v>
          </cell>
          <cell r="U781">
            <v>0</v>
          </cell>
          <cell r="X781" t="str">
            <v>1EAHG</v>
          </cell>
          <cell r="Y781" t="str">
            <v>TANK - EQUIP. SPECS - HEAT EXCHANGERS - FINNED</v>
          </cell>
          <cell r="Z781" t="str">
            <v>N/A</v>
          </cell>
          <cell r="AA781" t="str">
            <v>N/A</v>
          </cell>
          <cell r="AB781" t="str">
            <v>N/A</v>
          </cell>
          <cell r="AC781" t="str">
            <v>N/A</v>
          </cell>
          <cell r="AD781" t="str">
            <v>N/A</v>
          </cell>
          <cell r="AE781" t="str">
            <v>N/A</v>
          </cell>
          <cell r="AF781" t="str">
            <v>N/A</v>
          </cell>
          <cell r="AG781">
            <v>0</v>
          </cell>
          <cell r="AH781">
            <v>0</v>
          </cell>
          <cell r="AI781">
            <v>0</v>
          </cell>
          <cell r="AJ781">
            <v>0</v>
          </cell>
          <cell r="AK781">
            <v>0</v>
          </cell>
          <cell r="AL781">
            <v>0</v>
          </cell>
          <cell r="AM781">
            <v>0</v>
          </cell>
          <cell r="AN781">
            <v>0</v>
          </cell>
          <cell r="AO781">
            <v>0</v>
          </cell>
          <cell r="AP781">
            <v>0</v>
          </cell>
          <cell r="AQ781">
            <v>0</v>
          </cell>
          <cell r="AR781">
            <v>0</v>
          </cell>
        </row>
        <row r="782">
          <cell r="X782" t="str">
            <v>1EAHH</v>
          </cell>
          <cell r="Y782" t="str">
            <v>TANK - EQUIP. SPECS - EXTRUDERS</v>
          </cell>
          <cell r="Z782" t="str">
            <v>N/A</v>
          </cell>
          <cell r="AA782" t="str">
            <v>N/A</v>
          </cell>
          <cell r="AB782" t="str">
            <v>N/A</v>
          </cell>
          <cell r="AC782" t="str">
            <v>N/A</v>
          </cell>
          <cell r="AD782" t="str">
            <v>N/A</v>
          </cell>
          <cell r="AE782" t="str">
            <v>N/A</v>
          </cell>
          <cell r="AF782" t="str">
            <v>N/A</v>
          </cell>
        </row>
        <row r="783">
          <cell r="M783" t="str">
            <v>1EDA-</v>
          </cell>
          <cell r="N783" t="str">
            <v>TANK - COMMISSIONING</v>
          </cell>
          <cell r="Q783">
            <v>0</v>
          </cell>
          <cell r="R783">
            <v>0</v>
          </cell>
          <cell r="S783">
            <v>0</v>
          </cell>
          <cell r="T783">
            <v>0</v>
          </cell>
          <cell r="U783">
            <v>0</v>
          </cell>
          <cell r="X783" t="str">
            <v>1EAHI</v>
          </cell>
          <cell r="Y783" t="str">
            <v>TANK - EQUIP. SPECS - COMPRESSORS</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row>
        <row r="784">
          <cell r="M784" t="str">
            <v>1EDB-</v>
          </cell>
          <cell r="N784" t="str">
            <v>TANK -STARTUP</v>
          </cell>
          <cell r="Q784">
            <v>0</v>
          </cell>
          <cell r="R784">
            <v>0</v>
          </cell>
          <cell r="S784">
            <v>0</v>
          </cell>
          <cell r="T784">
            <v>0</v>
          </cell>
          <cell r="U784">
            <v>0</v>
          </cell>
          <cell r="X784" t="str">
            <v>1EAHJ</v>
          </cell>
          <cell r="Y784" t="str">
            <v>TANK - EQUIP. SPECS - GENERATORS</v>
          </cell>
          <cell r="Z784" t="str">
            <v>N/A</v>
          </cell>
          <cell r="AA784" t="str">
            <v>N/A</v>
          </cell>
          <cell r="AB784" t="str">
            <v>N/A</v>
          </cell>
          <cell r="AC784" t="str">
            <v>N/A</v>
          </cell>
          <cell r="AD784" t="str">
            <v>N/A</v>
          </cell>
          <cell r="AE784" t="str">
            <v>N/A</v>
          </cell>
          <cell r="AF784" t="str">
            <v>N/A</v>
          </cell>
          <cell r="AG784">
            <v>0</v>
          </cell>
          <cell r="AH784">
            <v>0</v>
          </cell>
          <cell r="AI784">
            <v>0</v>
          </cell>
          <cell r="AJ784">
            <v>0</v>
          </cell>
          <cell r="AK784">
            <v>0</v>
          </cell>
          <cell r="AL784">
            <v>0</v>
          </cell>
          <cell r="AM784">
            <v>0</v>
          </cell>
          <cell r="AN784">
            <v>0</v>
          </cell>
          <cell r="AO784">
            <v>0</v>
          </cell>
          <cell r="AP784">
            <v>0</v>
          </cell>
          <cell r="AQ784">
            <v>0</v>
          </cell>
          <cell r="AR784">
            <v>0</v>
          </cell>
        </row>
        <row r="785">
          <cell r="M785" t="str">
            <v>1EDC-</v>
          </cell>
          <cell r="N785" t="str">
            <v>TANK -TRAINING</v>
          </cell>
          <cell r="Q785">
            <v>0</v>
          </cell>
          <cell r="R785">
            <v>0</v>
          </cell>
          <cell r="S785">
            <v>0</v>
          </cell>
          <cell r="T785">
            <v>0</v>
          </cell>
          <cell r="U785">
            <v>0</v>
          </cell>
          <cell r="X785" t="str">
            <v>1EAHK</v>
          </cell>
          <cell r="Y785" t="str">
            <v>TANK - EQUIP. SPECS - MOTORS &amp; DRIVERS</v>
          </cell>
          <cell r="Z785" t="str">
            <v>N/A</v>
          </cell>
          <cell r="AA785" t="str">
            <v>N/A</v>
          </cell>
          <cell r="AB785" t="str">
            <v>N/A</v>
          </cell>
          <cell r="AC785" t="str">
            <v>N/A</v>
          </cell>
          <cell r="AD785" t="str">
            <v>N/A</v>
          </cell>
          <cell r="AE785" t="str">
            <v>N/A</v>
          </cell>
          <cell r="AF785" t="str">
            <v>N/A</v>
          </cell>
          <cell r="AG785">
            <v>0</v>
          </cell>
          <cell r="AH785">
            <v>0</v>
          </cell>
          <cell r="AI785">
            <v>0</v>
          </cell>
          <cell r="AJ785">
            <v>0</v>
          </cell>
          <cell r="AK785">
            <v>0</v>
          </cell>
          <cell r="AL785">
            <v>0</v>
          </cell>
          <cell r="AM785">
            <v>0</v>
          </cell>
          <cell r="AN785">
            <v>0</v>
          </cell>
          <cell r="AO785">
            <v>0</v>
          </cell>
          <cell r="AP785">
            <v>0</v>
          </cell>
          <cell r="AQ785">
            <v>0</v>
          </cell>
          <cell r="AR785">
            <v>0</v>
          </cell>
        </row>
        <row r="786">
          <cell r="M786" t="str">
            <v>1ED--</v>
          </cell>
          <cell r="N786" t="str">
            <v>SUBTOTAL TANK - COMMISSIONING, STARTUP &amp; TRAINING</v>
          </cell>
          <cell r="Q786">
            <v>0</v>
          </cell>
          <cell r="R786">
            <v>0</v>
          </cell>
          <cell r="S786">
            <v>0</v>
          </cell>
          <cell r="T786">
            <v>0</v>
          </cell>
          <cell r="U786">
            <v>0</v>
          </cell>
          <cell r="X786" t="str">
            <v>1EAHL</v>
          </cell>
          <cell r="Y786" t="str">
            <v>TANK - EQUIP. SPECS - FIRED EQUIPMENT</v>
          </cell>
          <cell r="Z786" t="str">
            <v>N/A</v>
          </cell>
          <cell r="AA786" t="str">
            <v>N/A</v>
          </cell>
          <cell r="AB786" t="str">
            <v>N/A</v>
          </cell>
          <cell r="AC786" t="str">
            <v>N/A</v>
          </cell>
          <cell r="AD786" t="str">
            <v>N/A</v>
          </cell>
          <cell r="AE786" t="str">
            <v>N/A</v>
          </cell>
          <cell r="AF786" t="str">
            <v>N/A</v>
          </cell>
          <cell r="AG786">
            <v>0</v>
          </cell>
          <cell r="AH786">
            <v>0</v>
          </cell>
          <cell r="AI786">
            <v>0</v>
          </cell>
          <cell r="AJ786">
            <v>0</v>
          </cell>
          <cell r="AK786">
            <v>0</v>
          </cell>
          <cell r="AL786">
            <v>0</v>
          </cell>
          <cell r="AM786">
            <v>0</v>
          </cell>
          <cell r="AN786">
            <v>0</v>
          </cell>
          <cell r="AO786">
            <v>0</v>
          </cell>
          <cell r="AP786">
            <v>0</v>
          </cell>
          <cell r="AQ786">
            <v>0</v>
          </cell>
          <cell r="AR786">
            <v>0</v>
          </cell>
        </row>
        <row r="787">
          <cell r="X787" t="str">
            <v>1EAHM</v>
          </cell>
          <cell r="Y787" t="str">
            <v>TANK - EQUIP. SPECS - BLOWERS, FANS</v>
          </cell>
          <cell r="Z787" t="str">
            <v>N/A</v>
          </cell>
          <cell r="AA787" t="str">
            <v>N/A</v>
          </cell>
          <cell r="AB787" t="str">
            <v>N/A</v>
          </cell>
          <cell r="AC787" t="str">
            <v>N/A</v>
          </cell>
          <cell r="AD787" t="str">
            <v>N/A</v>
          </cell>
          <cell r="AE787" t="str">
            <v>N/A</v>
          </cell>
          <cell r="AF787" t="str">
            <v>N/A</v>
          </cell>
        </row>
        <row r="788">
          <cell r="X788" t="str">
            <v>1EAHN</v>
          </cell>
          <cell r="Y788" t="str">
            <v>TANK - EQUIP. SPECS - FILTERS</v>
          </cell>
          <cell r="Z788" t="str">
            <v>N/A</v>
          </cell>
          <cell r="AA788" t="str">
            <v>N/A</v>
          </cell>
          <cell r="AB788" t="str">
            <v>N/A</v>
          </cell>
          <cell r="AC788" t="str">
            <v>N/A</v>
          </cell>
          <cell r="AD788" t="str">
            <v>N/A</v>
          </cell>
          <cell r="AE788" t="str">
            <v>N/A</v>
          </cell>
          <cell r="AF788" t="str">
            <v>N/A</v>
          </cell>
        </row>
        <row r="789">
          <cell r="X789" t="str">
            <v>1EAHO</v>
          </cell>
          <cell r="Y789" t="str">
            <v>TANK - EQUIP. SPECS - FLARES</v>
          </cell>
          <cell r="Z789" t="str">
            <v>N/A</v>
          </cell>
          <cell r="AA789" t="str">
            <v>N/A</v>
          </cell>
          <cell r="AB789" t="str">
            <v>N/A</v>
          </cell>
          <cell r="AC789" t="str">
            <v>N/A</v>
          </cell>
          <cell r="AD789" t="str">
            <v>N/A</v>
          </cell>
          <cell r="AE789" t="str">
            <v>N/A</v>
          </cell>
          <cell r="AF789" t="str">
            <v>N/A</v>
          </cell>
        </row>
        <row r="790">
          <cell r="X790" t="str">
            <v>1EAHP</v>
          </cell>
          <cell r="Y790" t="str">
            <v>TANK - EQUIP. SPECS - SOLIDS HANDLING EQUIPMENT</v>
          </cell>
          <cell r="Z790" t="str">
            <v>N/A</v>
          </cell>
          <cell r="AA790" t="str">
            <v>N/A</v>
          </cell>
          <cell r="AB790" t="str">
            <v>N/A</v>
          </cell>
          <cell r="AC790" t="str">
            <v>N/A</v>
          </cell>
          <cell r="AD790" t="str">
            <v>N/A</v>
          </cell>
          <cell r="AE790" t="str">
            <v>N/A</v>
          </cell>
          <cell r="AF790" t="str">
            <v>N/A</v>
          </cell>
        </row>
        <row r="791">
          <cell r="X791" t="str">
            <v>1EAHQ</v>
          </cell>
          <cell r="Y791" t="str">
            <v>TANK - EQUIP. SPECS - PACKAGED EQUIPMENT</v>
          </cell>
          <cell r="Z791" t="str">
            <v>N/A</v>
          </cell>
          <cell r="AA791" t="str">
            <v>N/A</v>
          </cell>
          <cell r="AB791" t="str">
            <v>N/A</v>
          </cell>
          <cell r="AC791" t="str">
            <v>N/A</v>
          </cell>
          <cell r="AD791" t="str">
            <v>N/A</v>
          </cell>
          <cell r="AE791" t="str">
            <v>N/A</v>
          </cell>
          <cell r="AF791" t="str">
            <v>N/A</v>
          </cell>
        </row>
        <row r="792">
          <cell r="X792" t="str">
            <v>1EAHX</v>
          </cell>
          <cell r="Y792" t="str">
            <v>TANK - EQUIP. SPECS - OTHERS</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row>
        <row r="793">
          <cell r="X793" t="str">
            <v>1EAH-</v>
          </cell>
          <cell r="Y793" t="str">
            <v xml:space="preserve">SUBTOTAL - TANK - EQUIP. SPECS </v>
          </cell>
          <cell r="Z793">
            <v>0</v>
          </cell>
          <cell r="AA793" t="str">
            <v>N/A</v>
          </cell>
          <cell r="AB793">
            <v>0</v>
          </cell>
          <cell r="AC793">
            <v>0</v>
          </cell>
          <cell r="AD793">
            <v>0</v>
          </cell>
          <cell r="AE793">
            <v>0</v>
          </cell>
          <cell r="AF793">
            <v>0</v>
          </cell>
        </row>
        <row r="800">
          <cell r="W800" t="str">
            <v>LEVEL 2 TANK PG.2</v>
          </cell>
          <cell r="X800" t="str">
            <v>WBS CODE</v>
          </cell>
          <cell r="Y800" t="str">
            <v>DESCRIPTION</v>
          </cell>
          <cell r="Z800" t="str">
            <v>QUANTITY</v>
          </cell>
          <cell r="AA800" t="str">
            <v>UNITS</v>
          </cell>
          <cell r="AB800" t="str">
            <v>TOTAL MANHOURS</v>
          </cell>
          <cell r="AC800" t="str">
            <v>TOTAL LABOR COST</v>
          </cell>
          <cell r="AD800" t="str">
            <v>TOTAL MAT'L COST</v>
          </cell>
          <cell r="AE800" t="str">
            <v>TOTAL S/C COST</v>
          </cell>
          <cell r="AF800" t="str">
            <v>TOTAL COST</v>
          </cell>
        </row>
        <row r="802">
          <cell r="X802" t="str">
            <v>1EAIA</v>
          </cell>
          <cell r="Y802" t="str">
            <v>TANK - PROCUREMENT PRESSURE VESSELS</v>
          </cell>
          <cell r="Z802" t="str">
            <v>N/A</v>
          </cell>
          <cell r="AA802" t="str">
            <v>N/A</v>
          </cell>
          <cell r="AB802" t="str">
            <v>N/A</v>
          </cell>
          <cell r="AC802" t="str">
            <v>N/A</v>
          </cell>
          <cell r="AD802" t="str">
            <v>N/A</v>
          </cell>
          <cell r="AE802" t="str">
            <v>N/A</v>
          </cell>
          <cell r="AF802" t="str">
            <v>N/A</v>
          </cell>
        </row>
        <row r="803">
          <cell r="X803" t="str">
            <v>1EAIB</v>
          </cell>
          <cell r="Y803" t="str">
            <v>TANK - PROCUREMENT   COLUMNS</v>
          </cell>
          <cell r="Z803" t="str">
            <v>N/A</v>
          </cell>
          <cell r="AA803" t="str">
            <v>N/A</v>
          </cell>
          <cell r="AB803" t="str">
            <v>N/A</v>
          </cell>
          <cell r="AC803" t="str">
            <v>N/A</v>
          </cell>
          <cell r="AD803" t="str">
            <v>N/A</v>
          </cell>
          <cell r="AE803" t="str">
            <v>N/A</v>
          </cell>
          <cell r="AF803" t="str">
            <v>N/A</v>
          </cell>
        </row>
        <row r="804">
          <cell r="X804" t="str">
            <v>1EAIC</v>
          </cell>
          <cell r="Y804" t="str">
            <v>TANK - PROCUREMENT   REACTORS</v>
          </cell>
          <cell r="Z804" t="str">
            <v>N/A</v>
          </cell>
          <cell r="AA804" t="str">
            <v>N/A</v>
          </cell>
          <cell r="AB804" t="str">
            <v>N/A</v>
          </cell>
          <cell r="AC804" t="str">
            <v>N/A</v>
          </cell>
          <cell r="AD804" t="str">
            <v>N/A</v>
          </cell>
          <cell r="AE804" t="str">
            <v>N/A</v>
          </cell>
          <cell r="AF804" t="str">
            <v>N/A</v>
          </cell>
        </row>
        <row r="805">
          <cell r="X805" t="str">
            <v>1EAID</v>
          </cell>
          <cell r="Y805" t="str">
            <v>TANK - PROCUREMENT   FIELD ERECTED TANKS</v>
          </cell>
          <cell r="Z805" t="str">
            <v>N/A</v>
          </cell>
          <cell r="AA805" t="str">
            <v>N/A</v>
          </cell>
          <cell r="AB805" t="str">
            <v>N/A</v>
          </cell>
          <cell r="AC805" t="str">
            <v>N/A</v>
          </cell>
          <cell r="AD805" t="str">
            <v>N/A</v>
          </cell>
          <cell r="AE805" t="str">
            <v>N/A</v>
          </cell>
          <cell r="AF805" t="str">
            <v>N/A</v>
          </cell>
        </row>
        <row r="806">
          <cell r="X806" t="str">
            <v>1EAIE</v>
          </cell>
          <cell r="Y806" t="str">
            <v>TANK - PROCUREMENT   PUMPS</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row>
        <row r="807">
          <cell r="X807" t="str">
            <v>1EAIF</v>
          </cell>
          <cell r="Y807" t="str">
            <v>TANK - PROCUREMENT   HEAT EXCHANGERS - S &amp; T</v>
          </cell>
          <cell r="Z807" t="str">
            <v>N/A</v>
          </cell>
          <cell r="AA807" t="str">
            <v>N/A</v>
          </cell>
          <cell r="AB807" t="str">
            <v>N/A</v>
          </cell>
          <cell r="AC807" t="str">
            <v>N/A</v>
          </cell>
          <cell r="AD807" t="str">
            <v>N/A</v>
          </cell>
          <cell r="AE807" t="str">
            <v>N/A</v>
          </cell>
          <cell r="AF807" t="str">
            <v>N/A</v>
          </cell>
        </row>
        <row r="808">
          <cell r="X808" t="str">
            <v>1EAIG</v>
          </cell>
          <cell r="Y808" t="str">
            <v>TANK - PROCUREMENT   HEAT EXCHANGERS - FINNED</v>
          </cell>
          <cell r="Z808" t="str">
            <v>N/A</v>
          </cell>
          <cell r="AA808" t="str">
            <v>N/A</v>
          </cell>
          <cell r="AB808" t="str">
            <v>N/A</v>
          </cell>
          <cell r="AC808" t="str">
            <v>N/A</v>
          </cell>
          <cell r="AD808" t="str">
            <v>N/A</v>
          </cell>
          <cell r="AE808" t="str">
            <v>N/A</v>
          </cell>
          <cell r="AF808" t="str">
            <v>N/A</v>
          </cell>
        </row>
        <row r="809">
          <cell r="X809" t="str">
            <v>1EAIH</v>
          </cell>
          <cell r="Y809" t="str">
            <v>TANK - PROCUREMENT   EXTRUDERS</v>
          </cell>
          <cell r="Z809" t="str">
            <v>N/A</v>
          </cell>
          <cell r="AA809" t="str">
            <v>N/A</v>
          </cell>
          <cell r="AB809" t="str">
            <v>N/A</v>
          </cell>
          <cell r="AC809" t="str">
            <v>N/A</v>
          </cell>
          <cell r="AD809" t="str">
            <v>N/A</v>
          </cell>
          <cell r="AE809" t="str">
            <v>N/A</v>
          </cell>
          <cell r="AF809" t="str">
            <v>N/A</v>
          </cell>
        </row>
        <row r="810">
          <cell r="X810" t="str">
            <v>1EAII</v>
          </cell>
          <cell r="Y810" t="str">
            <v>TANK - PROCUREMENT   COMPRESSORS</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row>
        <row r="811">
          <cell r="X811" t="str">
            <v>1EAIJ</v>
          </cell>
          <cell r="Y811" t="str">
            <v>TANK - PROCUREMENT   GENERATORS</v>
          </cell>
          <cell r="Z811" t="str">
            <v>N/A</v>
          </cell>
          <cell r="AA811" t="str">
            <v>N/A</v>
          </cell>
          <cell r="AB811" t="str">
            <v>N/A</v>
          </cell>
          <cell r="AC811" t="str">
            <v>N/A</v>
          </cell>
          <cell r="AD811" t="str">
            <v>N/A</v>
          </cell>
          <cell r="AE811" t="str">
            <v>N/A</v>
          </cell>
          <cell r="AF811" t="str">
            <v>N/A</v>
          </cell>
        </row>
        <row r="812">
          <cell r="X812" t="str">
            <v>1EAIK</v>
          </cell>
          <cell r="Y812" t="str">
            <v>TANK - PROCUREMENT   MOTORS &amp; DRIVERS</v>
          </cell>
          <cell r="Z812" t="str">
            <v>N/A</v>
          </cell>
          <cell r="AA812" t="str">
            <v>N/A</v>
          </cell>
          <cell r="AB812" t="str">
            <v>N/A</v>
          </cell>
          <cell r="AC812" t="str">
            <v>N/A</v>
          </cell>
          <cell r="AD812" t="str">
            <v>N/A</v>
          </cell>
          <cell r="AE812" t="str">
            <v>N/A</v>
          </cell>
          <cell r="AF812" t="str">
            <v>N/A</v>
          </cell>
        </row>
        <row r="813">
          <cell r="X813" t="str">
            <v>1EAIL</v>
          </cell>
          <cell r="Y813" t="str">
            <v>TANK - PROCUREMENT   FIRED EQUIPMENT</v>
          </cell>
          <cell r="Z813" t="str">
            <v>N/A</v>
          </cell>
          <cell r="AA813" t="str">
            <v>N/A</v>
          </cell>
          <cell r="AB813" t="str">
            <v>N/A</v>
          </cell>
          <cell r="AC813" t="str">
            <v>N/A</v>
          </cell>
          <cell r="AD813" t="str">
            <v>N/A</v>
          </cell>
          <cell r="AE813" t="str">
            <v>N/A</v>
          </cell>
          <cell r="AF813" t="str">
            <v>N/A</v>
          </cell>
        </row>
        <row r="814">
          <cell r="X814" t="str">
            <v>1EAIM</v>
          </cell>
          <cell r="Y814" t="str">
            <v>TANK - PROCUREMENT   BLOWERS &amp; FANS</v>
          </cell>
          <cell r="Z814" t="str">
            <v>N/A</v>
          </cell>
          <cell r="AA814" t="str">
            <v>N/A</v>
          </cell>
          <cell r="AB814" t="str">
            <v>N/A</v>
          </cell>
          <cell r="AC814" t="str">
            <v>N/A</v>
          </cell>
          <cell r="AD814" t="str">
            <v>N/A</v>
          </cell>
          <cell r="AE814" t="str">
            <v>N/A</v>
          </cell>
          <cell r="AF814" t="str">
            <v>N/A</v>
          </cell>
        </row>
        <row r="815">
          <cell r="X815" t="str">
            <v>1EAIN</v>
          </cell>
          <cell r="Y815" t="str">
            <v>TANK - PROCUREMENT   FILTERS</v>
          </cell>
          <cell r="Z815" t="str">
            <v>N/A</v>
          </cell>
          <cell r="AA815" t="str">
            <v>N/A</v>
          </cell>
          <cell r="AB815" t="str">
            <v>N/A</v>
          </cell>
          <cell r="AC815" t="str">
            <v>N/A</v>
          </cell>
          <cell r="AD815" t="str">
            <v>N/A</v>
          </cell>
          <cell r="AE815" t="str">
            <v>N/A</v>
          </cell>
          <cell r="AF815" t="str">
            <v>N/A</v>
          </cell>
        </row>
        <row r="816">
          <cell r="X816" t="str">
            <v>1EAIO</v>
          </cell>
          <cell r="Y816" t="str">
            <v>TANK - PROCUREMENT   FLARES</v>
          </cell>
          <cell r="Z816" t="str">
            <v>N/A</v>
          </cell>
          <cell r="AA816" t="str">
            <v>N/A</v>
          </cell>
          <cell r="AB816" t="str">
            <v>N/A</v>
          </cell>
          <cell r="AC816" t="str">
            <v>N/A</v>
          </cell>
          <cell r="AD816" t="str">
            <v>N/A</v>
          </cell>
          <cell r="AE816" t="str">
            <v>N/A</v>
          </cell>
          <cell r="AF816" t="str">
            <v>N/A</v>
          </cell>
        </row>
        <row r="817">
          <cell r="X817" t="str">
            <v>1EAIP</v>
          </cell>
          <cell r="Y817" t="str">
            <v>TANK - PROCUREMENT   SOLIDS HANDLING EQUIPMENT</v>
          </cell>
          <cell r="Z817" t="str">
            <v>N/A</v>
          </cell>
          <cell r="AA817" t="str">
            <v>N/A</v>
          </cell>
          <cell r="AB817" t="str">
            <v>N/A</v>
          </cell>
          <cell r="AC817" t="str">
            <v>N/A</v>
          </cell>
          <cell r="AD817" t="str">
            <v>N/A</v>
          </cell>
          <cell r="AE817" t="str">
            <v>N/A</v>
          </cell>
          <cell r="AF817" t="str">
            <v>N/A</v>
          </cell>
        </row>
        <row r="818">
          <cell r="X818" t="str">
            <v>1EAIQ</v>
          </cell>
          <cell r="Y818" t="str">
            <v>TANK - PROCUREMENT   PACKAGED EQUIPMENT</v>
          </cell>
          <cell r="Z818" t="str">
            <v>N/A</v>
          </cell>
          <cell r="AA818" t="str">
            <v>N/A</v>
          </cell>
          <cell r="AB818" t="str">
            <v>N/A</v>
          </cell>
          <cell r="AC818" t="str">
            <v>N/A</v>
          </cell>
          <cell r="AD818" t="str">
            <v>N/A</v>
          </cell>
          <cell r="AE818" t="str">
            <v>N/A</v>
          </cell>
          <cell r="AF818" t="str">
            <v>N/A</v>
          </cell>
        </row>
        <row r="819">
          <cell r="X819" t="str">
            <v>1EAIT</v>
          </cell>
          <cell r="Y819" t="str">
            <v>TANK - PROCUREMENT   BULKS</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row>
        <row r="820">
          <cell r="X820" t="str">
            <v>1EAIX</v>
          </cell>
          <cell r="Y820" t="str">
            <v>TANK - PROCUREMENT   OTHER</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row>
        <row r="821">
          <cell r="X821" t="str">
            <v>1EAI-</v>
          </cell>
          <cell r="Y821" t="str">
            <v>SUBTOTAL - TANK - PROCUREMENT</v>
          </cell>
          <cell r="Z821">
            <v>0</v>
          </cell>
          <cell r="AA821" t="str">
            <v>N/A</v>
          </cell>
          <cell r="AB821">
            <v>0</v>
          </cell>
          <cell r="AC821">
            <v>0</v>
          </cell>
          <cell r="AD821">
            <v>0</v>
          </cell>
          <cell r="AE821">
            <v>0</v>
          </cell>
          <cell r="AF821">
            <v>0</v>
          </cell>
        </row>
        <row r="823">
          <cell r="X823" t="str">
            <v>1EAJA</v>
          </cell>
          <cell r="Y823" t="str">
            <v>TANK - INDIRECT ENG'G CONTRACTS</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row>
        <row r="824">
          <cell r="X824" t="str">
            <v>1EAJB</v>
          </cell>
          <cell r="Y824" t="str">
            <v>TANK - INDIRECT ENG'G PROJECT MANAGEMENT</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row>
        <row r="825">
          <cell r="X825" t="str">
            <v>1EAJC</v>
          </cell>
          <cell r="Y825" t="str">
            <v>TANK - INDIRECT ENG'G ENGINEERING/NON-TECH</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row>
        <row r="826">
          <cell r="X826" t="str">
            <v>1EAJX</v>
          </cell>
          <cell r="Y826" t="str">
            <v>TANK - INDIRECT ENG'G OTHER</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row>
        <row r="827">
          <cell r="X827" t="str">
            <v>1EAJ-</v>
          </cell>
          <cell r="Y827" t="str">
            <v>SUBTOTAL - TANK - INDIRECT ENGINEERING</v>
          </cell>
          <cell r="Z827">
            <v>0</v>
          </cell>
          <cell r="AA827" t="str">
            <v>N/A</v>
          </cell>
          <cell r="AB827">
            <v>0</v>
          </cell>
          <cell r="AC827">
            <v>0</v>
          </cell>
          <cell r="AD827">
            <v>0</v>
          </cell>
          <cell r="AE827">
            <v>0</v>
          </cell>
          <cell r="AF827">
            <v>0</v>
          </cell>
        </row>
        <row r="838">
          <cell r="W838" t="str">
            <v>LEVEL 2 TANK PG.3</v>
          </cell>
          <cell r="X838" t="str">
            <v>WBS CODE</v>
          </cell>
          <cell r="Y838" t="str">
            <v>DESCRIPTION</v>
          </cell>
          <cell r="Z838" t="str">
            <v>QUANTITY</v>
          </cell>
          <cell r="AA838" t="str">
            <v>UNITS</v>
          </cell>
          <cell r="AB838" t="str">
            <v>TOTAL MANHOURS</v>
          </cell>
          <cell r="AC838" t="str">
            <v>TOTAL LABOR COST</v>
          </cell>
          <cell r="AD838" t="str">
            <v>TOTAL MAT'L COST</v>
          </cell>
          <cell r="AE838" t="str">
            <v>TOTAL S/C COST</v>
          </cell>
          <cell r="AF838" t="str">
            <v>TOTAL COST</v>
          </cell>
        </row>
        <row r="840">
          <cell r="X840" t="str">
            <v>1EBAA</v>
          </cell>
          <cell r="Y840" t="str">
            <v>TANK - FAB/DELIVERY MAJOR EQUIP PRESSURE VESSELS</v>
          </cell>
          <cell r="Z840" t="str">
            <v>N/A</v>
          </cell>
          <cell r="AA840" t="str">
            <v>N/A</v>
          </cell>
          <cell r="AB840" t="str">
            <v>N/A</v>
          </cell>
          <cell r="AC840" t="str">
            <v>N/A</v>
          </cell>
          <cell r="AD840" t="str">
            <v>N/A</v>
          </cell>
          <cell r="AE840" t="str">
            <v>N/A</v>
          </cell>
          <cell r="AF840" t="str">
            <v>N/A</v>
          </cell>
        </row>
        <row r="841">
          <cell r="X841" t="str">
            <v>1EBAB</v>
          </cell>
          <cell r="Y841" t="str">
            <v>TANK - FAB/DELIVERY MAJOR EQUIP COLUMNS</v>
          </cell>
          <cell r="Z841" t="str">
            <v>N/A</v>
          </cell>
          <cell r="AA841" t="str">
            <v>N/A</v>
          </cell>
          <cell r="AB841" t="str">
            <v>N/A</v>
          </cell>
          <cell r="AC841" t="str">
            <v>N/A</v>
          </cell>
          <cell r="AD841" t="str">
            <v>N/A</v>
          </cell>
          <cell r="AE841" t="str">
            <v>N/A</v>
          </cell>
          <cell r="AF841" t="str">
            <v>N/A</v>
          </cell>
        </row>
        <row r="842">
          <cell r="X842" t="str">
            <v>1EBAC</v>
          </cell>
          <cell r="Y842" t="str">
            <v>TANK - FAB/DELIVERY MAJOR EQUIP REACTORS</v>
          </cell>
          <cell r="Z842" t="str">
            <v>N/A</v>
          </cell>
          <cell r="AA842" t="str">
            <v>N/A</v>
          </cell>
          <cell r="AB842" t="str">
            <v>N/A</v>
          </cell>
          <cell r="AC842" t="str">
            <v>N/A</v>
          </cell>
          <cell r="AD842" t="str">
            <v>N/A</v>
          </cell>
          <cell r="AE842" t="str">
            <v>N/A</v>
          </cell>
          <cell r="AF842" t="str">
            <v>N/A</v>
          </cell>
        </row>
        <row r="843">
          <cell r="X843" t="str">
            <v>1EBAD</v>
          </cell>
          <cell r="Y843" t="str">
            <v>TANK - FAB/DELIVERY MAJOR EQUIP FIELD ERECTED TANKS</v>
          </cell>
          <cell r="Z843" t="str">
            <v>N/A</v>
          </cell>
          <cell r="AA843" t="str">
            <v>N/A</v>
          </cell>
          <cell r="AB843" t="str">
            <v>N/A</v>
          </cell>
          <cell r="AC843" t="str">
            <v>N/A</v>
          </cell>
          <cell r="AD843" t="str">
            <v>N/A</v>
          </cell>
          <cell r="AE843" t="str">
            <v>N/A</v>
          </cell>
          <cell r="AF843" t="str">
            <v>N/A</v>
          </cell>
        </row>
        <row r="844">
          <cell r="X844" t="str">
            <v>1EBAE</v>
          </cell>
          <cell r="Y844" t="str">
            <v>TANK - FAB/DELIVERY MAJOR EQUIP PUMPS</v>
          </cell>
          <cell r="Z844" t="str">
            <v>N/A</v>
          </cell>
          <cell r="AA844" t="str">
            <v>N/A</v>
          </cell>
          <cell r="AB844" t="str">
            <v>N/A</v>
          </cell>
          <cell r="AC844" t="str">
            <v>N/A</v>
          </cell>
          <cell r="AD844" t="str">
            <v>N/A</v>
          </cell>
          <cell r="AE844" t="str">
            <v>N/A</v>
          </cell>
          <cell r="AF844" t="str">
            <v>N/A</v>
          </cell>
        </row>
        <row r="845">
          <cell r="X845" t="str">
            <v>1EBAF</v>
          </cell>
          <cell r="Y845" t="str">
            <v>TANK - FAB/DELIVERY MAJOR EQUIP HEAT EXCHANGERS S&amp;T</v>
          </cell>
          <cell r="Z845" t="str">
            <v>N/A</v>
          </cell>
          <cell r="AA845" t="str">
            <v>N/A</v>
          </cell>
          <cell r="AB845" t="str">
            <v>N/A</v>
          </cell>
          <cell r="AC845" t="str">
            <v>N/A</v>
          </cell>
          <cell r="AD845" t="str">
            <v>N/A</v>
          </cell>
          <cell r="AE845" t="str">
            <v>N/A</v>
          </cell>
          <cell r="AF845" t="str">
            <v>N/A</v>
          </cell>
        </row>
        <row r="846">
          <cell r="X846" t="str">
            <v>1EBAG</v>
          </cell>
          <cell r="Y846" t="str">
            <v>TANK - FAB/DELIVERY MAJOR EQUIP HEAT EXCHANGERS FINNED</v>
          </cell>
          <cell r="Z846" t="str">
            <v>N/A</v>
          </cell>
          <cell r="AA846" t="str">
            <v>N/A</v>
          </cell>
          <cell r="AB846" t="str">
            <v>N/A</v>
          </cell>
          <cell r="AC846" t="str">
            <v>N/A</v>
          </cell>
          <cell r="AD846" t="str">
            <v>N/A</v>
          </cell>
          <cell r="AE846" t="str">
            <v>N/A</v>
          </cell>
          <cell r="AF846" t="str">
            <v>N/A</v>
          </cell>
        </row>
        <row r="847">
          <cell r="X847" t="str">
            <v>1EBAH</v>
          </cell>
          <cell r="Y847" t="str">
            <v>TANK - FAB/DELIVERY MAJOR EQUIP EXTRUDERS</v>
          </cell>
          <cell r="Z847" t="str">
            <v>N/A</v>
          </cell>
          <cell r="AA847" t="str">
            <v>N/A</v>
          </cell>
          <cell r="AB847" t="str">
            <v>N/A</v>
          </cell>
          <cell r="AC847" t="str">
            <v>N/A</v>
          </cell>
          <cell r="AD847" t="str">
            <v>N/A</v>
          </cell>
          <cell r="AE847" t="str">
            <v>N/A</v>
          </cell>
          <cell r="AF847" t="str">
            <v>N/A</v>
          </cell>
        </row>
        <row r="848">
          <cell r="X848" t="str">
            <v>1EBAI</v>
          </cell>
          <cell r="Y848" t="str">
            <v>TANK - FAB/DELIVERY MAJOR EQUIP COMPRESSORS</v>
          </cell>
          <cell r="Z848" t="str">
            <v>N/A</v>
          </cell>
          <cell r="AA848" t="str">
            <v>N/A</v>
          </cell>
          <cell r="AB848" t="str">
            <v>N/A</v>
          </cell>
          <cell r="AC848" t="str">
            <v>N/A</v>
          </cell>
          <cell r="AD848" t="str">
            <v>N/A</v>
          </cell>
          <cell r="AE848" t="str">
            <v>N/A</v>
          </cell>
          <cell r="AF848" t="str">
            <v>N/A</v>
          </cell>
        </row>
        <row r="849">
          <cell r="X849" t="str">
            <v>1EBAJ</v>
          </cell>
          <cell r="Y849" t="str">
            <v>TANK - FAB/DELIVERY MAJOR EQUIP GENERATORS</v>
          </cell>
          <cell r="Z849" t="str">
            <v>N/A</v>
          </cell>
          <cell r="AA849" t="str">
            <v>N/A</v>
          </cell>
          <cell r="AB849" t="str">
            <v>N/A</v>
          </cell>
          <cell r="AC849" t="str">
            <v>N/A</v>
          </cell>
          <cell r="AD849" t="str">
            <v>N/A</v>
          </cell>
          <cell r="AE849" t="str">
            <v>N/A</v>
          </cell>
          <cell r="AF849" t="str">
            <v>N/A</v>
          </cell>
        </row>
        <row r="850">
          <cell r="X850" t="str">
            <v>1EBAJ</v>
          </cell>
          <cell r="Y850" t="str">
            <v>TANK - FAB/DELIVERY MAJOR EQUIP MOTORS &amp; DRIVERS</v>
          </cell>
          <cell r="Z850" t="str">
            <v>N/A</v>
          </cell>
          <cell r="AA850" t="str">
            <v>N/A</v>
          </cell>
          <cell r="AB850" t="str">
            <v>N/A</v>
          </cell>
          <cell r="AC850" t="str">
            <v>N/A</v>
          </cell>
          <cell r="AD850" t="str">
            <v>N/A</v>
          </cell>
          <cell r="AE850" t="str">
            <v>N/A</v>
          </cell>
          <cell r="AF850" t="str">
            <v>N/A</v>
          </cell>
        </row>
        <row r="851">
          <cell r="X851" t="str">
            <v>1EBAL</v>
          </cell>
          <cell r="Y851" t="str">
            <v>TANK - FAB/DELIVERY MAJOR EQUIP FIRED EQUIPMENT</v>
          </cell>
          <cell r="Z851" t="str">
            <v>N/A</v>
          </cell>
          <cell r="AA851" t="str">
            <v>N/A</v>
          </cell>
          <cell r="AB851" t="str">
            <v>N/A</v>
          </cell>
          <cell r="AC851" t="str">
            <v>N/A</v>
          </cell>
          <cell r="AD851" t="str">
            <v>N/A</v>
          </cell>
          <cell r="AE851" t="str">
            <v>N/A</v>
          </cell>
          <cell r="AF851" t="str">
            <v>N/A</v>
          </cell>
        </row>
        <row r="852">
          <cell r="X852" t="str">
            <v>1EBAM</v>
          </cell>
          <cell r="Y852" t="str">
            <v>TANK - FAB/DELIVERY MAJOR EQUIP BLOWERS, FANS</v>
          </cell>
          <cell r="Z852" t="str">
            <v>N/A</v>
          </cell>
          <cell r="AA852" t="str">
            <v>N/A</v>
          </cell>
          <cell r="AB852" t="str">
            <v>N/A</v>
          </cell>
          <cell r="AC852" t="str">
            <v>N/A</v>
          </cell>
          <cell r="AD852" t="str">
            <v>N/A</v>
          </cell>
          <cell r="AE852" t="str">
            <v>N/A</v>
          </cell>
          <cell r="AF852" t="str">
            <v>N/A</v>
          </cell>
        </row>
        <row r="853">
          <cell r="X853" t="str">
            <v>1EBAN</v>
          </cell>
          <cell r="Y853" t="str">
            <v>TANK - FAB/DELIVERY MAJOR EQUIP FILTERS</v>
          </cell>
          <cell r="Z853" t="str">
            <v>N/A</v>
          </cell>
          <cell r="AA853" t="str">
            <v>N/A</v>
          </cell>
          <cell r="AB853" t="str">
            <v>N/A</v>
          </cell>
          <cell r="AC853" t="str">
            <v>N/A</v>
          </cell>
          <cell r="AD853" t="str">
            <v>N/A</v>
          </cell>
          <cell r="AE853" t="str">
            <v>N/A</v>
          </cell>
          <cell r="AF853" t="str">
            <v>N/A</v>
          </cell>
        </row>
        <row r="854">
          <cell r="X854" t="str">
            <v>1EBAO</v>
          </cell>
          <cell r="Y854" t="str">
            <v>TANK - FAB/DELIVERY MAJOR EQUIP FLARES</v>
          </cell>
          <cell r="Z854" t="str">
            <v>N/A</v>
          </cell>
          <cell r="AA854" t="str">
            <v>N/A</v>
          </cell>
          <cell r="AB854" t="str">
            <v>N/A</v>
          </cell>
          <cell r="AC854" t="str">
            <v>N/A</v>
          </cell>
          <cell r="AD854" t="str">
            <v>N/A</v>
          </cell>
          <cell r="AE854" t="str">
            <v>N/A</v>
          </cell>
          <cell r="AF854" t="str">
            <v>N/A</v>
          </cell>
        </row>
        <row r="855">
          <cell r="X855" t="str">
            <v>1EBAP</v>
          </cell>
          <cell r="Y855" t="str">
            <v>TANK - FAB/DELIVERY MAJOR EQUIP SOLIDS HANDLING EQUIPMENT</v>
          </cell>
          <cell r="Z855" t="str">
            <v>N/A</v>
          </cell>
          <cell r="AA855" t="str">
            <v>N/A</v>
          </cell>
          <cell r="AB855" t="str">
            <v>N/A</v>
          </cell>
          <cell r="AC855" t="str">
            <v>N/A</v>
          </cell>
          <cell r="AD855" t="str">
            <v>N/A</v>
          </cell>
          <cell r="AE855" t="str">
            <v>N/A</v>
          </cell>
          <cell r="AF855" t="str">
            <v>N/A</v>
          </cell>
        </row>
        <row r="856">
          <cell r="X856" t="str">
            <v>1EBAQ</v>
          </cell>
          <cell r="Y856" t="str">
            <v>TANK - FAB/DELIVERY MAJOR EQUIP PACKAGED EQUIPMENT</v>
          </cell>
          <cell r="Z856" t="str">
            <v>N/A</v>
          </cell>
          <cell r="AA856" t="str">
            <v>N/A</v>
          </cell>
          <cell r="AB856" t="str">
            <v>N/A</v>
          </cell>
          <cell r="AC856" t="str">
            <v>N/A</v>
          </cell>
          <cell r="AD856" t="str">
            <v>N/A</v>
          </cell>
          <cell r="AE856" t="str">
            <v>N/A</v>
          </cell>
          <cell r="AF856" t="str">
            <v>N/A</v>
          </cell>
        </row>
        <row r="857">
          <cell r="X857" t="str">
            <v>1EBAX</v>
          </cell>
          <cell r="Y857" t="str">
            <v>TANK - FAB/DELIVERY MAJOR EQUIP OTHER</v>
          </cell>
          <cell r="Z857" t="str">
            <v>N/A</v>
          </cell>
          <cell r="AA857" t="str">
            <v>N/A</v>
          </cell>
          <cell r="AB857" t="str">
            <v>N/A</v>
          </cell>
          <cell r="AC857" t="str">
            <v>N/A</v>
          </cell>
          <cell r="AD857" t="str">
            <v>N/A</v>
          </cell>
          <cell r="AE857" t="str">
            <v>N/A</v>
          </cell>
          <cell r="AF857" t="str">
            <v>N/A</v>
          </cell>
        </row>
        <row r="858">
          <cell r="X858" t="str">
            <v>1EBA-</v>
          </cell>
          <cell r="Y858" t="str">
            <v>SUBTOTAL - TANK - FAB/DELIVERY MAJOR EQUIP.</v>
          </cell>
          <cell r="Z858">
            <v>0</v>
          </cell>
          <cell r="AA858" t="str">
            <v>N/A</v>
          </cell>
          <cell r="AB858">
            <v>0</v>
          </cell>
          <cell r="AC858">
            <v>0</v>
          </cell>
          <cell r="AD858">
            <v>0</v>
          </cell>
          <cell r="AE858">
            <v>0</v>
          </cell>
          <cell r="AF858">
            <v>0</v>
          </cell>
        </row>
        <row r="860">
          <cell r="X860" t="str">
            <v>1EBBA</v>
          </cell>
          <cell r="Y860" t="str">
            <v>TANK - FAB/DELIVERY BULKS - IMBEDS</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row>
        <row r="861">
          <cell r="X861" t="str">
            <v>1EBBB</v>
          </cell>
          <cell r="Y861" t="str">
            <v>TANK - FAB/DELIVERY BULKS - STRUCTURAL</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row>
        <row r="862">
          <cell r="X862" t="str">
            <v>1EBBC</v>
          </cell>
          <cell r="Y862" t="str">
            <v>TANK - FAB/DELIVERY BULKS - PIPING</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row>
        <row r="863">
          <cell r="X863" t="str">
            <v>1EBBD</v>
          </cell>
          <cell r="Y863" t="str">
            <v>TANK - FAB/DELIVERY BULKS - ELECTRICAL</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row>
        <row r="864">
          <cell r="X864" t="str">
            <v>1EBBE</v>
          </cell>
          <cell r="Y864" t="str">
            <v>TANK - FAB/DELIVERY BULKS - INSTRUMENTATION</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row>
        <row r="865">
          <cell r="X865" t="str">
            <v>1EBBF</v>
          </cell>
          <cell r="Y865" t="str">
            <v>TANK - FAB/DELIVERY BULKS - PIPELINES</v>
          </cell>
          <cell r="Z865" t="str">
            <v>N/A</v>
          </cell>
          <cell r="AA865" t="str">
            <v>N/A</v>
          </cell>
          <cell r="AB865" t="str">
            <v>N/A</v>
          </cell>
          <cell r="AC865" t="str">
            <v>N/A</v>
          </cell>
          <cell r="AD865" t="str">
            <v>N/A</v>
          </cell>
          <cell r="AE865" t="str">
            <v>N/A</v>
          </cell>
          <cell r="AF865" t="str">
            <v>N/A</v>
          </cell>
        </row>
        <row r="866">
          <cell r="X866" t="str">
            <v>1EBB-</v>
          </cell>
          <cell r="Y866" t="str">
            <v>SUBTOTAL - TANK - FAB/DELIVERY BULKS</v>
          </cell>
          <cell r="Z866">
            <v>0</v>
          </cell>
          <cell r="AA866" t="str">
            <v>N/A</v>
          </cell>
          <cell r="AB866">
            <v>0</v>
          </cell>
          <cell r="AC866">
            <v>0</v>
          </cell>
          <cell r="AD866">
            <v>0</v>
          </cell>
          <cell r="AE866">
            <v>0</v>
          </cell>
          <cell r="AF866">
            <v>0</v>
          </cell>
        </row>
        <row r="868">
          <cell r="X868" t="str">
            <v>1EBCA</v>
          </cell>
          <cell r="Y868" t="str">
            <v>TANK - FAB/DELIVERY ENG. SPECIALTIES - BUILDINGS</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row>
        <row r="869">
          <cell r="X869" t="str">
            <v>1EBCB</v>
          </cell>
          <cell r="Y869" t="str">
            <v>TANK - FAB/DELIVERY ENG. SPECIALTIES - GENERAL</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row>
        <row r="870">
          <cell r="X870" t="str">
            <v>1EBC-</v>
          </cell>
          <cell r="Y870" t="str">
            <v>SUBTOTAL - TANK - FAB/DELIVERY ENGINEERING SPECIALTIES</v>
          </cell>
          <cell r="Z870">
            <v>0</v>
          </cell>
          <cell r="AA870" t="str">
            <v>N/A</v>
          </cell>
          <cell r="AB870">
            <v>0</v>
          </cell>
          <cell r="AC870">
            <v>0</v>
          </cell>
          <cell r="AD870">
            <v>0</v>
          </cell>
          <cell r="AE870">
            <v>0</v>
          </cell>
          <cell r="AF870">
            <v>0</v>
          </cell>
        </row>
        <row r="876">
          <cell r="W876" t="str">
            <v>LEVEL 2 TANK PG.4</v>
          </cell>
          <cell r="X876" t="str">
            <v>WBS CODE</v>
          </cell>
          <cell r="Y876" t="str">
            <v>DESCRIPTION</v>
          </cell>
          <cell r="Z876" t="str">
            <v>QUANTITY</v>
          </cell>
          <cell r="AA876" t="str">
            <v>UNITS</v>
          </cell>
          <cell r="AB876" t="str">
            <v>TOTAL MANHOURS</v>
          </cell>
          <cell r="AC876" t="str">
            <v>TOTAL LABOR COST</v>
          </cell>
          <cell r="AD876" t="str">
            <v>TOTAL MAT'L COST</v>
          </cell>
          <cell r="AE876" t="str">
            <v>TOTAL S/C COST</v>
          </cell>
          <cell r="AF876" t="str">
            <v>TOTAL COST</v>
          </cell>
        </row>
        <row r="877">
          <cell r="X877" t="str">
            <v>1ECAA</v>
          </cell>
          <cell r="Y877" t="str">
            <v>TANK - CONSTRUCTION, CIVIL - SITE WORK</v>
          </cell>
          <cell r="AF877">
            <v>0</v>
          </cell>
          <cell r="AG877">
            <v>0</v>
          </cell>
        </row>
        <row r="878">
          <cell r="X878" t="str">
            <v>1ECAB</v>
          </cell>
          <cell r="Y878" t="str">
            <v>TANK - CONSTRUCTION, CIVIL - FOUNDATIONS</v>
          </cell>
          <cell r="AF878">
            <v>0</v>
          </cell>
          <cell r="AG878">
            <v>0</v>
          </cell>
        </row>
        <row r="879">
          <cell r="X879" t="str">
            <v>1ECA</v>
          </cell>
          <cell r="Y879" t="str">
            <v>SUBTOTAL - TANK - CONSTRUCTION, CIVIL</v>
          </cell>
          <cell r="Z879">
            <v>0</v>
          </cell>
          <cell r="AA879" t="str">
            <v>N/A</v>
          </cell>
          <cell r="AB879">
            <v>0</v>
          </cell>
          <cell r="AC879">
            <v>0</v>
          </cell>
          <cell r="AD879">
            <v>0</v>
          </cell>
          <cell r="AE879">
            <v>0</v>
          </cell>
          <cell r="AF879">
            <v>0</v>
          </cell>
        </row>
        <row r="881">
          <cell r="X881" t="str">
            <v>1ECBA</v>
          </cell>
          <cell r="Y881" t="str">
            <v>TANK - CONSTRUCTION, MAJOR EQUIPMENT - PRESSURE VESSELS</v>
          </cell>
          <cell r="Z881" t="str">
            <v>N/A</v>
          </cell>
          <cell r="AA881" t="str">
            <v>N/A</v>
          </cell>
          <cell r="AB881" t="str">
            <v>N/A</v>
          </cell>
          <cell r="AC881" t="str">
            <v>N/A</v>
          </cell>
          <cell r="AD881" t="str">
            <v>N/A</v>
          </cell>
          <cell r="AE881" t="str">
            <v>N/A</v>
          </cell>
          <cell r="AF881" t="str">
            <v>N/A</v>
          </cell>
        </row>
        <row r="882">
          <cell r="X882" t="str">
            <v>1ECBB</v>
          </cell>
          <cell r="Y882" t="str">
            <v>TANK - CONSTRUCTION, MAJOR EQUIPMENT - COLUMNS</v>
          </cell>
          <cell r="Z882" t="str">
            <v>N/A</v>
          </cell>
          <cell r="AA882" t="str">
            <v>N/A</v>
          </cell>
          <cell r="AB882" t="str">
            <v>N/A</v>
          </cell>
          <cell r="AC882" t="str">
            <v>N/A</v>
          </cell>
          <cell r="AD882" t="str">
            <v>N/A</v>
          </cell>
          <cell r="AE882" t="str">
            <v>N/A</v>
          </cell>
          <cell r="AF882" t="str">
            <v>N/A</v>
          </cell>
        </row>
        <row r="883">
          <cell r="X883" t="str">
            <v>1ECBC</v>
          </cell>
          <cell r="Y883" t="str">
            <v>TANK - CONSTRUCTION, MAJOR EQUIPMENT - REACTORS</v>
          </cell>
          <cell r="Z883" t="str">
            <v>N/A</v>
          </cell>
          <cell r="AA883" t="str">
            <v>N/A</v>
          </cell>
          <cell r="AB883" t="str">
            <v>N/A</v>
          </cell>
          <cell r="AC883" t="str">
            <v>N/A</v>
          </cell>
          <cell r="AD883" t="str">
            <v>N/A</v>
          </cell>
          <cell r="AE883" t="str">
            <v>N/A</v>
          </cell>
          <cell r="AF883" t="str">
            <v>N/A</v>
          </cell>
        </row>
        <row r="884">
          <cell r="X884" t="str">
            <v>1ECBD</v>
          </cell>
          <cell r="Y884" t="str">
            <v>TANK - CONSTRUCTION, MAJOR EQUIPMENT - FIELD ERECTED TANKS</v>
          </cell>
          <cell r="Z884" t="str">
            <v>N/A</v>
          </cell>
          <cell r="AA884" t="str">
            <v>N/A</v>
          </cell>
          <cell r="AB884" t="str">
            <v>N/A</v>
          </cell>
          <cell r="AC884" t="str">
            <v>N/A</v>
          </cell>
          <cell r="AD884" t="str">
            <v>N/A</v>
          </cell>
          <cell r="AE884" t="str">
            <v>N/A</v>
          </cell>
          <cell r="AF884" t="str">
            <v>N/A</v>
          </cell>
        </row>
        <row r="885">
          <cell r="X885" t="str">
            <v>1ECBE</v>
          </cell>
          <cell r="Y885" t="str">
            <v>TANK - CONSTRUCTION, MAJOR EQUIPMENT - PUMPS</v>
          </cell>
          <cell r="AF885">
            <v>0</v>
          </cell>
          <cell r="AG885">
            <v>0</v>
          </cell>
        </row>
        <row r="886">
          <cell r="X886" t="str">
            <v>1ECBF</v>
          </cell>
          <cell r="Y886" t="str">
            <v>TANK - CONSTRUCTION, MAJOR EQUIPMENT - HEAT EXCHANGERS S&amp;T</v>
          </cell>
          <cell r="Z886" t="str">
            <v>N/A</v>
          </cell>
          <cell r="AA886" t="str">
            <v>N/A</v>
          </cell>
          <cell r="AB886" t="str">
            <v>N/A</v>
          </cell>
          <cell r="AC886" t="str">
            <v>N/A</v>
          </cell>
          <cell r="AD886" t="str">
            <v>N/A</v>
          </cell>
          <cell r="AE886" t="str">
            <v>N/A</v>
          </cell>
          <cell r="AF886" t="str">
            <v>N/A</v>
          </cell>
        </row>
        <row r="887">
          <cell r="X887" t="str">
            <v>1ECBG</v>
          </cell>
          <cell r="Y887" t="str">
            <v>TANK - CONSTRUCTION, MAJOR EQUIPMENT - HEAT EXCHANGERS FINNED</v>
          </cell>
          <cell r="Z887" t="str">
            <v>N/A</v>
          </cell>
          <cell r="AA887" t="str">
            <v>N/A</v>
          </cell>
          <cell r="AB887" t="str">
            <v>N/A</v>
          </cell>
          <cell r="AC887" t="str">
            <v>N/A</v>
          </cell>
          <cell r="AD887" t="str">
            <v>N/A</v>
          </cell>
          <cell r="AE887" t="str">
            <v>N/A</v>
          </cell>
          <cell r="AF887" t="str">
            <v>N/A</v>
          </cell>
        </row>
        <row r="888">
          <cell r="X888" t="str">
            <v>1ECBH</v>
          </cell>
          <cell r="Y888" t="str">
            <v>TANK - CONSTRUCTION, MAJOR EQUIPMENT - EXTRUDERS</v>
          </cell>
          <cell r="Z888" t="str">
            <v>N/A</v>
          </cell>
          <cell r="AA888" t="str">
            <v>N/A</v>
          </cell>
          <cell r="AB888" t="str">
            <v>N/A</v>
          </cell>
          <cell r="AC888" t="str">
            <v>N/A</v>
          </cell>
          <cell r="AD888" t="str">
            <v>N/A</v>
          </cell>
          <cell r="AE888" t="str">
            <v>N/A</v>
          </cell>
          <cell r="AF888" t="str">
            <v>N/A</v>
          </cell>
        </row>
        <row r="889">
          <cell r="X889" t="str">
            <v>1ECBI</v>
          </cell>
          <cell r="Y889" t="str">
            <v>TANK - CONSTRUCTION, MAJOR EQUIPMENT - COMPRESSORS</v>
          </cell>
          <cell r="Z889">
            <v>0</v>
          </cell>
          <cell r="AA889">
            <v>0</v>
          </cell>
          <cell r="AB889">
            <v>0</v>
          </cell>
          <cell r="AC889">
            <v>0</v>
          </cell>
          <cell r="AD889">
            <v>0</v>
          </cell>
          <cell r="AE889">
            <v>0</v>
          </cell>
          <cell r="AF889">
            <v>0</v>
          </cell>
        </row>
        <row r="890">
          <cell r="X890" t="str">
            <v>1ECBJ</v>
          </cell>
          <cell r="Y890" t="str">
            <v>TANK - CONSTRUCTION, MAJOR EQUIPMENT - GENERATORS</v>
          </cell>
          <cell r="Z890" t="str">
            <v>N/A</v>
          </cell>
          <cell r="AA890" t="str">
            <v>N/A</v>
          </cell>
          <cell r="AB890" t="str">
            <v>N/A</v>
          </cell>
          <cell r="AC890" t="str">
            <v>N/A</v>
          </cell>
          <cell r="AD890" t="str">
            <v>N/A</v>
          </cell>
          <cell r="AE890" t="str">
            <v>N/A</v>
          </cell>
          <cell r="AF890" t="str">
            <v>N/A</v>
          </cell>
        </row>
        <row r="891">
          <cell r="X891" t="str">
            <v>1ECBK</v>
          </cell>
          <cell r="Y891" t="str">
            <v>TANK - CONSTRUCTION, MAJOR EQUIPMENT - MOTORS &amp; DRIVERS</v>
          </cell>
          <cell r="Z891" t="str">
            <v>N/A</v>
          </cell>
          <cell r="AA891" t="str">
            <v>N/A</v>
          </cell>
          <cell r="AB891" t="str">
            <v>N/A</v>
          </cell>
          <cell r="AC891" t="str">
            <v>N/A</v>
          </cell>
          <cell r="AD891" t="str">
            <v>N/A</v>
          </cell>
          <cell r="AE891" t="str">
            <v>N/A</v>
          </cell>
          <cell r="AF891" t="str">
            <v>N/A</v>
          </cell>
        </row>
        <row r="892">
          <cell r="X892" t="str">
            <v>1ECBL</v>
          </cell>
          <cell r="Y892" t="str">
            <v>TANK - CONSTRUCTION, MAJOR EQUIPMENT - FIRED EQUIPMENT</v>
          </cell>
          <cell r="Z892" t="str">
            <v>N/A</v>
          </cell>
          <cell r="AA892" t="str">
            <v>N/A</v>
          </cell>
          <cell r="AB892" t="str">
            <v>N/A</v>
          </cell>
          <cell r="AC892" t="str">
            <v>N/A</v>
          </cell>
          <cell r="AD892" t="str">
            <v>N/A</v>
          </cell>
          <cell r="AE892" t="str">
            <v>N/A</v>
          </cell>
          <cell r="AF892" t="str">
            <v>N/A</v>
          </cell>
        </row>
        <row r="893">
          <cell r="X893" t="str">
            <v>1ECBM</v>
          </cell>
          <cell r="Y893" t="str">
            <v>TANK - CONSTRUCTION, MAJOR EQUIPMENT - BLOWERS, FANS</v>
          </cell>
          <cell r="Z893" t="str">
            <v>N/A</v>
          </cell>
          <cell r="AA893" t="str">
            <v>N/A</v>
          </cell>
          <cell r="AB893" t="str">
            <v>N/A</v>
          </cell>
          <cell r="AC893" t="str">
            <v>N/A</v>
          </cell>
          <cell r="AD893" t="str">
            <v>N/A</v>
          </cell>
          <cell r="AE893" t="str">
            <v>N/A</v>
          </cell>
          <cell r="AF893" t="str">
            <v>N/A</v>
          </cell>
        </row>
        <row r="894">
          <cell r="X894" t="str">
            <v>1ECBN</v>
          </cell>
          <cell r="Y894" t="str">
            <v>TANK - CONSTRUCTION, MAJOR EQUIPMENT - FILTERS</v>
          </cell>
          <cell r="Z894" t="str">
            <v>N/A</v>
          </cell>
          <cell r="AA894" t="str">
            <v>N/A</v>
          </cell>
          <cell r="AB894" t="str">
            <v>N/A</v>
          </cell>
          <cell r="AC894" t="str">
            <v>N/A</v>
          </cell>
          <cell r="AD894" t="str">
            <v>N/A</v>
          </cell>
          <cell r="AE894" t="str">
            <v>N/A</v>
          </cell>
          <cell r="AF894" t="str">
            <v>N/A</v>
          </cell>
        </row>
        <row r="895">
          <cell r="X895" t="str">
            <v>1ECBO</v>
          </cell>
          <cell r="Y895" t="str">
            <v>TANK - CONSTRUCTION, MAJOR EQUIPMENT - FLARES</v>
          </cell>
          <cell r="Z895" t="str">
            <v>N/A</v>
          </cell>
          <cell r="AA895" t="str">
            <v>N/A</v>
          </cell>
          <cell r="AB895" t="str">
            <v>N/A</v>
          </cell>
          <cell r="AC895" t="str">
            <v>N/A</v>
          </cell>
          <cell r="AD895" t="str">
            <v>N/A</v>
          </cell>
          <cell r="AE895" t="str">
            <v>N/A</v>
          </cell>
          <cell r="AF895" t="str">
            <v>N/A</v>
          </cell>
        </row>
        <row r="896">
          <cell r="X896" t="str">
            <v>1ECBP</v>
          </cell>
          <cell r="Y896" t="str">
            <v>TANK - CONSTRUCTION, MAJOR EQUIPMENT - SOLIDS HANDLING EQUIPMENT</v>
          </cell>
          <cell r="Z896" t="str">
            <v>N/A</v>
          </cell>
          <cell r="AA896" t="str">
            <v>N/A</v>
          </cell>
          <cell r="AB896" t="str">
            <v>N/A</v>
          </cell>
          <cell r="AC896" t="str">
            <v>N/A</v>
          </cell>
          <cell r="AD896" t="str">
            <v>N/A</v>
          </cell>
          <cell r="AE896" t="str">
            <v>N/A</v>
          </cell>
          <cell r="AF896" t="str">
            <v>N/A</v>
          </cell>
        </row>
        <row r="897">
          <cell r="X897" t="str">
            <v>1ECBQ</v>
          </cell>
          <cell r="Y897" t="str">
            <v>TANK - CONSTRUCTION, MAJOR EQUIPMENT - PACKAGED EQUIPMENT</v>
          </cell>
          <cell r="Z897" t="str">
            <v>N/A</v>
          </cell>
          <cell r="AA897" t="str">
            <v>N/A</v>
          </cell>
          <cell r="AB897" t="str">
            <v>N/A</v>
          </cell>
          <cell r="AC897" t="str">
            <v>N/A</v>
          </cell>
          <cell r="AD897" t="str">
            <v>N/A</v>
          </cell>
          <cell r="AE897" t="str">
            <v>N/A</v>
          </cell>
          <cell r="AF897" t="str">
            <v>N/A</v>
          </cell>
        </row>
        <row r="898">
          <cell r="X898" t="str">
            <v>1ECBX</v>
          </cell>
          <cell r="Y898" t="str">
            <v>TANK - CONSTRUCTION, MAJOR EQUIPMENT - OTHERS</v>
          </cell>
          <cell r="Z898">
            <v>0</v>
          </cell>
          <cell r="AA898">
            <v>0</v>
          </cell>
          <cell r="AB898">
            <v>0</v>
          </cell>
          <cell r="AC898">
            <v>0</v>
          </cell>
          <cell r="AD898">
            <v>0</v>
          </cell>
          <cell r="AE898">
            <v>0</v>
          </cell>
          <cell r="AF898">
            <v>0</v>
          </cell>
        </row>
        <row r="899">
          <cell r="X899" t="str">
            <v>1ECB-</v>
          </cell>
          <cell r="Y899" t="str">
            <v>SUBTOTAL - TANK - CONSTRUCTION, MAJOR EQUIPMENT</v>
          </cell>
          <cell r="Z899">
            <v>0</v>
          </cell>
          <cell r="AA899" t="str">
            <v>N/A</v>
          </cell>
          <cell r="AB899">
            <v>0</v>
          </cell>
          <cell r="AC899">
            <v>0</v>
          </cell>
          <cell r="AD899">
            <v>0</v>
          </cell>
          <cell r="AE899">
            <v>0</v>
          </cell>
          <cell r="AF899">
            <v>0</v>
          </cell>
        </row>
        <row r="901">
          <cell r="X901" t="str">
            <v>1ECCA</v>
          </cell>
          <cell r="Y901" t="str">
            <v>TANK - CONSTRUCTION, BULKS - STRUCTURAL</v>
          </cell>
          <cell r="AF901">
            <v>0</v>
          </cell>
          <cell r="AG901">
            <v>0</v>
          </cell>
        </row>
        <row r="902">
          <cell r="X902" t="str">
            <v>1ECCB</v>
          </cell>
          <cell r="Y902" t="str">
            <v>TANK - CONSTRUCTION, BULKS - PIPING</v>
          </cell>
          <cell r="AF902">
            <v>0</v>
          </cell>
          <cell r="AG902">
            <v>0</v>
          </cell>
        </row>
        <row r="903">
          <cell r="X903" t="str">
            <v>1ECCC</v>
          </cell>
          <cell r="Y903" t="str">
            <v>TANK - CONSTRUCTION, BULKS - ELECTRICAL</v>
          </cell>
          <cell r="AF903">
            <v>0</v>
          </cell>
          <cell r="AG903">
            <v>0</v>
          </cell>
        </row>
        <row r="904">
          <cell r="X904" t="str">
            <v>1ECCD</v>
          </cell>
          <cell r="Y904" t="str">
            <v>TANK - CONSTRUCTION, BULKS - INSTRUMENTATION</v>
          </cell>
          <cell r="AF904">
            <v>0</v>
          </cell>
          <cell r="AG904">
            <v>0</v>
          </cell>
        </row>
        <row r="905">
          <cell r="X905" t="str">
            <v>1ECCE</v>
          </cell>
          <cell r="Y905" t="str">
            <v>TANK - CONSTRUCTION, BULKS - PIPELINES</v>
          </cell>
          <cell r="Z905" t="str">
            <v>N/A</v>
          </cell>
          <cell r="AA905" t="str">
            <v>N/A</v>
          </cell>
          <cell r="AB905" t="str">
            <v>N/A</v>
          </cell>
          <cell r="AC905" t="str">
            <v>N/A</v>
          </cell>
          <cell r="AD905" t="str">
            <v>N/A</v>
          </cell>
          <cell r="AE905" t="str">
            <v>N/A</v>
          </cell>
          <cell r="AF905" t="str">
            <v>N/A</v>
          </cell>
        </row>
        <row r="906">
          <cell r="X906" t="str">
            <v>1ECC-</v>
          </cell>
          <cell r="Y906" t="str">
            <v xml:space="preserve">SUBTOTAL - TANK - CONSTRUCTION, BULKS </v>
          </cell>
          <cell r="Z906">
            <v>0</v>
          </cell>
          <cell r="AA906" t="str">
            <v>N/A</v>
          </cell>
          <cell r="AB906">
            <v>0</v>
          </cell>
          <cell r="AC906">
            <v>0</v>
          </cell>
          <cell r="AD906">
            <v>0</v>
          </cell>
          <cell r="AE906">
            <v>0</v>
          </cell>
          <cell r="AF906">
            <v>0</v>
          </cell>
        </row>
        <row r="908">
          <cell r="X908" t="str">
            <v>1ECDA</v>
          </cell>
          <cell r="Y908" t="str">
            <v>TANK - CONSTRUCTION SPECIALTIES - BUILDINGS</v>
          </cell>
          <cell r="AF908">
            <v>0</v>
          </cell>
          <cell r="AG908">
            <v>0</v>
          </cell>
        </row>
        <row r="909">
          <cell r="X909" t="str">
            <v>1ECDB</v>
          </cell>
          <cell r="Y909" t="str">
            <v>TANK - CONSTRUCTION SPECIALTIES - GENERAL</v>
          </cell>
          <cell r="AF909">
            <v>0</v>
          </cell>
          <cell r="AG909">
            <v>0</v>
          </cell>
        </row>
        <row r="910">
          <cell r="X910" t="str">
            <v>1ECD-</v>
          </cell>
          <cell r="Y910" t="str">
            <v>SUBTOTAL - TANK - CONSTRUCTION SPECIALTIES</v>
          </cell>
          <cell r="Z910">
            <v>0</v>
          </cell>
          <cell r="AA910" t="str">
            <v>N/A</v>
          </cell>
          <cell r="AB910">
            <v>0</v>
          </cell>
          <cell r="AC910">
            <v>0</v>
          </cell>
          <cell r="AD910">
            <v>0</v>
          </cell>
          <cell r="AE910">
            <v>0</v>
          </cell>
          <cell r="AF910">
            <v>0</v>
          </cell>
        </row>
        <row r="914">
          <cell r="W914" t="str">
            <v>LEVEL 2 TANK PG 5</v>
          </cell>
          <cell r="X914" t="str">
            <v>WBS CODE</v>
          </cell>
          <cell r="Y914" t="str">
            <v>DESCRIPTION</v>
          </cell>
          <cell r="Z914" t="str">
            <v>QUANTITY</v>
          </cell>
          <cell r="AA914" t="str">
            <v>UNITS</v>
          </cell>
          <cell r="AB914" t="str">
            <v>TOTAL MANHOURS</v>
          </cell>
          <cell r="AC914" t="str">
            <v>TOTAL LABOR COST</v>
          </cell>
          <cell r="AD914" t="str">
            <v>TOTAL MAT'L COST</v>
          </cell>
          <cell r="AE914" t="str">
            <v>TOTAL S/C COST</v>
          </cell>
          <cell r="AF914" t="str">
            <v>TOTAL COST</v>
          </cell>
        </row>
        <row r="916">
          <cell r="X916" t="str">
            <v>1ECEA</v>
          </cell>
          <cell r="Y916" t="str">
            <v>TANK - CONSTRUCTION, OTHER DIRECT WORK - FIRE PROTECTION</v>
          </cell>
          <cell r="AF916">
            <v>0</v>
          </cell>
          <cell r="AG916">
            <v>0</v>
          </cell>
        </row>
        <row r="917">
          <cell r="X917" t="str">
            <v>1ECEB</v>
          </cell>
          <cell r="Y917" t="str">
            <v>TANK - CONSTRUCTION, OTHER DIRECT WORK - FIREPROOFING</v>
          </cell>
          <cell r="AF917">
            <v>0</v>
          </cell>
          <cell r="AG917">
            <v>0</v>
          </cell>
        </row>
        <row r="918">
          <cell r="X918" t="str">
            <v>1ECEC</v>
          </cell>
          <cell r="Y918" t="str">
            <v>TANK - CONSTRUCTION, OTHER DIRECT WORK - INSULATION</v>
          </cell>
          <cell r="AF918">
            <v>0</v>
          </cell>
          <cell r="AG918">
            <v>0</v>
          </cell>
        </row>
        <row r="919">
          <cell r="X919" t="str">
            <v>1ECED</v>
          </cell>
          <cell r="Y919" t="str">
            <v>TANK - CONSTRUCTION, OTHER DIRECT WORK - PAINTING</v>
          </cell>
          <cell r="AF919">
            <v>0</v>
          </cell>
          <cell r="AG919">
            <v>0</v>
          </cell>
        </row>
        <row r="920">
          <cell r="X920" t="str">
            <v>1ECEE</v>
          </cell>
          <cell r="Y920" t="str">
            <v>TANK - CONSTRUCTION, OTHER DIRECT WORK - SHUTDOWN</v>
          </cell>
          <cell r="AF920">
            <v>0</v>
          </cell>
          <cell r="AG920">
            <v>0</v>
          </cell>
        </row>
        <row r="921">
          <cell r="X921" t="str">
            <v>1ECEF</v>
          </cell>
          <cell r="Y921" t="str">
            <v>TANK - CONSTRUCTION, OTHER DIRECT WORK - PRE-COMMISSIONING</v>
          </cell>
          <cell r="AF921">
            <v>0</v>
          </cell>
          <cell r="AG921">
            <v>0</v>
          </cell>
        </row>
        <row r="922">
          <cell r="X922" t="str">
            <v>1ECEG</v>
          </cell>
          <cell r="Y922" t="str">
            <v>TANK - CONSTRUCTION, OTHER DIRECT WORK - ENVIRONMENTAL</v>
          </cell>
          <cell r="AF922">
            <v>0</v>
          </cell>
          <cell r="AG922">
            <v>0</v>
          </cell>
        </row>
        <row r="923">
          <cell r="X923" t="str">
            <v>1ECEX</v>
          </cell>
          <cell r="Y923" t="str">
            <v>TANK - CONSTRUCTION, OTHER DIRECT WORK - OTHER</v>
          </cell>
          <cell r="AF923">
            <v>0</v>
          </cell>
          <cell r="AG923">
            <v>0</v>
          </cell>
        </row>
        <row r="924">
          <cell r="X924" t="str">
            <v>1ECE</v>
          </cell>
          <cell r="Y924" t="str">
            <v xml:space="preserve">SUBTOTAL - TANK - CONSTRUCTION, OTHER DIRECT WORK - </v>
          </cell>
          <cell r="Z924">
            <v>0</v>
          </cell>
          <cell r="AA924" t="str">
            <v>N/A</v>
          </cell>
          <cell r="AB924">
            <v>0</v>
          </cell>
          <cell r="AC924">
            <v>0</v>
          </cell>
          <cell r="AD924">
            <v>0</v>
          </cell>
          <cell r="AE924">
            <v>0</v>
          </cell>
          <cell r="AF924">
            <v>0</v>
          </cell>
        </row>
        <row r="926">
          <cell r="X926" t="str">
            <v>1ECFA</v>
          </cell>
          <cell r="Y926" t="str">
            <v>TANK - CONSTRUCTION INDIRECTS</v>
          </cell>
          <cell r="AF926">
            <v>0</v>
          </cell>
          <cell r="AG926">
            <v>0</v>
          </cell>
        </row>
        <row r="927">
          <cell r="X927" t="str">
            <v>1ECF</v>
          </cell>
          <cell r="Y927" t="str">
            <v>SUBTOTAL - TANK - CONSTRUCTION INDIRECTS</v>
          </cell>
          <cell r="Z927">
            <v>0</v>
          </cell>
          <cell r="AA927" t="str">
            <v>N/A</v>
          </cell>
          <cell r="AB927">
            <v>0</v>
          </cell>
          <cell r="AC927">
            <v>0</v>
          </cell>
          <cell r="AD927">
            <v>0</v>
          </cell>
          <cell r="AE927">
            <v>0</v>
          </cell>
          <cell r="AF927">
            <v>0</v>
          </cell>
        </row>
        <row r="929">
          <cell r="X929" t="str">
            <v>1EDAA</v>
          </cell>
          <cell r="Y929" t="str">
            <v>TANK - COMMISSIONING - PROCESS</v>
          </cell>
          <cell r="AF929">
            <v>0</v>
          </cell>
          <cell r="AG929">
            <v>0</v>
          </cell>
        </row>
        <row r="930">
          <cell r="X930" t="str">
            <v>1EDAB</v>
          </cell>
          <cell r="Y930" t="str">
            <v>TANK - COMMISSIONING - UTILITIES</v>
          </cell>
          <cell r="AF930">
            <v>0</v>
          </cell>
          <cell r="AG930">
            <v>0</v>
          </cell>
        </row>
        <row r="931">
          <cell r="X931" t="str">
            <v>1EDA-</v>
          </cell>
          <cell r="Y931" t="str">
            <v>SUBTOTAL - TANK - COMMISSIONING</v>
          </cell>
          <cell r="Z931">
            <v>0</v>
          </cell>
          <cell r="AA931" t="str">
            <v>N/A</v>
          </cell>
          <cell r="AB931">
            <v>0</v>
          </cell>
          <cell r="AC931">
            <v>0</v>
          </cell>
          <cell r="AD931">
            <v>0</v>
          </cell>
          <cell r="AE931">
            <v>0</v>
          </cell>
          <cell r="AF931">
            <v>0</v>
          </cell>
        </row>
        <row r="933">
          <cell r="X933" t="str">
            <v>1EDBA</v>
          </cell>
          <cell r="Y933" t="str">
            <v>TANK - STARTUP - PROCESS</v>
          </cell>
          <cell r="AF933">
            <v>0</v>
          </cell>
          <cell r="AG933">
            <v>0</v>
          </cell>
        </row>
        <row r="934">
          <cell r="X934" t="str">
            <v>1EDBB</v>
          </cell>
          <cell r="Y934" t="str">
            <v>TANK - STARTUP - UTILITIES</v>
          </cell>
          <cell r="AF934">
            <v>0</v>
          </cell>
          <cell r="AG934">
            <v>0</v>
          </cell>
        </row>
        <row r="935">
          <cell r="X935" t="str">
            <v>1EDB-</v>
          </cell>
          <cell r="Y935" t="str">
            <v>SUBTOTAL - TANK - STARTUP</v>
          </cell>
          <cell r="Z935">
            <v>0</v>
          </cell>
          <cell r="AA935" t="str">
            <v>N/A</v>
          </cell>
          <cell r="AB935">
            <v>0</v>
          </cell>
          <cell r="AC935">
            <v>0</v>
          </cell>
          <cell r="AD935">
            <v>0</v>
          </cell>
          <cell r="AE935">
            <v>0</v>
          </cell>
          <cell r="AF935">
            <v>0</v>
          </cell>
        </row>
        <row r="937">
          <cell r="X937" t="str">
            <v>1EDCA</v>
          </cell>
          <cell r="Y937" t="str">
            <v>TANK - TRAINING</v>
          </cell>
          <cell r="AF937">
            <v>0</v>
          </cell>
          <cell r="AG937">
            <v>0</v>
          </cell>
        </row>
        <row r="938">
          <cell r="X938" t="str">
            <v>1EDC-</v>
          </cell>
          <cell r="Y938" t="str">
            <v>SUBTOTAL - TANK - TRAINING</v>
          </cell>
          <cell r="Z938">
            <v>0</v>
          </cell>
          <cell r="AA938" t="str">
            <v>N/A</v>
          </cell>
          <cell r="AB938">
            <v>0</v>
          </cell>
          <cell r="AC938">
            <v>0</v>
          </cell>
          <cell r="AD938">
            <v>0</v>
          </cell>
          <cell r="AE938">
            <v>0</v>
          </cell>
          <cell r="AF938">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5"/>
      <sheetName val="Sheet1"/>
      <sheetName val="F4II"/>
      <sheetName val="F4월"/>
      <sheetName val="F5월"/>
      <sheetName val="F5CVD1"/>
      <sheetName val="F4CVD1"/>
      <sheetName val="98CVD"/>
      <sheetName val="F4CVD"/>
      <sheetName val="CVD"/>
      <sheetName val="Sheet2"/>
      <sheetName val="BPSG"/>
      <sheetName val="전기내역서(총계)"/>
      <sheetName val="설치공사"/>
    </sheetNames>
    <sheetDataSet>
      <sheetData sheetId="0">
        <row r="30">
          <cell r="I30">
            <v>33600</v>
          </cell>
          <cell r="O30">
            <v>18000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_18"/>
      <sheetName val="COA_17"/>
      <sheetName val="Summary Sheets"/>
      <sheetName val="AILC004"/>
      <sheetName val="CAT_5"/>
      <sheetName val="단가표"/>
      <sheetName val="현장관리비"/>
      <sheetName val="실행내역"/>
      <sheetName val="내역서"/>
      <sheetName val="장비명"/>
      <sheetName val="현황"/>
      <sheetName val="CIVIL"/>
      <sheetName val="Lnx$LPS-A301(Excel)_"/>
      <sheetName val="XZLC004_PART2"/>
      <sheetName val="F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조사서"/>
      <sheetName val="일위대가(1)"/>
      <sheetName val="일위대가 (2)"/>
      <sheetName val="수량산출서(1)"/>
      <sheetName val="수량산출서(2)"/>
      <sheetName val="노임단가"/>
      <sheetName val="Sheet1"/>
      <sheetName val="Sheet2"/>
      <sheetName val="Sheet3"/>
      <sheetName val="laroux"/>
      <sheetName val="세네카"/>
      <sheetName val="내역서표지-간지"/>
      <sheetName val="공사내역서"/>
      <sheetName val="총괄공사원가계산서"/>
      <sheetName val="금액총괄표"/>
      <sheetName val="건축공사원가계산서"/>
      <sheetName val="전기공사원가계산서"/>
      <sheetName val="기계공사원가계산서"/>
      <sheetName val="기계내역서"/>
      <sheetName val="일위댓가"/>
      <sheetName val="단가표"/>
      <sheetName val="견적대비"/>
      <sheetName val="수량산출서"/>
      <sheetName val="예비품(기계)"/>
      <sheetName val="시운전비 "/>
      <sheetName val="시중노임단가"/>
      <sheetName val="파쇄기견적비교"/>
      <sheetName val="표지"/>
      <sheetName val="COA-17"/>
      <sheetName val="C-18"/>
    </sheetNames>
    <sheetDataSet>
      <sheetData sheetId="0">
        <row r="11">
          <cell r="A11" t="str">
            <v>1-8</v>
          </cell>
          <cell r="B11" t="str">
            <v xml:space="preserve"> PIPE</v>
          </cell>
          <cell r="C11" t="str">
            <v>SPP</v>
          </cell>
          <cell r="D11" t="str">
            <v>80A</v>
          </cell>
          <cell r="E11" t="str">
            <v>m</v>
          </cell>
          <cell r="J11">
            <v>4465</v>
          </cell>
          <cell r="K11">
            <v>506</v>
          </cell>
          <cell r="L11">
            <v>4465</v>
          </cell>
        </row>
        <row r="12">
          <cell r="A12" t="str">
            <v>1-9</v>
          </cell>
          <cell r="B12" t="str">
            <v xml:space="preserve"> PIPE</v>
          </cell>
          <cell r="C12" t="str">
            <v>SPP</v>
          </cell>
          <cell r="D12" t="str">
            <v>100A</v>
          </cell>
          <cell r="E12" t="str">
            <v>m</v>
          </cell>
          <cell r="J12">
            <v>6381</v>
          </cell>
          <cell r="K12">
            <v>506</v>
          </cell>
          <cell r="L12">
            <v>6381</v>
          </cell>
        </row>
        <row r="13">
          <cell r="A13" t="str">
            <v>1-10</v>
          </cell>
          <cell r="B13" t="str">
            <v xml:space="preserve"> PIPE</v>
          </cell>
          <cell r="C13" t="str">
            <v>SPP</v>
          </cell>
          <cell r="D13" t="str">
            <v>125A</v>
          </cell>
          <cell r="E13" t="str">
            <v>m</v>
          </cell>
          <cell r="J13">
            <v>8718</v>
          </cell>
          <cell r="K13">
            <v>506</v>
          </cell>
          <cell r="L13">
            <v>8718</v>
          </cell>
        </row>
        <row r="14">
          <cell r="A14" t="str">
            <v>1-11</v>
          </cell>
          <cell r="B14" t="str">
            <v xml:space="preserve"> PIPE</v>
          </cell>
          <cell r="C14" t="str">
            <v>SPP</v>
          </cell>
          <cell r="D14" t="str">
            <v>150A</v>
          </cell>
          <cell r="E14" t="str">
            <v>m</v>
          </cell>
          <cell r="J14">
            <v>10436</v>
          </cell>
          <cell r="K14">
            <v>506</v>
          </cell>
          <cell r="L14">
            <v>10436</v>
          </cell>
        </row>
        <row r="15">
          <cell r="A15" t="str">
            <v>1-12</v>
          </cell>
          <cell r="B15" t="str">
            <v xml:space="preserve"> PIPE</v>
          </cell>
          <cell r="C15" t="str">
            <v>SPP</v>
          </cell>
          <cell r="D15" t="str">
            <v>200A</v>
          </cell>
          <cell r="E15" t="str">
            <v>m</v>
          </cell>
          <cell r="J15">
            <v>17120</v>
          </cell>
          <cell r="K15">
            <v>506</v>
          </cell>
          <cell r="L15">
            <v>17120</v>
          </cell>
        </row>
        <row r="16">
          <cell r="A16" t="str">
            <v>1-13</v>
          </cell>
          <cell r="B16" t="str">
            <v xml:space="preserve"> PIPE</v>
          </cell>
          <cell r="C16" t="str">
            <v>SPP</v>
          </cell>
          <cell r="D16" t="str">
            <v>250A</v>
          </cell>
          <cell r="E16" t="str">
            <v>m</v>
          </cell>
          <cell r="J16">
            <v>24476</v>
          </cell>
          <cell r="K16">
            <v>506</v>
          </cell>
          <cell r="L16">
            <v>24476</v>
          </cell>
        </row>
        <row r="17">
          <cell r="A17" t="str">
            <v>1-14</v>
          </cell>
          <cell r="B17" t="str">
            <v xml:space="preserve"> PIPE</v>
          </cell>
          <cell r="C17" t="str">
            <v>SPP</v>
          </cell>
          <cell r="D17" t="str">
            <v>300A</v>
          </cell>
          <cell r="E17" t="str">
            <v>m</v>
          </cell>
          <cell r="J17">
            <v>31424</v>
          </cell>
          <cell r="K17">
            <v>506</v>
          </cell>
          <cell r="L17">
            <v>31424</v>
          </cell>
        </row>
        <row r="18">
          <cell r="A18" t="str">
            <v>1-15</v>
          </cell>
          <cell r="B18" t="str">
            <v xml:space="preserve"> PIPE</v>
          </cell>
          <cell r="C18" t="str">
            <v>SPPW</v>
          </cell>
          <cell r="D18" t="str">
            <v>백관, 15A</v>
          </cell>
          <cell r="E18" t="str">
            <v>m</v>
          </cell>
          <cell r="J18">
            <v>1062</v>
          </cell>
          <cell r="K18">
            <v>507</v>
          </cell>
          <cell r="L18">
            <v>1062</v>
          </cell>
        </row>
        <row r="19">
          <cell r="A19" t="str">
            <v>1-16</v>
          </cell>
          <cell r="B19" t="str">
            <v xml:space="preserve"> PIPE</v>
          </cell>
          <cell r="C19" t="str">
            <v>SPPW</v>
          </cell>
          <cell r="D19" t="str">
            <v>백관, 20A</v>
          </cell>
          <cell r="E19" t="str">
            <v>m</v>
          </cell>
          <cell r="J19">
            <v>1339</v>
          </cell>
          <cell r="K19">
            <v>507</v>
          </cell>
          <cell r="L19">
            <v>1339</v>
          </cell>
        </row>
        <row r="20">
          <cell r="A20" t="str">
            <v>1-17</v>
          </cell>
          <cell r="B20" t="str">
            <v xml:space="preserve"> PIPE</v>
          </cell>
          <cell r="C20" t="str">
            <v>SPPW</v>
          </cell>
          <cell r="D20" t="str">
            <v>백관, 25A</v>
          </cell>
          <cell r="E20" t="str">
            <v>m</v>
          </cell>
          <cell r="J20">
            <v>1909</v>
          </cell>
          <cell r="K20">
            <v>507</v>
          </cell>
          <cell r="L20">
            <v>1909</v>
          </cell>
        </row>
        <row r="21">
          <cell r="A21" t="str">
            <v>1-18</v>
          </cell>
          <cell r="B21" t="str">
            <v xml:space="preserve"> PIPE</v>
          </cell>
          <cell r="C21" t="str">
            <v>SPPW</v>
          </cell>
          <cell r="D21" t="str">
            <v>백관, 32A</v>
          </cell>
          <cell r="E21" t="str">
            <v>m</v>
          </cell>
          <cell r="J21">
            <v>2308</v>
          </cell>
          <cell r="K21">
            <v>507</v>
          </cell>
          <cell r="L21">
            <v>2308</v>
          </cell>
        </row>
        <row r="22">
          <cell r="A22" t="str">
            <v>1-19</v>
          </cell>
          <cell r="B22" t="str">
            <v xml:space="preserve"> PIPE</v>
          </cell>
          <cell r="C22" t="str">
            <v>SPPW</v>
          </cell>
          <cell r="D22" t="str">
            <v>백관, 40A</v>
          </cell>
          <cell r="E22" t="str">
            <v>m</v>
          </cell>
          <cell r="J22">
            <v>2653</v>
          </cell>
          <cell r="K22">
            <v>507</v>
          </cell>
          <cell r="L22">
            <v>2653</v>
          </cell>
        </row>
        <row r="23">
          <cell r="A23" t="str">
            <v>1-20</v>
          </cell>
          <cell r="B23" t="str">
            <v xml:space="preserve"> PIPE</v>
          </cell>
          <cell r="C23" t="str">
            <v>SPPW</v>
          </cell>
          <cell r="D23" t="str">
            <v>백관, 50A</v>
          </cell>
          <cell r="E23" t="str">
            <v>m</v>
          </cell>
          <cell r="J23">
            <v>3641</v>
          </cell>
          <cell r="K23">
            <v>507</v>
          </cell>
          <cell r="L23">
            <v>3641</v>
          </cell>
        </row>
        <row r="24">
          <cell r="A24" t="str">
            <v>1-21</v>
          </cell>
          <cell r="B24" t="str">
            <v xml:space="preserve"> PIPE</v>
          </cell>
          <cell r="C24" t="str">
            <v>SPPW</v>
          </cell>
          <cell r="D24" t="str">
            <v>백관, 65A</v>
          </cell>
          <cell r="E24" t="str">
            <v>m</v>
          </cell>
          <cell r="J24">
            <v>4642</v>
          </cell>
          <cell r="K24">
            <v>507</v>
          </cell>
          <cell r="L24">
            <v>4642</v>
          </cell>
        </row>
        <row r="25">
          <cell r="A25" t="str">
            <v>1-22</v>
          </cell>
          <cell r="B25" t="str">
            <v xml:space="preserve"> PIPE</v>
          </cell>
          <cell r="C25" t="str">
            <v>SPPW</v>
          </cell>
          <cell r="D25" t="str">
            <v>백관, 80A</v>
          </cell>
          <cell r="E25" t="str">
            <v>m</v>
          </cell>
          <cell r="J25">
            <v>5874</v>
          </cell>
          <cell r="K25">
            <v>507</v>
          </cell>
          <cell r="L25">
            <v>5874</v>
          </cell>
        </row>
        <row r="26">
          <cell r="A26" t="str">
            <v>1-23</v>
          </cell>
          <cell r="B26" t="str">
            <v xml:space="preserve"> PIPE</v>
          </cell>
          <cell r="C26" t="str">
            <v>SPPW</v>
          </cell>
          <cell r="D26" t="str">
            <v>백관, 100A</v>
          </cell>
          <cell r="E26" t="str">
            <v>m</v>
          </cell>
          <cell r="J26">
            <v>8371</v>
          </cell>
          <cell r="K26">
            <v>507</v>
          </cell>
          <cell r="L26">
            <v>8371</v>
          </cell>
        </row>
        <row r="27">
          <cell r="A27" t="str">
            <v>1-24</v>
          </cell>
          <cell r="B27" t="str">
            <v xml:space="preserve"> PIPE</v>
          </cell>
          <cell r="C27" t="str">
            <v>SPPW</v>
          </cell>
          <cell r="D27" t="str">
            <v>백관, 125A</v>
          </cell>
          <cell r="E27" t="str">
            <v>m</v>
          </cell>
          <cell r="J27">
            <v>11351</v>
          </cell>
          <cell r="K27">
            <v>507</v>
          </cell>
          <cell r="L27">
            <v>11351</v>
          </cell>
        </row>
        <row r="28">
          <cell r="A28" t="str">
            <v>1-25</v>
          </cell>
          <cell r="B28" t="str">
            <v xml:space="preserve"> PIPE</v>
          </cell>
          <cell r="C28" t="str">
            <v>SPPW</v>
          </cell>
          <cell r="D28" t="str">
            <v>백관, 150A</v>
          </cell>
          <cell r="E28" t="str">
            <v>m</v>
          </cell>
          <cell r="J28">
            <v>13516</v>
          </cell>
          <cell r="K28">
            <v>507</v>
          </cell>
          <cell r="L28">
            <v>13516</v>
          </cell>
        </row>
        <row r="29">
          <cell r="A29" t="str">
            <v>1-26</v>
          </cell>
          <cell r="B29" t="str">
            <v xml:space="preserve"> PIPE</v>
          </cell>
          <cell r="C29" t="str">
            <v>SPPW</v>
          </cell>
          <cell r="D29" t="str">
            <v>백관, 200A</v>
          </cell>
          <cell r="E29" t="str">
            <v>m</v>
          </cell>
          <cell r="J29">
            <v>21979</v>
          </cell>
          <cell r="K29">
            <v>507</v>
          </cell>
          <cell r="L29">
            <v>21979</v>
          </cell>
        </row>
        <row r="30">
          <cell r="A30" t="str">
            <v>1-27</v>
          </cell>
          <cell r="B30" t="str">
            <v xml:space="preserve"> PIPE</v>
          </cell>
          <cell r="C30" t="str">
            <v>SPPW</v>
          </cell>
          <cell r="D30" t="str">
            <v>백관, 250A</v>
          </cell>
          <cell r="E30" t="str">
            <v>m</v>
          </cell>
          <cell r="J30">
            <v>30413</v>
          </cell>
          <cell r="K30">
            <v>507</v>
          </cell>
          <cell r="L30">
            <v>30413</v>
          </cell>
        </row>
        <row r="31">
          <cell r="A31" t="str">
            <v>1-28</v>
          </cell>
          <cell r="B31" t="str">
            <v xml:space="preserve"> PIPE</v>
          </cell>
          <cell r="C31" t="str">
            <v>SPPW</v>
          </cell>
          <cell r="D31" t="str">
            <v>백관, 300A</v>
          </cell>
          <cell r="E31" t="str">
            <v>m</v>
          </cell>
          <cell r="J31">
            <v>39806</v>
          </cell>
          <cell r="K31">
            <v>507</v>
          </cell>
          <cell r="L31">
            <v>39806</v>
          </cell>
        </row>
        <row r="32">
          <cell r="A32" t="str">
            <v>1-29</v>
          </cell>
          <cell r="B32" t="str">
            <v xml:space="preserve"> PIPE</v>
          </cell>
          <cell r="C32" t="str">
            <v>SPPS38, SCH40</v>
          </cell>
          <cell r="D32" t="str">
            <v>15A</v>
          </cell>
          <cell r="E32" t="str">
            <v>m</v>
          </cell>
          <cell r="J32">
            <v>824</v>
          </cell>
          <cell r="K32">
            <v>507</v>
          </cell>
          <cell r="L32">
            <v>824</v>
          </cell>
        </row>
        <row r="33">
          <cell r="A33" t="str">
            <v>1-30</v>
          </cell>
          <cell r="B33" t="str">
            <v xml:space="preserve"> PIPE</v>
          </cell>
          <cell r="C33" t="str">
            <v>SPPS38, SCH40</v>
          </cell>
          <cell r="D33" t="str">
            <v>20A</v>
          </cell>
          <cell r="E33" t="str">
            <v>m</v>
          </cell>
          <cell r="J33">
            <v>1064</v>
          </cell>
          <cell r="K33">
            <v>507</v>
          </cell>
          <cell r="L33">
            <v>1064</v>
          </cell>
        </row>
        <row r="34">
          <cell r="A34" t="str">
            <v>1-31</v>
          </cell>
          <cell r="B34" t="str">
            <v xml:space="preserve"> PIPE</v>
          </cell>
          <cell r="C34" t="str">
            <v>SPPS38, SCH40</v>
          </cell>
          <cell r="D34" t="str">
            <v>25A</v>
          </cell>
          <cell r="E34" t="str">
            <v>m</v>
          </cell>
          <cell r="J34">
            <v>1547</v>
          </cell>
          <cell r="K34">
            <v>507</v>
          </cell>
          <cell r="L34">
            <v>1547</v>
          </cell>
        </row>
        <row r="35">
          <cell r="A35" t="str">
            <v>1-32</v>
          </cell>
          <cell r="B35" t="str">
            <v xml:space="preserve"> PIPE</v>
          </cell>
          <cell r="C35" t="str">
            <v>SPPS38, SCH40</v>
          </cell>
          <cell r="D35" t="str">
            <v>32A</v>
          </cell>
          <cell r="E35" t="str">
            <v>m</v>
          </cell>
          <cell r="J35">
            <v>2045</v>
          </cell>
          <cell r="K35">
            <v>507</v>
          </cell>
          <cell r="L35">
            <v>2045</v>
          </cell>
        </row>
        <row r="36">
          <cell r="A36" t="str">
            <v>1-33</v>
          </cell>
          <cell r="B36" t="str">
            <v xml:space="preserve"> PIPE</v>
          </cell>
          <cell r="C36" t="str">
            <v>SPPS38, SCH40</v>
          </cell>
          <cell r="D36" t="str">
            <v>40A</v>
          </cell>
          <cell r="E36" t="str">
            <v>m</v>
          </cell>
          <cell r="J36">
            <v>2472</v>
          </cell>
          <cell r="K36">
            <v>507</v>
          </cell>
          <cell r="L36">
            <v>2472</v>
          </cell>
        </row>
        <row r="37">
          <cell r="A37" t="str">
            <v>1-34</v>
          </cell>
          <cell r="B37" t="str">
            <v xml:space="preserve"> PIPE</v>
          </cell>
          <cell r="C37" t="str">
            <v>SPPS38, SCH40</v>
          </cell>
          <cell r="D37" t="str">
            <v>50A</v>
          </cell>
          <cell r="E37" t="str">
            <v>m</v>
          </cell>
          <cell r="J37">
            <v>3286</v>
          </cell>
          <cell r="K37">
            <v>507</v>
          </cell>
          <cell r="L37">
            <v>3286</v>
          </cell>
        </row>
        <row r="38">
          <cell r="A38" t="str">
            <v>1-35</v>
          </cell>
          <cell r="B38" t="str">
            <v xml:space="preserve"> PIPE</v>
          </cell>
          <cell r="C38" t="str">
            <v>SPPS38, SCH40</v>
          </cell>
          <cell r="D38" t="str">
            <v>65A</v>
          </cell>
          <cell r="E38" t="str">
            <v>m</v>
          </cell>
          <cell r="J38">
            <v>5443</v>
          </cell>
          <cell r="K38">
            <v>507</v>
          </cell>
          <cell r="L38">
            <v>5443</v>
          </cell>
        </row>
        <row r="39">
          <cell r="A39" t="str">
            <v>1-36</v>
          </cell>
          <cell r="B39" t="str">
            <v xml:space="preserve"> PIPE</v>
          </cell>
          <cell r="C39" t="str">
            <v>SPPS38, SCH40</v>
          </cell>
          <cell r="D39" t="str">
            <v>80A</v>
          </cell>
          <cell r="E39" t="str">
            <v>m</v>
          </cell>
          <cell r="J39">
            <v>6783</v>
          </cell>
          <cell r="K39">
            <v>507</v>
          </cell>
          <cell r="L39">
            <v>6783</v>
          </cell>
        </row>
        <row r="40">
          <cell r="A40" t="str">
            <v>1-37</v>
          </cell>
          <cell r="B40" t="str">
            <v xml:space="preserve"> PIPE</v>
          </cell>
          <cell r="C40" t="str">
            <v>SPPS38, SCH40</v>
          </cell>
          <cell r="D40" t="str">
            <v>100A</v>
          </cell>
          <cell r="E40" t="str">
            <v>m</v>
          </cell>
          <cell r="J40">
            <v>9607</v>
          </cell>
          <cell r="K40">
            <v>507</v>
          </cell>
          <cell r="L40">
            <v>9607</v>
          </cell>
        </row>
        <row r="41">
          <cell r="A41" t="str">
            <v>1-38</v>
          </cell>
          <cell r="B41" t="str">
            <v xml:space="preserve"> PIPE</v>
          </cell>
          <cell r="C41" t="str">
            <v>SPPS38, SCH40</v>
          </cell>
          <cell r="D41" t="str">
            <v>125A</v>
          </cell>
          <cell r="E41" t="str">
            <v>m</v>
          </cell>
          <cell r="J41">
            <v>13158</v>
          </cell>
          <cell r="K41">
            <v>507</v>
          </cell>
          <cell r="L41">
            <v>13158</v>
          </cell>
        </row>
        <row r="42">
          <cell r="A42" t="str">
            <v>1-39</v>
          </cell>
          <cell r="B42" t="str">
            <v xml:space="preserve"> PIPE</v>
          </cell>
          <cell r="C42" t="str">
            <v>SPPS38, SCH40</v>
          </cell>
          <cell r="D42" t="str">
            <v>150A</v>
          </cell>
          <cell r="E42" t="str">
            <v>m</v>
          </cell>
          <cell r="J42">
            <v>16849</v>
          </cell>
          <cell r="K42">
            <v>507</v>
          </cell>
          <cell r="L42">
            <v>16849</v>
          </cell>
        </row>
        <row r="43">
          <cell r="A43" t="str">
            <v>1-40</v>
          </cell>
          <cell r="B43" t="str">
            <v xml:space="preserve"> PIPE</v>
          </cell>
          <cell r="C43" t="str">
            <v>SPPS38, SCH40</v>
          </cell>
          <cell r="D43" t="str">
            <v>200A</v>
          </cell>
          <cell r="E43" t="str">
            <v>m</v>
          </cell>
          <cell r="J43">
            <v>25905</v>
          </cell>
          <cell r="K43">
            <v>507</v>
          </cell>
          <cell r="L43">
            <v>25905</v>
          </cell>
        </row>
        <row r="44">
          <cell r="A44" t="str">
            <v>1-41</v>
          </cell>
          <cell r="B44" t="str">
            <v xml:space="preserve"> PIPE</v>
          </cell>
          <cell r="C44" t="str">
            <v>SPPS38, SCH40</v>
          </cell>
          <cell r="D44" t="str">
            <v>250A</v>
          </cell>
          <cell r="E44" t="str">
            <v>m</v>
          </cell>
          <cell r="J44">
            <v>36301</v>
          </cell>
          <cell r="K44">
            <v>507</v>
          </cell>
          <cell r="L44">
            <v>36301</v>
          </cell>
        </row>
        <row r="45">
          <cell r="A45" t="str">
            <v>1-42</v>
          </cell>
          <cell r="B45" t="str">
            <v xml:space="preserve"> PIPE</v>
          </cell>
          <cell r="C45" t="str">
            <v>SPPS38, SCH40</v>
          </cell>
          <cell r="D45" t="str">
            <v>300A</v>
          </cell>
          <cell r="E45" t="str">
            <v>m</v>
          </cell>
          <cell r="J45">
            <v>47755</v>
          </cell>
          <cell r="K45">
            <v>507</v>
          </cell>
          <cell r="L45">
            <v>47755</v>
          </cell>
        </row>
        <row r="46">
          <cell r="A46" t="str">
            <v>1-43</v>
          </cell>
          <cell r="B46" t="str">
            <v xml:space="preserve"> PIPE</v>
          </cell>
          <cell r="C46" t="str">
            <v>SPPS38, SCH40</v>
          </cell>
          <cell r="D46" t="str">
            <v>350A</v>
          </cell>
          <cell r="E46" t="str">
            <v>m</v>
          </cell>
          <cell r="J46">
            <v>57719</v>
          </cell>
          <cell r="K46">
            <v>507</v>
          </cell>
          <cell r="L46">
            <v>57719</v>
          </cell>
        </row>
        <row r="47">
          <cell r="A47" t="str">
            <v>1-44</v>
          </cell>
          <cell r="B47" t="str">
            <v xml:space="preserve"> PIPE</v>
          </cell>
          <cell r="C47" t="str">
            <v>SPPS38, SCH40</v>
          </cell>
          <cell r="D47" t="str">
            <v>400A</v>
          </cell>
          <cell r="E47" t="str">
            <v>m</v>
          </cell>
          <cell r="J47">
            <v>75889</v>
          </cell>
          <cell r="K47">
            <v>507</v>
          </cell>
          <cell r="L47">
            <v>75889</v>
          </cell>
        </row>
        <row r="48">
          <cell r="A48" t="str">
            <v>1-45</v>
          </cell>
          <cell r="B48" t="str">
            <v xml:space="preserve"> PIPE</v>
          </cell>
          <cell r="C48" t="str">
            <v>SPPS38, SCH40</v>
          </cell>
          <cell r="D48" t="str">
            <v>450A</v>
          </cell>
          <cell r="E48" t="str">
            <v>m</v>
          </cell>
          <cell r="J48">
            <v>96011</v>
          </cell>
          <cell r="K48">
            <v>507</v>
          </cell>
          <cell r="L48">
            <v>96011</v>
          </cell>
        </row>
        <row r="49">
          <cell r="A49" t="str">
            <v>1-46</v>
          </cell>
          <cell r="B49" t="str">
            <v xml:space="preserve"> PIPE</v>
          </cell>
          <cell r="C49" t="str">
            <v>SPPS38, SCH40</v>
          </cell>
          <cell r="D49" t="str">
            <v>500A</v>
          </cell>
          <cell r="E49" t="str">
            <v>m</v>
          </cell>
          <cell r="J49">
            <v>113076</v>
          </cell>
          <cell r="K49">
            <v>507</v>
          </cell>
          <cell r="L49">
            <v>113076</v>
          </cell>
        </row>
        <row r="50">
          <cell r="A50" t="str">
            <v>1-47</v>
          </cell>
          <cell r="B50" t="str">
            <v xml:space="preserve"> PIPE</v>
          </cell>
          <cell r="C50" t="str">
            <v>SPPS38, SCH80</v>
          </cell>
          <cell r="D50" t="str">
            <v>50A</v>
          </cell>
          <cell r="E50" t="str">
            <v>m</v>
          </cell>
          <cell r="J50">
            <v>4385</v>
          </cell>
          <cell r="K50">
            <v>507</v>
          </cell>
          <cell r="L50">
            <v>4385</v>
          </cell>
        </row>
        <row r="51">
          <cell r="A51" t="str">
            <v>1-48</v>
          </cell>
          <cell r="B51" t="str">
            <v xml:space="preserve"> PIPE</v>
          </cell>
          <cell r="C51" t="str">
            <v>SPPS38, SCH40</v>
          </cell>
          <cell r="D51" t="str">
            <v>백관, 15A</v>
          </cell>
          <cell r="E51" t="str">
            <v>m</v>
          </cell>
          <cell r="J51">
            <v>1191</v>
          </cell>
          <cell r="K51">
            <v>507</v>
          </cell>
          <cell r="L51">
            <v>1191</v>
          </cell>
        </row>
        <row r="52">
          <cell r="A52" t="str">
            <v>1-49</v>
          </cell>
          <cell r="B52" t="str">
            <v xml:space="preserve"> PIPE</v>
          </cell>
          <cell r="C52" t="str">
            <v>SPPS38, SCH40</v>
          </cell>
          <cell r="D52" t="str">
            <v>백관, 20A</v>
          </cell>
          <cell r="E52" t="str">
            <v>m</v>
          </cell>
          <cell r="J52">
            <v>1546</v>
          </cell>
          <cell r="K52">
            <v>507</v>
          </cell>
          <cell r="L52">
            <v>1546</v>
          </cell>
        </row>
        <row r="53">
          <cell r="A53" t="str">
            <v>1-50</v>
          </cell>
          <cell r="B53" t="str">
            <v xml:space="preserve"> PIPE</v>
          </cell>
          <cell r="C53" t="str">
            <v>SPPS38, SCH40</v>
          </cell>
          <cell r="D53" t="str">
            <v>백관, 25A</v>
          </cell>
          <cell r="E53" t="str">
            <v>m</v>
          </cell>
          <cell r="J53">
            <v>2143</v>
          </cell>
          <cell r="K53">
            <v>507</v>
          </cell>
          <cell r="L53">
            <v>2143</v>
          </cell>
        </row>
        <row r="54">
          <cell r="A54" t="str">
            <v>1-51</v>
          </cell>
          <cell r="B54" t="str">
            <v xml:space="preserve"> PIPE</v>
          </cell>
          <cell r="C54" t="str">
            <v>SPPS38, SCH40</v>
          </cell>
          <cell r="D54" t="str">
            <v>백관, 32A</v>
          </cell>
          <cell r="E54" t="str">
            <v>m</v>
          </cell>
          <cell r="J54">
            <v>2828</v>
          </cell>
          <cell r="K54">
            <v>507</v>
          </cell>
          <cell r="L54">
            <v>2828</v>
          </cell>
        </row>
        <row r="55">
          <cell r="A55" t="str">
            <v>1-52</v>
          </cell>
          <cell r="B55" t="str">
            <v xml:space="preserve"> PIPE</v>
          </cell>
          <cell r="C55" t="str">
            <v>SPPS38, SCH40</v>
          </cell>
          <cell r="D55" t="str">
            <v>백관, 40A</v>
          </cell>
          <cell r="E55" t="str">
            <v>m</v>
          </cell>
          <cell r="J55">
            <v>3417</v>
          </cell>
          <cell r="K55">
            <v>507</v>
          </cell>
          <cell r="L55">
            <v>3417</v>
          </cell>
        </row>
        <row r="56">
          <cell r="A56" t="str">
            <v>1-53</v>
          </cell>
          <cell r="B56" t="str">
            <v xml:space="preserve"> PIPE</v>
          </cell>
          <cell r="C56" t="str">
            <v>SPPS38, SCH40</v>
          </cell>
          <cell r="D56" t="str">
            <v>백관, 50A</v>
          </cell>
          <cell r="E56" t="str">
            <v>m</v>
          </cell>
          <cell r="J56">
            <v>4547</v>
          </cell>
          <cell r="K56">
            <v>507</v>
          </cell>
          <cell r="L56">
            <v>4547</v>
          </cell>
        </row>
        <row r="57">
          <cell r="A57" t="str">
            <v>1-54</v>
          </cell>
          <cell r="B57" t="str">
            <v xml:space="preserve"> PIPE</v>
          </cell>
          <cell r="C57" t="str">
            <v>SPPS38, SCH40</v>
          </cell>
          <cell r="D57" t="str">
            <v>백관, 65A</v>
          </cell>
          <cell r="E57" t="str">
            <v>m</v>
          </cell>
          <cell r="J57">
            <v>7531</v>
          </cell>
          <cell r="K57">
            <v>507</v>
          </cell>
          <cell r="L57">
            <v>7531</v>
          </cell>
        </row>
        <row r="58">
          <cell r="A58" t="str">
            <v>1-55</v>
          </cell>
          <cell r="B58" t="str">
            <v xml:space="preserve"> PIPE</v>
          </cell>
          <cell r="C58" t="str">
            <v>SPPS38, SCH40</v>
          </cell>
          <cell r="D58" t="str">
            <v>백관, 80A</v>
          </cell>
          <cell r="E58" t="str">
            <v>m</v>
          </cell>
          <cell r="J58">
            <v>9381</v>
          </cell>
          <cell r="K58">
            <v>507</v>
          </cell>
          <cell r="L58">
            <v>9381</v>
          </cell>
        </row>
        <row r="59">
          <cell r="A59" t="str">
            <v>1-56</v>
          </cell>
          <cell r="B59" t="str">
            <v xml:space="preserve"> PIPE</v>
          </cell>
          <cell r="C59" t="str">
            <v>SPPS38, SCH40</v>
          </cell>
          <cell r="D59" t="str">
            <v>백관, 100A</v>
          </cell>
          <cell r="E59" t="str">
            <v>m</v>
          </cell>
          <cell r="J59">
            <v>13294</v>
          </cell>
          <cell r="K59">
            <v>507</v>
          </cell>
          <cell r="L59">
            <v>13294</v>
          </cell>
        </row>
        <row r="60">
          <cell r="A60" t="str">
            <v>1-57</v>
          </cell>
          <cell r="B60" t="str">
            <v xml:space="preserve"> PIPE</v>
          </cell>
          <cell r="C60" t="str">
            <v>SPPS38, SCH40</v>
          </cell>
          <cell r="D60" t="str">
            <v>백관, 125A</v>
          </cell>
          <cell r="E60" t="str">
            <v>m</v>
          </cell>
          <cell r="J60">
            <v>18207</v>
          </cell>
          <cell r="K60">
            <v>507</v>
          </cell>
          <cell r="L60">
            <v>18207</v>
          </cell>
        </row>
        <row r="61">
          <cell r="A61" t="str">
            <v>1-58</v>
          </cell>
          <cell r="B61" t="str">
            <v xml:space="preserve"> PIPE</v>
          </cell>
          <cell r="C61" t="str">
            <v>SPPS38, SCH40</v>
          </cell>
          <cell r="D61" t="str">
            <v>백관, 150A</v>
          </cell>
          <cell r="E61" t="str">
            <v>m</v>
          </cell>
          <cell r="J61">
            <v>23311</v>
          </cell>
          <cell r="K61">
            <v>507</v>
          </cell>
          <cell r="L61">
            <v>23311</v>
          </cell>
        </row>
        <row r="62">
          <cell r="A62" t="str">
            <v>1-59</v>
          </cell>
          <cell r="B62" t="str">
            <v xml:space="preserve"> PIPE</v>
          </cell>
          <cell r="C62" t="str">
            <v>SPPS38, SCH40</v>
          </cell>
          <cell r="D62" t="str">
            <v>백관, 200A</v>
          </cell>
          <cell r="E62" t="str">
            <v>m</v>
          </cell>
          <cell r="J62">
            <v>35676</v>
          </cell>
          <cell r="K62">
            <v>507</v>
          </cell>
          <cell r="L62">
            <v>35676</v>
          </cell>
        </row>
        <row r="63">
          <cell r="A63" t="str">
            <v>1-60</v>
          </cell>
          <cell r="B63" t="str">
            <v xml:space="preserve"> PIPE</v>
          </cell>
          <cell r="C63" t="str">
            <v>SPPS38, SCH40</v>
          </cell>
          <cell r="D63" t="str">
            <v>백관, 250A</v>
          </cell>
          <cell r="E63" t="str">
            <v>m</v>
          </cell>
          <cell r="J63">
            <v>49994</v>
          </cell>
          <cell r="K63">
            <v>507</v>
          </cell>
          <cell r="L63">
            <v>49994</v>
          </cell>
        </row>
        <row r="64">
          <cell r="A64" t="str">
            <v>1-61</v>
          </cell>
          <cell r="B64" t="str">
            <v xml:space="preserve"> PIPE</v>
          </cell>
          <cell r="C64" t="str">
            <v>SPPS38, SCH40</v>
          </cell>
          <cell r="D64" t="str">
            <v>백관, 300A</v>
          </cell>
          <cell r="E64" t="str">
            <v>m</v>
          </cell>
          <cell r="J64">
            <v>65760</v>
          </cell>
          <cell r="K64">
            <v>507</v>
          </cell>
          <cell r="L64">
            <v>65760</v>
          </cell>
        </row>
        <row r="65">
          <cell r="A65" t="str">
            <v>1-62</v>
          </cell>
          <cell r="B65" t="str">
            <v xml:space="preserve"> PIPE</v>
          </cell>
          <cell r="C65" t="str">
            <v>SPPS38, SCH40</v>
          </cell>
          <cell r="D65" t="str">
            <v>백관, 350A</v>
          </cell>
          <cell r="E65" t="str">
            <v>m</v>
          </cell>
          <cell r="J65">
            <v>79487</v>
          </cell>
          <cell r="K65">
            <v>507</v>
          </cell>
          <cell r="L65">
            <v>79487</v>
          </cell>
        </row>
        <row r="66">
          <cell r="A66" t="str">
            <v>1-63</v>
          </cell>
          <cell r="B66" t="str">
            <v xml:space="preserve"> PIPE</v>
          </cell>
          <cell r="C66" t="str">
            <v>SPPS38, SCH40</v>
          </cell>
          <cell r="D66" t="str">
            <v>백관, 400A</v>
          </cell>
          <cell r="E66" t="str">
            <v>m</v>
          </cell>
          <cell r="J66">
            <v>104514</v>
          </cell>
          <cell r="K66">
            <v>507</v>
          </cell>
          <cell r="L66">
            <v>104514</v>
          </cell>
        </row>
        <row r="67">
          <cell r="A67" t="str">
            <v>1-64</v>
          </cell>
          <cell r="B67" t="str">
            <v xml:space="preserve"> PIPE</v>
          </cell>
          <cell r="C67" t="str">
            <v>SPPS38, SCH40</v>
          </cell>
          <cell r="D67" t="str">
            <v>백관, 450A</v>
          </cell>
          <cell r="E67" t="str">
            <v>m</v>
          </cell>
          <cell r="J67">
            <v>132173</v>
          </cell>
          <cell r="K67">
            <v>507</v>
          </cell>
          <cell r="L67">
            <v>132173</v>
          </cell>
        </row>
        <row r="68">
          <cell r="A68" t="str">
            <v>1-65</v>
          </cell>
          <cell r="B68" t="str">
            <v xml:space="preserve"> PIPE</v>
          </cell>
          <cell r="C68" t="str">
            <v>SPPS38, SCH40</v>
          </cell>
          <cell r="D68" t="str">
            <v>백관, 500A</v>
          </cell>
          <cell r="E68" t="str">
            <v>m</v>
          </cell>
          <cell r="J68">
            <v>155668</v>
          </cell>
          <cell r="K68">
            <v>507</v>
          </cell>
          <cell r="L68">
            <v>155668</v>
          </cell>
        </row>
        <row r="69">
          <cell r="A69" t="str">
            <v>1-66</v>
          </cell>
          <cell r="B69" t="str">
            <v xml:space="preserve"> PIPE</v>
          </cell>
          <cell r="C69" t="str">
            <v>ASTM, SCH40</v>
          </cell>
          <cell r="D69" t="str">
            <v>25A</v>
          </cell>
          <cell r="E69" t="str">
            <v>m</v>
          </cell>
          <cell r="J69">
            <v>2100</v>
          </cell>
          <cell r="K69">
            <v>508</v>
          </cell>
          <cell r="L69">
            <v>2100</v>
          </cell>
        </row>
        <row r="70">
          <cell r="A70" t="str">
            <v>1-67</v>
          </cell>
          <cell r="B70" t="str">
            <v xml:space="preserve"> PIPE</v>
          </cell>
          <cell r="C70" t="str">
            <v>ASTM, SCH40</v>
          </cell>
          <cell r="D70" t="str">
            <v>32A</v>
          </cell>
          <cell r="E70" t="str">
            <v>m</v>
          </cell>
          <cell r="J70">
            <v>2785</v>
          </cell>
          <cell r="K70">
            <v>508</v>
          </cell>
          <cell r="L70">
            <v>2785</v>
          </cell>
        </row>
        <row r="71">
          <cell r="A71" t="str">
            <v>1-68</v>
          </cell>
          <cell r="B71" t="str">
            <v xml:space="preserve"> PIPE</v>
          </cell>
          <cell r="C71" t="str">
            <v>STS304, 2.5t</v>
          </cell>
          <cell r="D71" t="str">
            <v>10A</v>
          </cell>
          <cell r="E71" t="str">
            <v>m</v>
          </cell>
          <cell r="J71">
            <v>3673</v>
          </cell>
          <cell r="K71">
            <v>527</v>
          </cell>
          <cell r="L71">
            <v>3673</v>
          </cell>
        </row>
        <row r="72">
          <cell r="A72" t="str">
            <v>1-69</v>
          </cell>
          <cell r="B72" t="str">
            <v xml:space="preserve"> PIPE</v>
          </cell>
          <cell r="C72" t="str">
            <v>STS304, 2.5t</v>
          </cell>
          <cell r="D72" t="str">
            <v>15A</v>
          </cell>
          <cell r="E72" t="str">
            <v>m</v>
          </cell>
          <cell r="J72">
            <v>4903</v>
          </cell>
          <cell r="K72">
            <v>527</v>
          </cell>
          <cell r="L72">
            <v>4903</v>
          </cell>
        </row>
        <row r="73">
          <cell r="A73" t="str">
            <v>1-70</v>
          </cell>
          <cell r="B73" t="str">
            <v xml:space="preserve"> PIPE</v>
          </cell>
          <cell r="C73" t="str">
            <v>STS304, 2.5t</v>
          </cell>
          <cell r="D73" t="str">
            <v>20A</v>
          </cell>
          <cell r="E73" t="str">
            <v>m</v>
          </cell>
          <cell r="J73">
            <v>6021</v>
          </cell>
          <cell r="K73">
            <v>527</v>
          </cell>
          <cell r="L73">
            <v>6021</v>
          </cell>
        </row>
        <row r="74">
          <cell r="A74" t="str">
            <v>1-71</v>
          </cell>
          <cell r="B74" t="str">
            <v xml:space="preserve"> PIPE</v>
          </cell>
          <cell r="C74" t="str">
            <v>STS304, 2.5t</v>
          </cell>
          <cell r="D74" t="str">
            <v>25A</v>
          </cell>
          <cell r="E74" t="str">
            <v>m</v>
          </cell>
          <cell r="J74">
            <v>7011</v>
          </cell>
          <cell r="K74">
            <v>527</v>
          </cell>
          <cell r="L74">
            <v>7011</v>
          </cell>
        </row>
        <row r="75">
          <cell r="A75" t="str">
            <v>1-72</v>
          </cell>
          <cell r="B75" t="str">
            <v xml:space="preserve"> PIPE</v>
          </cell>
          <cell r="C75" t="str">
            <v>STS304, 2.5t</v>
          </cell>
          <cell r="D75" t="str">
            <v>32A</v>
          </cell>
          <cell r="E75" t="str">
            <v>m</v>
          </cell>
          <cell r="J75">
            <v>7917</v>
          </cell>
          <cell r="K75">
            <v>527</v>
          </cell>
          <cell r="L75">
            <v>7917</v>
          </cell>
        </row>
        <row r="76">
          <cell r="A76" t="str">
            <v>1-73</v>
          </cell>
          <cell r="B76" t="str">
            <v xml:space="preserve"> PIPE</v>
          </cell>
          <cell r="C76" t="str">
            <v>STS304, 2.5t</v>
          </cell>
          <cell r="D76" t="str">
            <v>40A</v>
          </cell>
          <cell r="E76" t="str">
            <v>m</v>
          </cell>
          <cell r="J76">
            <v>10143</v>
          </cell>
          <cell r="K76">
            <v>527</v>
          </cell>
          <cell r="L76">
            <v>10143</v>
          </cell>
        </row>
        <row r="77">
          <cell r="A77" t="str">
            <v>1-74</v>
          </cell>
          <cell r="B77" t="str">
            <v xml:space="preserve"> PIPE</v>
          </cell>
          <cell r="C77" t="str">
            <v>STS304, 2.5t</v>
          </cell>
          <cell r="D77" t="str">
            <v>50A</v>
          </cell>
          <cell r="E77" t="str">
            <v>m</v>
          </cell>
          <cell r="J77">
            <v>11422</v>
          </cell>
          <cell r="K77">
            <v>527</v>
          </cell>
          <cell r="L77">
            <v>11422</v>
          </cell>
        </row>
        <row r="78">
          <cell r="A78" t="str">
            <v>1-75</v>
          </cell>
          <cell r="B78" t="str">
            <v xml:space="preserve"> PIPE</v>
          </cell>
          <cell r="C78" t="str">
            <v>STS304, 2.5t</v>
          </cell>
          <cell r="D78" t="str">
            <v>65A</v>
          </cell>
          <cell r="E78" t="str">
            <v>m</v>
          </cell>
          <cell r="J78">
            <v>14534</v>
          </cell>
          <cell r="K78">
            <v>527</v>
          </cell>
          <cell r="L78">
            <v>14534</v>
          </cell>
        </row>
        <row r="79">
          <cell r="A79" t="str">
            <v>1-76</v>
          </cell>
          <cell r="B79" t="str">
            <v xml:space="preserve"> PIPE</v>
          </cell>
          <cell r="C79" t="str">
            <v>STS304, 2.5t</v>
          </cell>
          <cell r="D79" t="str">
            <v>80A</v>
          </cell>
          <cell r="E79" t="str">
            <v>m</v>
          </cell>
          <cell r="J79">
            <v>17056</v>
          </cell>
          <cell r="K79">
            <v>527</v>
          </cell>
          <cell r="L79">
            <v>17056</v>
          </cell>
        </row>
        <row r="80">
          <cell r="A80" t="str">
            <v>1-77</v>
          </cell>
          <cell r="B80" t="str">
            <v xml:space="preserve"> PIPE</v>
          </cell>
          <cell r="C80" t="str">
            <v>STS304, 2.5t</v>
          </cell>
          <cell r="D80" t="str">
            <v>90A</v>
          </cell>
          <cell r="E80" t="str">
            <v>m</v>
          </cell>
          <cell r="J80">
            <v>19517</v>
          </cell>
          <cell r="K80">
            <v>527</v>
          </cell>
          <cell r="L80">
            <v>19517</v>
          </cell>
        </row>
        <row r="81">
          <cell r="A81" t="str">
            <v>1-78</v>
          </cell>
          <cell r="B81" t="str">
            <v xml:space="preserve"> PIPE</v>
          </cell>
          <cell r="C81" t="str">
            <v>STS304, 2.5t</v>
          </cell>
          <cell r="D81" t="str">
            <v>100A</v>
          </cell>
          <cell r="E81" t="str">
            <v>m</v>
          </cell>
          <cell r="J81">
            <v>22019</v>
          </cell>
          <cell r="K81">
            <v>527</v>
          </cell>
          <cell r="L81">
            <v>22019</v>
          </cell>
        </row>
        <row r="82">
          <cell r="A82" t="str">
            <v>1-79</v>
          </cell>
          <cell r="B82" t="str">
            <v xml:space="preserve"> PIPE</v>
          </cell>
          <cell r="C82" t="str">
            <v>STS304, 2.5t</v>
          </cell>
          <cell r="D82" t="str">
            <v>200A</v>
          </cell>
          <cell r="E82" t="str">
            <v>m</v>
          </cell>
          <cell r="J82">
            <v>43937</v>
          </cell>
          <cell r="K82">
            <v>527</v>
          </cell>
          <cell r="L82">
            <v>43937</v>
          </cell>
        </row>
        <row r="83">
          <cell r="A83" t="str">
            <v>1-80</v>
          </cell>
          <cell r="B83" t="str">
            <v xml:space="preserve"> PIPE</v>
          </cell>
          <cell r="C83" t="str">
            <v>STS304, 2.5t</v>
          </cell>
          <cell r="D83" t="str">
            <v>350A</v>
          </cell>
          <cell r="E83" t="str">
            <v>m</v>
          </cell>
          <cell r="J83">
            <v>72565</v>
          </cell>
          <cell r="K83">
            <v>527</v>
          </cell>
          <cell r="L83">
            <v>72565</v>
          </cell>
        </row>
        <row r="85">
          <cell r="A85" t="str">
            <v>2.</v>
          </cell>
          <cell r="B85" t="str">
            <v>FITTING(ELBOW)</v>
          </cell>
        </row>
        <row r="86">
          <cell r="A86" t="str">
            <v>2-1</v>
          </cell>
          <cell r="B86" t="str">
            <v>90˚앨보</v>
          </cell>
          <cell r="C86" t="str">
            <v>SPP</v>
          </cell>
          <cell r="D86" t="str">
            <v>15A</v>
          </cell>
          <cell r="E86" t="str">
            <v>개</v>
          </cell>
          <cell r="J86">
            <v>360</v>
          </cell>
          <cell r="K86">
            <v>513</v>
          </cell>
          <cell r="L86">
            <v>360</v>
          </cell>
        </row>
        <row r="87">
          <cell r="A87" t="str">
            <v>2-2</v>
          </cell>
          <cell r="B87" t="str">
            <v>90˚앨보</v>
          </cell>
          <cell r="C87" t="str">
            <v>SPP</v>
          </cell>
          <cell r="D87" t="str">
            <v>20A</v>
          </cell>
          <cell r="E87" t="str">
            <v>개</v>
          </cell>
          <cell r="J87">
            <v>408</v>
          </cell>
          <cell r="K87">
            <v>513</v>
          </cell>
          <cell r="L87">
            <v>408</v>
          </cell>
        </row>
        <row r="88">
          <cell r="A88" t="str">
            <v>2-3</v>
          </cell>
          <cell r="B88" t="str">
            <v>90˚앨보</v>
          </cell>
          <cell r="C88" t="str">
            <v>SPP</v>
          </cell>
          <cell r="D88" t="str">
            <v>25A</v>
          </cell>
          <cell r="E88" t="str">
            <v>개</v>
          </cell>
          <cell r="J88">
            <v>920</v>
          </cell>
          <cell r="K88">
            <v>513</v>
          </cell>
          <cell r="L88">
            <v>920</v>
          </cell>
        </row>
        <row r="89">
          <cell r="A89" t="str">
            <v>2-4</v>
          </cell>
          <cell r="B89" t="str">
            <v>90˚앨보</v>
          </cell>
          <cell r="C89" t="str">
            <v>SPP</v>
          </cell>
          <cell r="D89" t="str">
            <v>32A</v>
          </cell>
          <cell r="E89" t="str">
            <v>개</v>
          </cell>
          <cell r="J89">
            <v>960</v>
          </cell>
          <cell r="K89">
            <v>513</v>
          </cell>
          <cell r="L89">
            <v>960</v>
          </cell>
        </row>
        <row r="90">
          <cell r="A90" t="str">
            <v>2-5</v>
          </cell>
          <cell r="B90" t="str">
            <v>90˚앨보</v>
          </cell>
          <cell r="C90" t="str">
            <v>SPP</v>
          </cell>
          <cell r="D90" t="str">
            <v>40A</v>
          </cell>
          <cell r="E90" t="str">
            <v>개</v>
          </cell>
          <cell r="J90">
            <v>1120</v>
          </cell>
          <cell r="K90">
            <v>513</v>
          </cell>
          <cell r="L90">
            <v>1120</v>
          </cell>
        </row>
        <row r="91">
          <cell r="A91" t="str">
            <v>2-6</v>
          </cell>
          <cell r="B91" t="str">
            <v>90˚앨보</v>
          </cell>
          <cell r="C91" t="str">
            <v>SPP</v>
          </cell>
          <cell r="D91" t="str">
            <v>50A</v>
          </cell>
          <cell r="E91" t="str">
            <v>개</v>
          </cell>
          <cell r="J91">
            <v>1296</v>
          </cell>
          <cell r="K91">
            <v>513</v>
          </cell>
          <cell r="L91">
            <v>1296</v>
          </cell>
        </row>
        <row r="92">
          <cell r="A92" t="str">
            <v>2-7</v>
          </cell>
          <cell r="B92" t="str">
            <v>90˚앨보</v>
          </cell>
          <cell r="C92" t="str">
            <v>SPP</v>
          </cell>
          <cell r="D92" t="str">
            <v>65A</v>
          </cell>
          <cell r="E92" t="str">
            <v>개</v>
          </cell>
          <cell r="J92">
            <v>1920</v>
          </cell>
          <cell r="K92">
            <v>513</v>
          </cell>
          <cell r="L92">
            <v>1920</v>
          </cell>
        </row>
        <row r="93">
          <cell r="A93" t="str">
            <v>2-8</v>
          </cell>
          <cell r="B93" t="str">
            <v>90˚앨보</v>
          </cell>
          <cell r="C93" t="str">
            <v>SPP</v>
          </cell>
          <cell r="D93" t="str">
            <v>80A</v>
          </cell>
          <cell r="E93" t="str">
            <v>개</v>
          </cell>
          <cell r="J93">
            <v>2560</v>
          </cell>
          <cell r="K93">
            <v>513</v>
          </cell>
          <cell r="L93">
            <v>2560</v>
          </cell>
        </row>
        <row r="94">
          <cell r="A94" t="str">
            <v>2-9</v>
          </cell>
          <cell r="B94" t="str">
            <v>90˚앨보</v>
          </cell>
          <cell r="C94" t="str">
            <v>SPP</v>
          </cell>
          <cell r="D94" t="str">
            <v>100A</v>
          </cell>
          <cell r="E94" t="str">
            <v>개</v>
          </cell>
          <cell r="J94">
            <v>4160</v>
          </cell>
          <cell r="K94">
            <v>513</v>
          </cell>
          <cell r="L94">
            <v>4160</v>
          </cell>
        </row>
        <row r="95">
          <cell r="A95" t="str">
            <v>2-10</v>
          </cell>
          <cell r="B95" t="str">
            <v>90˚앨보</v>
          </cell>
          <cell r="C95" t="str">
            <v>SPP</v>
          </cell>
          <cell r="D95" t="str">
            <v>125A</v>
          </cell>
          <cell r="E95" t="str">
            <v>개</v>
          </cell>
          <cell r="J95">
            <v>6320</v>
          </cell>
          <cell r="K95">
            <v>513</v>
          </cell>
          <cell r="L95">
            <v>6320</v>
          </cell>
        </row>
        <row r="96">
          <cell r="A96" t="str">
            <v>2-11</v>
          </cell>
          <cell r="B96" t="str">
            <v>90˚앨보</v>
          </cell>
          <cell r="C96" t="str">
            <v>SPP</v>
          </cell>
          <cell r="D96" t="str">
            <v>150A</v>
          </cell>
          <cell r="E96" t="str">
            <v>개</v>
          </cell>
          <cell r="J96">
            <v>9040</v>
          </cell>
          <cell r="K96">
            <v>513</v>
          </cell>
          <cell r="L96">
            <v>9040</v>
          </cell>
        </row>
        <row r="97">
          <cell r="A97" t="str">
            <v>2-12</v>
          </cell>
          <cell r="B97" t="str">
            <v>90˚앨보</v>
          </cell>
          <cell r="C97" t="str">
            <v>SPP</v>
          </cell>
          <cell r="D97" t="str">
            <v>200A</v>
          </cell>
          <cell r="E97" t="str">
            <v>개</v>
          </cell>
          <cell r="J97">
            <v>18080</v>
          </cell>
          <cell r="K97">
            <v>513</v>
          </cell>
          <cell r="L97">
            <v>18080</v>
          </cell>
        </row>
        <row r="98">
          <cell r="A98" t="str">
            <v>2-13</v>
          </cell>
          <cell r="B98" t="str">
            <v>90˚앨보</v>
          </cell>
          <cell r="C98" t="str">
            <v>SPPW</v>
          </cell>
          <cell r="D98" t="str">
            <v>백관,15A</v>
          </cell>
          <cell r="E98" t="str">
            <v>개</v>
          </cell>
          <cell r="J98">
            <v>408</v>
          </cell>
          <cell r="K98">
            <v>513</v>
          </cell>
          <cell r="L98">
            <v>408</v>
          </cell>
        </row>
        <row r="99">
          <cell r="A99" t="str">
            <v>2-14</v>
          </cell>
          <cell r="B99" t="str">
            <v>90˚앨보</v>
          </cell>
          <cell r="C99" t="str">
            <v>SPPW</v>
          </cell>
          <cell r="D99" t="str">
            <v>백관, 20A</v>
          </cell>
          <cell r="E99" t="str">
            <v>개</v>
          </cell>
          <cell r="J99">
            <v>480</v>
          </cell>
          <cell r="K99">
            <v>513</v>
          </cell>
          <cell r="L99">
            <v>480</v>
          </cell>
        </row>
        <row r="100">
          <cell r="A100" t="str">
            <v>2-15</v>
          </cell>
          <cell r="B100" t="str">
            <v>90˚앨보</v>
          </cell>
          <cell r="C100" t="str">
            <v>SPPW</v>
          </cell>
          <cell r="D100" t="str">
            <v>백관, 25A</v>
          </cell>
          <cell r="E100" t="str">
            <v>개</v>
          </cell>
          <cell r="J100">
            <v>1000</v>
          </cell>
          <cell r="K100">
            <v>513</v>
          </cell>
          <cell r="L100">
            <v>1000</v>
          </cell>
        </row>
        <row r="101">
          <cell r="A101" t="str">
            <v>2-16</v>
          </cell>
          <cell r="B101" t="str">
            <v>90˚앨보</v>
          </cell>
          <cell r="C101" t="str">
            <v>SPPW</v>
          </cell>
          <cell r="D101" t="str">
            <v>백관, 32A</v>
          </cell>
          <cell r="E101" t="str">
            <v>개</v>
          </cell>
          <cell r="J101">
            <v>1040</v>
          </cell>
          <cell r="K101">
            <v>513</v>
          </cell>
          <cell r="L101">
            <v>1040</v>
          </cell>
        </row>
        <row r="102">
          <cell r="A102" t="str">
            <v>2-17</v>
          </cell>
          <cell r="B102" t="str">
            <v>90˚앨보</v>
          </cell>
          <cell r="C102" t="str">
            <v>SPPW</v>
          </cell>
          <cell r="D102" t="str">
            <v>백관, 40A</v>
          </cell>
          <cell r="E102" t="str">
            <v>개</v>
          </cell>
          <cell r="J102">
            <v>1200</v>
          </cell>
          <cell r="K102">
            <v>513</v>
          </cell>
          <cell r="L102">
            <v>1200</v>
          </cell>
        </row>
        <row r="103">
          <cell r="A103" t="str">
            <v>2-18</v>
          </cell>
          <cell r="B103" t="str">
            <v>90˚앨보</v>
          </cell>
          <cell r="C103" t="str">
            <v>SPPW</v>
          </cell>
          <cell r="D103" t="str">
            <v>백관, 50A</v>
          </cell>
          <cell r="E103" t="str">
            <v>개</v>
          </cell>
          <cell r="J103">
            <v>1472</v>
          </cell>
          <cell r="K103">
            <v>513</v>
          </cell>
          <cell r="L103">
            <v>1472</v>
          </cell>
        </row>
        <row r="104">
          <cell r="A104" t="str">
            <v>2-19</v>
          </cell>
          <cell r="B104" t="str">
            <v>90˚앨보</v>
          </cell>
          <cell r="C104" t="str">
            <v>SPPW</v>
          </cell>
          <cell r="D104" t="str">
            <v>백관, 65A</v>
          </cell>
          <cell r="E104" t="str">
            <v>개</v>
          </cell>
          <cell r="J104">
            <v>2240</v>
          </cell>
          <cell r="K104">
            <v>513</v>
          </cell>
          <cell r="L104">
            <v>2240</v>
          </cell>
        </row>
        <row r="105">
          <cell r="A105" t="str">
            <v>2-20</v>
          </cell>
          <cell r="B105" t="str">
            <v>90˚앨보</v>
          </cell>
          <cell r="C105" t="str">
            <v>SPPW</v>
          </cell>
          <cell r="D105" t="str">
            <v>백관, 80A</v>
          </cell>
          <cell r="E105" t="str">
            <v>개</v>
          </cell>
          <cell r="J105">
            <v>2960</v>
          </cell>
          <cell r="K105">
            <v>513</v>
          </cell>
          <cell r="L105">
            <v>2960</v>
          </cell>
        </row>
        <row r="106">
          <cell r="A106" t="str">
            <v>2-21</v>
          </cell>
          <cell r="B106" t="str">
            <v>90˚앨보</v>
          </cell>
          <cell r="C106" t="str">
            <v>SPPW</v>
          </cell>
          <cell r="D106" t="str">
            <v>백관, 100A</v>
          </cell>
          <cell r="E106" t="str">
            <v>개</v>
          </cell>
          <cell r="J106">
            <v>4960</v>
          </cell>
          <cell r="K106">
            <v>513</v>
          </cell>
          <cell r="L106">
            <v>4960</v>
          </cell>
        </row>
        <row r="107">
          <cell r="A107" t="str">
            <v>2-22</v>
          </cell>
          <cell r="B107" t="str">
            <v>90˚앨보</v>
          </cell>
          <cell r="C107" t="str">
            <v>SPPW</v>
          </cell>
          <cell r="D107" t="str">
            <v>백관, 125A</v>
          </cell>
          <cell r="E107" t="str">
            <v>개</v>
          </cell>
          <cell r="J107">
            <v>7520</v>
          </cell>
          <cell r="K107">
            <v>513</v>
          </cell>
          <cell r="L107">
            <v>7520</v>
          </cell>
        </row>
        <row r="108">
          <cell r="A108" t="str">
            <v>2-23</v>
          </cell>
          <cell r="B108" t="str">
            <v>90˚앨보</v>
          </cell>
          <cell r="C108" t="str">
            <v>SPPW</v>
          </cell>
          <cell r="D108" t="str">
            <v>백관, 150A</v>
          </cell>
          <cell r="E108" t="str">
            <v>개</v>
          </cell>
          <cell r="J108">
            <v>10960</v>
          </cell>
          <cell r="K108">
            <v>513</v>
          </cell>
          <cell r="L108">
            <v>10960</v>
          </cell>
        </row>
        <row r="109">
          <cell r="A109" t="str">
            <v>2-24</v>
          </cell>
          <cell r="B109" t="str">
            <v>90˚앨보</v>
          </cell>
          <cell r="C109" t="str">
            <v>SPPW</v>
          </cell>
          <cell r="D109" t="str">
            <v>백관, 200A</v>
          </cell>
          <cell r="E109" t="str">
            <v>개</v>
          </cell>
          <cell r="J109">
            <v>21920</v>
          </cell>
          <cell r="K109">
            <v>513</v>
          </cell>
          <cell r="L109">
            <v>21920</v>
          </cell>
        </row>
        <row r="110">
          <cell r="A110" t="str">
            <v>2-25</v>
          </cell>
          <cell r="B110" t="str">
            <v>90˚앨보</v>
          </cell>
          <cell r="C110" t="str">
            <v>SPP38, SCH40</v>
          </cell>
          <cell r="D110" t="str">
            <v>15A</v>
          </cell>
          <cell r="E110" t="str">
            <v>개</v>
          </cell>
          <cell r="J110">
            <v>384</v>
          </cell>
          <cell r="K110">
            <v>513</v>
          </cell>
          <cell r="L110">
            <v>384</v>
          </cell>
        </row>
        <row r="111">
          <cell r="A111" t="str">
            <v>2-26</v>
          </cell>
          <cell r="B111" t="str">
            <v>90˚앨보</v>
          </cell>
          <cell r="C111" t="str">
            <v>SPP38, SCH40</v>
          </cell>
          <cell r="D111" t="str">
            <v>20A</v>
          </cell>
          <cell r="E111" t="str">
            <v>개</v>
          </cell>
          <cell r="J111">
            <v>432</v>
          </cell>
          <cell r="K111">
            <v>513</v>
          </cell>
          <cell r="L111">
            <v>432</v>
          </cell>
        </row>
        <row r="112">
          <cell r="A112" t="str">
            <v>2-27</v>
          </cell>
          <cell r="B112" t="str">
            <v>90˚앨보</v>
          </cell>
          <cell r="C112" t="str">
            <v>SPP38, SCH40</v>
          </cell>
          <cell r="D112" t="str">
            <v>25A</v>
          </cell>
          <cell r="E112" t="str">
            <v>개</v>
          </cell>
          <cell r="J112">
            <v>960</v>
          </cell>
          <cell r="K112">
            <v>513</v>
          </cell>
          <cell r="L112">
            <v>960</v>
          </cell>
        </row>
        <row r="113">
          <cell r="A113" t="str">
            <v>2-28</v>
          </cell>
          <cell r="B113" t="str">
            <v>90˚앨보</v>
          </cell>
          <cell r="C113" t="str">
            <v>SPP38, SCH40</v>
          </cell>
          <cell r="D113" t="str">
            <v>32A</v>
          </cell>
          <cell r="E113" t="str">
            <v>개</v>
          </cell>
          <cell r="J113">
            <v>1104</v>
          </cell>
          <cell r="K113">
            <v>513</v>
          </cell>
          <cell r="L113">
            <v>1104</v>
          </cell>
        </row>
        <row r="114">
          <cell r="A114" t="str">
            <v>2-29</v>
          </cell>
          <cell r="B114" t="str">
            <v>90˚앨보</v>
          </cell>
          <cell r="C114" t="str">
            <v>SPP38, SCH40</v>
          </cell>
          <cell r="D114" t="str">
            <v>40A</v>
          </cell>
          <cell r="E114" t="str">
            <v>개</v>
          </cell>
          <cell r="J114">
            <v>1232</v>
          </cell>
          <cell r="K114">
            <v>513</v>
          </cell>
          <cell r="L114">
            <v>1232</v>
          </cell>
        </row>
        <row r="115">
          <cell r="A115" t="str">
            <v>2-30</v>
          </cell>
          <cell r="B115" t="str">
            <v>90˚앨보</v>
          </cell>
          <cell r="C115" t="str">
            <v>SPP38, SCH40</v>
          </cell>
          <cell r="D115" t="str">
            <v>50A</v>
          </cell>
          <cell r="E115" t="str">
            <v>개</v>
          </cell>
          <cell r="J115">
            <v>1520</v>
          </cell>
          <cell r="K115">
            <v>513</v>
          </cell>
          <cell r="L115">
            <v>1520</v>
          </cell>
        </row>
        <row r="116">
          <cell r="A116" t="str">
            <v>2-31</v>
          </cell>
          <cell r="B116" t="str">
            <v>90˚앨보</v>
          </cell>
          <cell r="C116" t="str">
            <v>SPP38, SCH40</v>
          </cell>
          <cell r="D116" t="str">
            <v>65A</v>
          </cell>
          <cell r="E116" t="str">
            <v>개</v>
          </cell>
          <cell r="J116">
            <v>2744</v>
          </cell>
          <cell r="K116">
            <v>513</v>
          </cell>
          <cell r="L116">
            <v>2744</v>
          </cell>
        </row>
        <row r="117">
          <cell r="A117" t="str">
            <v>2-32</v>
          </cell>
          <cell r="B117" t="str">
            <v>90˚앨보</v>
          </cell>
          <cell r="C117" t="str">
            <v>SPP38, SCH40</v>
          </cell>
          <cell r="D117" t="str">
            <v>80A</v>
          </cell>
          <cell r="E117" t="str">
            <v>개</v>
          </cell>
          <cell r="J117">
            <v>3600</v>
          </cell>
          <cell r="K117">
            <v>513</v>
          </cell>
          <cell r="L117">
            <v>3600</v>
          </cell>
        </row>
        <row r="118">
          <cell r="A118" t="str">
            <v>2-33</v>
          </cell>
          <cell r="B118" t="str">
            <v>90˚앨보</v>
          </cell>
          <cell r="C118" t="str">
            <v>SPP38, SCH40</v>
          </cell>
          <cell r="D118" t="str">
            <v>100A</v>
          </cell>
          <cell r="E118" t="str">
            <v>개</v>
          </cell>
          <cell r="J118">
            <v>5840</v>
          </cell>
          <cell r="K118">
            <v>513</v>
          </cell>
          <cell r="L118">
            <v>5840</v>
          </cell>
        </row>
        <row r="119">
          <cell r="A119" t="str">
            <v>2-34</v>
          </cell>
          <cell r="B119" t="str">
            <v>90˚앨보</v>
          </cell>
          <cell r="C119" t="str">
            <v>SPP38, SCH40</v>
          </cell>
          <cell r="D119" t="str">
            <v>125A</v>
          </cell>
          <cell r="E119" t="str">
            <v>개</v>
          </cell>
          <cell r="J119">
            <v>9200</v>
          </cell>
          <cell r="K119">
            <v>513</v>
          </cell>
          <cell r="L119">
            <v>9200</v>
          </cell>
        </row>
        <row r="120">
          <cell r="A120" t="str">
            <v>2-35</v>
          </cell>
          <cell r="B120" t="str">
            <v>90˚앨보</v>
          </cell>
          <cell r="C120" t="str">
            <v>SPP38, SCH40</v>
          </cell>
          <cell r="D120" t="str">
            <v>150A</v>
          </cell>
          <cell r="E120" t="str">
            <v>개</v>
          </cell>
          <cell r="J120">
            <v>13680</v>
          </cell>
          <cell r="K120">
            <v>513</v>
          </cell>
          <cell r="L120">
            <v>13680</v>
          </cell>
        </row>
        <row r="121">
          <cell r="A121" t="str">
            <v>2-36</v>
          </cell>
          <cell r="B121" t="str">
            <v>90˚앨보</v>
          </cell>
          <cell r="C121" t="str">
            <v>SPP38, SCH40</v>
          </cell>
          <cell r="D121" t="str">
            <v>200A</v>
          </cell>
          <cell r="E121" t="str">
            <v>개</v>
          </cell>
          <cell r="J121">
            <v>27528</v>
          </cell>
          <cell r="K121">
            <v>513</v>
          </cell>
          <cell r="L121">
            <v>27528</v>
          </cell>
        </row>
        <row r="122">
          <cell r="A122" t="str">
            <v>2-37</v>
          </cell>
          <cell r="B122" t="str">
            <v>90˚앨보</v>
          </cell>
          <cell r="C122" t="str">
            <v>SPP38, SCH40</v>
          </cell>
          <cell r="D122" t="str">
            <v>백관,15A</v>
          </cell>
          <cell r="E122" t="str">
            <v>개</v>
          </cell>
          <cell r="J122">
            <v>432</v>
          </cell>
          <cell r="K122">
            <v>513</v>
          </cell>
          <cell r="L122">
            <v>432</v>
          </cell>
        </row>
        <row r="123">
          <cell r="A123" t="str">
            <v>2-38</v>
          </cell>
          <cell r="B123" t="str">
            <v>90˚앨보</v>
          </cell>
          <cell r="C123" t="str">
            <v>SPP38, SCH40</v>
          </cell>
          <cell r="D123" t="str">
            <v>백관, 20A</v>
          </cell>
          <cell r="E123" t="str">
            <v>개</v>
          </cell>
          <cell r="J123">
            <v>504</v>
          </cell>
          <cell r="K123">
            <v>513</v>
          </cell>
          <cell r="L123">
            <v>504</v>
          </cell>
        </row>
        <row r="124">
          <cell r="A124" t="str">
            <v>2-39</v>
          </cell>
          <cell r="B124" t="str">
            <v>90˚앨보</v>
          </cell>
          <cell r="C124" t="str">
            <v>SPP38, SCH40</v>
          </cell>
          <cell r="D124" t="str">
            <v>백관, 25A</v>
          </cell>
          <cell r="E124" t="str">
            <v>개</v>
          </cell>
          <cell r="J124">
            <v>1040</v>
          </cell>
          <cell r="K124">
            <v>513</v>
          </cell>
          <cell r="L124">
            <v>1040</v>
          </cell>
        </row>
        <row r="125">
          <cell r="A125" t="str">
            <v>2-40</v>
          </cell>
          <cell r="B125" t="str">
            <v>90˚앨보</v>
          </cell>
          <cell r="C125" t="str">
            <v>SPP38, SCH40</v>
          </cell>
          <cell r="D125" t="str">
            <v>백관, 32A</v>
          </cell>
          <cell r="E125" t="str">
            <v>개</v>
          </cell>
          <cell r="J125">
            <v>1200</v>
          </cell>
          <cell r="K125">
            <v>513</v>
          </cell>
          <cell r="L125">
            <v>1200</v>
          </cell>
        </row>
        <row r="126">
          <cell r="A126" t="str">
            <v>2-41</v>
          </cell>
          <cell r="B126" t="str">
            <v>90˚앨보</v>
          </cell>
          <cell r="C126" t="str">
            <v>SPP38, SCH40</v>
          </cell>
          <cell r="D126" t="str">
            <v>백관, 40A</v>
          </cell>
          <cell r="E126" t="str">
            <v>개</v>
          </cell>
          <cell r="J126">
            <v>1344</v>
          </cell>
          <cell r="K126">
            <v>513</v>
          </cell>
          <cell r="L126">
            <v>1344</v>
          </cell>
        </row>
        <row r="127">
          <cell r="A127" t="str">
            <v>2-42</v>
          </cell>
          <cell r="B127" t="str">
            <v>90˚앨보</v>
          </cell>
          <cell r="C127" t="str">
            <v>SPP38, SCH40</v>
          </cell>
          <cell r="D127" t="str">
            <v>백관, 50A</v>
          </cell>
          <cell r="E127" t="str">
            <v>개</v>
          </cell>
          <cell r="J127">
            <v>1696</v>
          </cell>
          <cell r="K127">
            <v>513</v>
          </cell>
          <cell r="L127">
            <v>1696</v>
          </cell>
        </row>
        <row r="128">
          <cell r="A128" t="str">
            <v>2-43</v>
          </cell>
          <cell r="B128" t="str">
            <v>90˚앨보</v>
          </cell>
          <cell r="C128" t="str">
            <v>SPP38, SCH40</v>
          </cell>
          <cell r="D128" t="str">
            <v>백관, 65A</v>
          </cell>
          <cell r="E128" t="str">
            <v>개</v>
          </cell>
          <cell r="J128">
            <v>3120</v>
          </cell>
          <cell r="K128">
            <v>513</v>
          </cell>
          <cell r="L128">
            <v>3120</v>
          </cell>
        </row>
        <row r="129">
          <cell r="A129" t="str">
            <v>2-44</v>
          </cell>
          <cell r="B129" t="str">
            <v>90˚앨보</v>
          </cell>
          <cell r="C129" t="str">
            <v>SPP38, SCH40</v>
          </cell>
          <cell r="D129" t="str">
            <v>백관, 80A</v>
          </cell>
          <cell r="E129" t="str">
            <v>개</v>
          </cell>
          <cell r="J129">
            <v>4160</v>
          </cell>
          <cell r="K129">
            <v>513</v>
          </cell>
          <cell r="L129">
            <v>4160</v>
          </cell>
        </row>
        <row r="130">
          <cell r="A130" t="str">
            <v>2-45</v>
          </cell>
          <cell r="B130" t="str">
            <v>90˚앨보</v>
          </cell>
          <cell r="C130" t="str">
            <v>SPP38, SCH40</v>
          </cell>
          <cell r="D130" t="str">
            <v>백관, 100A</v>
          </cell>
          <cell r="E130" t="str">
            <v>개</v>
          </cell>
          <cell r="J130">
            <v>6880</v>
          </cell>
          <cell r="K130">
            <v>513</v>
          </cell>
          <cell r="L130">
            <v>6880</v>
          </cell>
        </row>
        <row r="131">
          <cell r="A131" t="str">
            <v>2-46</v>
          </cell>
          <cell r="B131" t="str">
            <v>90˚앨보</v>
          </cell>
          <cell r="C131" t="str">
            <v>SPP38, SCH40</v>
          </cell>
          <cell r="D131" t="str">
            <v>백관, 125A</v>
          </cell>
          <cell r="E131" t="str">
            <v>개</v>
          </cell>
          <cell r="J131">
            <v>10960</v>
          </cell>
          <cell r="K131">
            <v>513</v>
          </cell>
          <cell r="L131">
            <v>10960</v>
          </cell>
        </row>
        <row r="132">
          <cell r="A132" t="str">
            <v>2-47</v>
          </cell>
          <cell r="B132" t="str">
            <v>90˚앨보</v>
          </cell>
          <cell r="C132" t="str">
            <v>SPP38, SCH40</v>
          </cell>
          <cell r="D132" t="str">
            <v>백관, 150A</v>
          </cell>
          <cell r="E132" t="str">
            <v>개</v>
          </cell>
          <cell r="J132">
            <v>16320</v>
          </cell>
          <cell r="K132">
            <v>513</v>
          </cell>
          <cell r="L132">
            <v>16320</v>
          </cell>
        </row>
        <row r="133">
          <cell r="A133" t="str">
            <v>2-48</v>
          </cell>
          <cell r="B133" t="str">
            <v>90˚앨보</v>
          </cell>
          <cell r="C133" t="str">
            <v>SPP38, SCH40</v>
          </cell>
          <cell r="D133" t="str">
            <v>백관, 200A</v>
          </cell>
          <cell r="E133" t="str">
            <v>개</v>
          </cell>
          <cell r="J133">
            <v>32880</v>
          </cell>
          <cell r="K133">
            <v>513</v>
          </cell>
          <cell r="L133">
            <v>32880</v>
          </cell>
        </row>
        <row r="134">
          <cell r="A134" t="str">
            <v>2-49</v>
          </cell>
          <cell r="B134" t="str">
            <v>90˚앨보</v>
          </cell>
          <cell r="C134" t="str">
            <v>STS304, S40</v>
          </cell>
          <cell r="D134" t="str">
            <v>15A</v>
          </cell>
          <cell r="E134" t="str">
            <v>개</v>
          </cell>
          <cell r="J134">
            <v>1080</v>
          </cell>
          <cell r="K134">
            <v>529</v>
          </cell>
          <cell r="L134">
            <v>1080</v>
          </cell>
        </row>
        <row r="135">
          <cell r="A135" t="str">
            <v>2-50</v>
          </cell>
          <cell r="B135" t="str">
            <v>90˚앨보</v>
          </cell>
          <cell r="C135" t="str">
            <v>STS304, S40</v>
          </cell>
          <cell r="D135" t="str">
            <v>20A</v>
          </cell>
          <cell r="E135" t="str">
            <v>개</v>
          </cell>
          <cell r="J135">
            <v>1540</v>
          </cell>
          <cell r="K135">
            <v>529</v>
          </cell>
          <cell r="L135">
            <v>1540</v>
          </cell>
        </row>
        <row r="136">
          <cell r="A136" t="str">
            <v>2-51</v>
          </cell>
          <cell r="B136" t="str">
            <v>90˚앨보</v>
          </cell>
          <cell r="C136" t="str">
            <v>STS304, S40</v>
          </cell>
          <cell r="D136" t="str">
            <v>25A</v>
          </cell>
          <cell r="E136" t="str">
            <v>개</v>
          </cell>
          <cell r="J136">
            <v>2100</v>
          </cell>
          <cell r="K136">
            <v>529</v>
          </cell>
          <cell r="L136">
            <v>2100</v>
          </cell>
        </row>
        <row r="137">
          <cell r="A137" t="str">
            <v>2-52</v>
          </cell>
          <cell r="B137" t="str">
            <v>90˚앨보</v>
          </cell>
          <cell r="C137" t="str">
            <v>STS304, S40</v>
          </cell>
          <cell r="D137" t="str">
            <v>32A</v>
          </cell>
          <cell r="E137" t="str">
            <v>개</v>
          </cell>
          <cell r="J137">
            <v>2800</v>
          </cell>
          <cell r="K137">
            <v>529</v>
          </cell>
          <cell r="L137">
            <v>2800</v>
          </cell>
        </row>
        <row r="138">
          <cell r="A138" t="str">
            <v>2-53</v>
          </cell>
          <cell r="B138" t="str">
            <v>90˚앨보</v>
          </cell>
          <cell r="C138" t="str">
            <v>STS304, S40</v>
          </cell>
          <cell r="D138" t="str">
            <v>40A</v>
          </cell>
          <cell r="E138" t="str">
            <v>개</v>
          </cell>
          <cell r="J138">
            <v>3520</v>
          </cell>
          <cell r="K138">
            <v>529</v>
          </cell>
          <cell r="L138">
            <v>3520</v>
          </cell>
        </row>
        <row r="139">
          <cell r="A139" t="str">
            <v>2-54</v>
          </cell>
          <cell r="B139" t="str">
            <v>90˚앨보</v>
          </cell>
          <cell r="C139" t="str">
            <v>STS304, S40</v>
          </cell>
          <cell r="D139" t="str">
            <v>50A</v>
          </cell>
          <cell r="E139" t="str">
            <v>개</v>
          </cell>
          <cell r="J139">
            <v>5040</v>
          </cell>
          <cell r="K139">
            <v>529</v>
          </cell>
          <cell r="L139">
            <v>5040</v>
          </cell>
        </row>
        <row r="140">
          <cell r="A140" t="str">
            <v>2-55</v>
          </cell>
          <cell r="B140" t="str">
            <v>90˚앨보</v>
          </cell>
          <cell r="C140" t="str">
            <v>STS304, S40</v>
          </cell>
          <cell r="D140" t="str">
            <v>65A</v>
          </cell>
          <cell r="E140" t="str">
            <v>개</v>
          </cell>
          <cell r="J140">
            <v>11040</v>
          </cell>
          <cell r="K140">
            <v>529</v>
          </cell>
          <cell r="L140">
            <v>11040</v>
          </cell>
        </row>
        <row r="141">
          <cell r="A141" t="str">
            <v>2-56</v>
          </cell>
          <cell r="B141" t="str">
            <v>90˚앨보</v>
          </cell>
          <cell r="C141" t="str">
            <v>STS304, S40</v>
          </cell>
          <cell r="D141" t="str">
            <v>80A</v>
          </cell>
          <cell r="E141" t="str">
            <v>개</v>
          </cell>
          <cell r="J141">
            <v>16000</v>
          </cell>
          <cell r="K141">
            <v>529</v>
          </cell>
          <cell r="L141">
            <v>16000</v>
          </cell>
        </row>
        <row r="142">
          <cell r="A142" t="str">
            <v>2-57</v>
          </cell>
          <cell r="B142" t="str">
            <v>90˚앨보</v>
          </cell>
          <cell r="C142" t="str">
            <v>STS304, S40</v>
          </cell>
          <cell r="D142" t="str">
            <v>100A</v>
          </cell>
          <cell r="E142" t="str">
            <v>개</v>
          </cell>
          <cell r="J142">
            <v>33840</v>
          </cell>
          <cell r="K142">
            <v>529</v>
          </cell>
          <cell r="L142">
            <v>33840</v>
          </cell>
        </row>
        <row r="143">
          <cell r="A143" t="str">
            <v>2-58</v>
          </cell>
          <cell r="B143" t="str">
            <v>90˚앨보</v>
          </cell>
          <cell r="C143" t="str">
            <v>STS304, S40</v>
          </cell>
          <cell r="D143" t="str">
            <v>125A</v>
          </cell>
          <cell r="E143" t="str">
            <v>개</v>
          </cell>
          <cell r="J143">
            <v>56640</v>
          </cell>
          <cell r="K143">
            <v>529</v>
          </cell>
          <cell r="L143">
            <v>56640</v>
          </cell>
        </row>
        <row r="145">
          <cell r="A145" t="str">
            <v>3.</v>
          </cell>
          <cell r="B145" t="str">
            <v>FITTING(TEE)</v>
          </cell>
        </row>
        <row r="146">
          <cell r="A146" t="str">
            <v>3-1</v>
          </cell>
          <cell r="B146" t="str">
            <v>TEE</v>
          </cell>
          <cell r="C146" t="str">
            <v>SPP</v>
          </cell>
          <cell r="D146" t="str">
            <v>15A</v>
          </cell>
          <cell r="E146" t="str">
            <v>개</v>
          </cell>
          <cell r="J146">
            <v>672</v>
          </cell>
          <cell r="K146">
            <v>513</v>
          </cell>
          <cell r="L146">
            <v>672</v>
          </cell>
        </row>
        <row r="147">
          <cell r="A147" t="str">
            <v>3-2</v>
          </cell>
          <cell r="B147" t="str">
            <v>TEE</v>
          </cell>
          <cell r="C147" t="str">
            <v>SPP</v>
          </cell>
          <cell r="D147" t="str">
            <v>20A</v>
          </cell>
          <cell r="E147" t="str">
            <v>개</v>
          </cell>
          <cell r="J147">
            <v>720</v>
          </cell>
          <cell r="K147">
            <v>513</v>
          </cell>
          <cell r="L147">
            <v>720</v>
          </cell>
        </row>
        <row r="148">
          <cell r="A148" t="str">
            <v>3-3</v>
          </cell>
          <cell r="B148" t="str">
            <v>TEE</v>
          </cell>
          <cell r="C148" t="str">
            <v>SPP</v>
          </cell>
          <cell r="D148" t="str">
            <v>25A</v>
          </cell>
          <cell r="E148" t="str">
            <v>개</v>
          </cell>
          <cell r="J148">
            <v>840</v>
          </cell>
          <cell r="K148">
            <v>513</v>
          </cell>
          <cell r="L148">
            <v>840</v>
          </cell>
        </row>
        <row r="149">
          <cell r="A149" t="str">
            <v>3-4</v>
          </cell>
          <cell r="B149" t="str">
            <v>TEE</v>
          </cell>
          <cell r="C149" t="str">
            <v>SPP</v>
          </cell>
          <cell r="D149" t="str">
            <v>32A</v>
          </cell>
          <cell r="E149" t="str">
            <v>개</v>
          </cell>
          <cell r="J149">
            <v>960</v>
          </cell>
          <cell r="K149">
            <v>513</v>
          </cell>
          <cell r="L149">
            <v>960</v>
          </cell>
        </row>
        <row r="150">
          <cell r="A150" t="str">
            <v>3-5</v>
          </cell>
          <cell r="B150" t="str">
            <v>TEE</v>
          </cell>
          <cell r="C150" t="str">
            <v>SPP</v>
          </cell>
          <cell r="D150" t="str">
            <v>40A</v>
          </cell>
          <cell r="E150" t="str">
            <v>개</v>
          </cell>
          <cell r="J150">
            <v>1264</v>
          </cell>
          <cell r="K150">
            <v>513</v>
          </cell>
          <cell r="L150">
            <v>1264</v>
          </cell>
        </row>
        <row r="151">
          <cell r="A151" t="str">
            <v>3-6</v>
          </cell>
          <cell r="B151" t="str">
            <v>TEE</v>
          </cell>
          <cell r="C151" t="str">
            <v>SPP</v>
          </cell>
          <cell r="D151" t="str">
            <v>50A</v>
          </cell>
          <cell r="E151" t="str">
            <v>개</v>
          </cell>
          <cell r="J151">
            <v>1712</v>
          </cell>
          <cell r="K151">
            <v>513</v>
          </cell>
          <cell r="L151">
            <v>1712</v>
          </cell>
        </row>
        <row r="152">
          <cell r="A152" t="str">
            <v>3-7</v>
          </cell>
          <cell r="B152" t="str">
            <v>TEE</v>
          </cell>
          <cell r="C152" t="str">
            <v>SPP</v>
          </cell>
          <cell r="D152" t="str">
            <v>65A</v>
          </cell>
          <cell r="E152" t="str">
            <v>개</v>
          </cell>
          <cell r="J152">
            <v>2784</v>
          </cell>
          <cell r="K152">
            <v>513</v>
          </cell>
          <cell r="L152">
            <v>2784</v>
          </cell>
        </row>
        <row r="153">
          <cell r="A153" t="str">
            <v>3-8</v>
          </cell>
          <cell r="B153" t="str">
            <v>TEE</v>
          </cell>
          <cell r="C153" t="str">
            <v>SPP</v>
          </cell>
          <cell r="D153" t="str">
            <v>80A</v>
          </cell>
          <cell r="E153" t="str">
            <v>개</v>
          </cell>
          <cell r="J153">
            <v>3456</v>
          </cell>
          <cell r="K153">
            <v>513</v>
          </cell>
          <cell r="L153">
            <v>3456</v>
          </cell>
        </row>
        <row r="154">
          <cell r="A154" t="str">
            <v>3-9</v>
          </cell>
          <cell r="B154" t="str">
            <v>TEE</v>
          </cell>
          <cell r="C154" t="str">
            <v>SPP</v>
          </cell>
          <cell r="D154" t="str">
            <v>100A</v>
          </cell>
          <cell r="E154" t="str">
            <v>개</v>
          </cell>
          <cell r="J154">
            <v>5680</v>
          </cell>
          <cell r="K154">
            <v>513</v>
          </cell>
          <cell r="L154">
            <v>5680</v>
          </cell>
        </row>
        <row r="155">
          <cell r="A155" t="str">
            <v>3-10</v>
          </cell>
          <cell r="B155" t="str">
            <v>TEE</v>
          </cell>
          <cell r="C155" t="str">
            <v>SPP</v>
          </cell>
          <cell r="D155" t="str">
            <v>125A</v>
          </cell>
          <cell r="E155" t="str">
            <v>개</v>
          </cell>
          <cell r="J155">
            <v>8320</v>
          </cell>
          <cell r="K155">
            <v>513</v>
          </cell>
          <cell r="L155">
            <v>8320</v>
          </cell>
        </row>
        <row r="156">
          <cell r="A156" t="str">
            <v>3-11</v>
          </cell>
          <cell r="B156" t="str">
            <v>TEE</v>
          </cell>
          <cell r="C156" t="str">
            <v>SPP</v>
          </cell>
          <cell r="D156" t="str">
            <v>200A</v>
          </cell>
          <cell r="E156" t="str">
            <v>개</v>
          </cell>
          <cell r="J156">
            <v>23440</v>
          </cell>
          <cell r="K156">
            <v>513</v>
          </cell>
          <cell r="L156">
            <v>23440</v>
          </cell>
        </row>
        <row r="157">
          <cell r="A157" t="str">
            <v>3-12</v>
          </cell>
          <cell r="B157" t="str">
            <v>TEE</v>
          </cell>
          <cell r="C157" t="str">
            <v>SPPW</v>
          </cell>
          <cell r="D157" t="str">
            <v>백관,15A</v>
          </cell>
          <cell r="E157" t="str">
            <v>개</v>
          </cell>
          <cell r="J157">
            <v>736</v>
          </cell>
          <cell r="K157">
            <v>513</v>
          </cell>
          <cell r="L157">
            <v>736</v>
          </cell>
        </row>
        <row r="158">
          <cell r="A158" t="str">
            <v>3-13</v>
          </cell>
          <cell r="B158" t="str">
            <v>TEE</v>
          </cell>
          <cell r="C158" t="str">
            <v>SPPW</v>
          </cell>
          <cell r="D158" t="str">
            <v>백관, 20A</v>
          </cell>
          <cell r="E158" t="str">
            <v>개</v>
          </cell>
          <cell r="J158">
            <v>840</v>
          </cell>
          <cell r="K158">
            <v>513</v>
          </cell>
          <cell r="L158">
            <v>840</v>
          </cell>
        </row>
        <row r="159">
          <cell r="A159" t="str">
            <v>3-14</v>
          </cell>
          <cell r="B159" t="str">
            <v>TEE</v>
          </cell>
          <cell r="C159" t="str">
            <v>SPPW</v>
          </cell>
          <cell r="D159" t="str">
            <v>백관, 25A</v>
          </cell>
          <cell r="E159" t="str">
            <v>개</v>
          </cell>
          <cell r="J159">
            <v>1096</v>
          </cell>
          <cell r="K159">
            <v>513</v>
          </cell>
          <cell r="L159">
            <v>1096</v>
          </cell>
        </row>
        <row r="160">
          <cell r="A160" t="str">
            <v>3-15</v>
          </cell>
          <cell r="B160" t="str">
            <v>TEE</v>
          </cell>
          <cell r="C160" t="str">
            <v>SPPW</v>
          </cell>
          <cell r="D160" t="str">
            <v>백관, 32A</v>
          </cell>
          <cell r="E160" t="str">
            <v>개</v>
          </cell>
          <cell r="J160">
            <v>1240</v>
          </cell>
          <cell r="K160">
            <v>513</v>
          </cell>
          <cell r="L160">
            <v>1240</v>
          </cell>
        </row>
        <row r="161">
          <cell r="A161" t="str">
            <v>3-16</v>
          </cell>
          <cell r="B161" t="str">
            <v>TEE</v>
          </cell>
          <cell r="C161" t="str">
            <v>SPPW</v>
          </cell>
          <cell r="D161" t="str">
            <v>백관, 40A</v>
          </cell>
          <cell r="E161" t="str">
            <v>개</v>
          </cell>
          <cell r="J161">
            <v>1544</v>
          </cell>
          <cell r="K161">
            <v>513</v>
          </cell>
          <cell r="L161">
            <v>1544</v>
          </cell>
        </row>
        <row r="162">
          <cell r="A162" t="str">
            <v>3-17</v>
          </cell>
          <cell r="B162" t="str">
            <v>TEE</v>
          </cell>
          <cell r="C162" t="str">
            <v>SPPW</v>
          </cell>
          <cell r="D162" t="str">
            <v>백관, 50A</v>
          </cell>
          <cell r="E162" t="str">
            <v>개</v>
          </cell>
          <cell r="J162">
            <v>2160</v>
          </cell>
          <cell r="K162">
            <v>513</v>
          </cell>
          <cell r="L162">
            <v>2160</v>
          </cell>
        </row>
        <row r="163">
          <cell r="A163" t="str">
            <v>3-18</v>
          </cell>
          <cell r="B163" t="str">
            <v>TEE</v>
          </cell>
          <cell r="C163" t="str">
            <v>SPPW</v>
          </cell>
          <cell r="D163" t="str">
            <v>백관, 65A</v>
          </cell>
          <cell r="E163" t="str">
            <v>개</v>
          </cell>
          <cell r="J163">
            <v>3440</v>
          </cell>
          <cell r="K163">
            <v>513</v>
          </cell>
          <cell r="L163">
            <v>3440</v>
          </cell>
        </row>
        <row r="164">
          <cell r="A164" t="str">
            <v>3-19</v>
          </cell>
          <cell r="B164" t="str">
            <v>TEE</v>
          </cell>
          <cell r="C164" t="str">
            <v>SPPW</v>
          </cell>
          <cell r="D164" t="str">
            <v>백관, 80A</v>
          </cell>
          <cell r="E164" t="str">
            <v>개</v>
          </cell>
          <cell r="J164">
            <v>4304</v>
          </cell>
          <cell r="K164">
            <v>513</v>
          </cell>
          <cell r="L164">
            <v>4304</v>
          </cell>
        </row>
        <row r="165">
          <cell r="A165" t="str">
            <v>3-20</v>
          </cell>
          <cell r="B165" t="str">
            <v>TEE</v>
          </cell>
          <cell r="C165" t="str">
            <v>SPPW</v>
          </cell>
          <cell r="D165" t="str">
            <v>백관, 100A</v>
          </cell>
          <cell r="E165" t="str">
            <v>개</v>
          </cell>
          <cell r="J165">
            <v>7120</v>
          </cell>
          <cell r="K165">
            <v>513</v>
          </cell>
          <cell r="L165">
            <v>7120</v>
          </cell>
        </row>
        <row r="166">
          <cell r="A166" t="str">
            <v>3-21</v>
          </cell>
          <cell r="B166" t="str">
            <v>TEE</v>
          </cell>
          <cell r="C166" t="str">
            <v>SPPW</v>
          </cell>
          <cell r="D166" t="str">
            <v>백관, 125A</v>
          </cell>
          <cell r="E166" t="str">
            <v>개</v>
          </cell>
          <cell r="J166">
            <v>10320</v>
          </cell>
          <cell r="K166">
            <v>513</v>
          </cell>
          <cell r="L166">
            <v>10320</v>
          </cell>
        </row>
        <row r="167">
          <cell r="A167" t="str">
            <v>3-22</v>
          </cell>
          <cell r="B167" t="str">
            <v>TEE</v>
          </cell>
          <cell r="C167" t="str">
            <v>SPPW</v>
          </cell>
          <cell r="D167" t="str">
            <v>백관, 150A</v>
          </cell>
          <cell r="E167" t="str">
            <v>개</v>
          </cell>
          <cell r="J167">
            <v>14960</v>
          </cell>
          <cell r="K167">
            <v>513</v>
          </cell>
          <cell r="L167">
            <v>14960</v>
          </cell>
        </row>
        <row r="168">
          <cell r="A168" t="str">
            <v>3-23</v>
          </cell>
          <cell r="B168" t="str">
            <v>TEE</v>
          </cell>
          <cell r="C168" t="str">
            <v>SPPW</v>
          </cell>
          <cell r="D168" t="str">
            <v>백관, 200A</v>
          </cell>
          <cell r="E168" t="str">
            <v>개</v>
          </cell>
          <cell r="J168">
            <v>28800</v>
          </cell>
          <cell r="K168">
            <v>513</v>
          </cell>
          <cell r="L168">
            <v>28800</v>
          </cell>
        </row>
        <row r="169">
          <cell r="A169" t="str">
            <v>3-24</v>
          </cell>
          <cell r="B169" t="str">
            <v>TEE</v>
          </cell>
          <cell r="C169" t="str">
            <v>SPP38, SCH40</v>
          </cell>
          <cell r="D169" t="str">
            <v>15A</v>
          </cell>
          <cell r="E169" t="str">
            <v>개</v>
          </cell>
          <cell r="J169">
            <v>800</v>
          </cell>
          <cell r="K169">
            <v>513</v>
          </cell>
          <cell r="L169">
            <v>800</v>
          </cell>
        </row>
        <row r="170">
          <cell r="A170" t="str">
            <v>3-25</v>
          </cell>
          <cell r="B170" t="str">
            <v>TEE</v>
          </cell>
          <cell r="C170" t="str">
            <v>SPP38, SCH40</v>
          </cell>
          <cell r="D170" t="str">
            <v>20A</v>
          </cell>
          <cell r="E170" t="str">
            <v>개</v>
          </cell>
          <cell r="J170">
            <v>912</v>
          </cell>
          <cell r="K170">
            <v>513</v>
          </cell>
          <cell r="L170">
            <v>912</v>
          </cell>
        </row>
        <row r="171">
          <cell r="A171" t="str">
            <v>3-26</v>
          </cell>
          <cell r="B171" t="str">
            <v>TEE</v>
          </cell>
          <cell r="C171" t="str">
            <v>SPP38, SCH40</v>
          </cell>
          <cell r="D171" t="str">
            <v>25A</v>
          </cell>
          <cell r="E171" t="str">
            <v>개</v>
          </cell>
          <cell r="J171">
            <v>1136</v>
          </cell>
          <cell r="K171">
            <v>513</v>
          </cell>
          <cell r="L171">
            <v>1136</v>
          </cell>
        </row>
        <row r="172">
          <cell r="A172" t="str">
            <v>3-27</v>
          </cell>
          <cell r="B172" t="str">
            <v>TEE</v>
          </cell>
          <cell r="C172" t="str">
            <v>SPP38, SCH40</v>
          </cell>
          <cell r="D172" t="str">
            <v>32A</v>
          </cell>
          <cell r="E172" t="str">
            <v>개</v>
          </cell>
          <cell r="J172">
            <v>1440</v>
          </cell>
          <cell r="K172">
            <v>513</v>
          </cell>
          <cell r="L172">
            <v>1440</v>
          </cell>
        </row>
        <row r="173">
          <cell r="A173" t="str">
            <v>3-28</v>
          </cell>
          <cell r="B173" t="str">
            <v>TEE</v>
          </cell>
          <cell r="C173" t="str">
            <v>SPP38, SCH40</v>
          </cell>
          <cell r="D173" t="str">
            <v>40A</v>
          </cell>
          <cell r="E173" t="str">
            <v>개</v>
          </cell>
          <cell r="J173">
            <v>1712</v>
          </cell>
          <cell r="K173">
            <v>513</v>
          </cell>
          <cell r="L173">
            <v>1712</v>
          </cell>
        </row>
        <row r="174">
          <cell r="A174" t="str">
            <v>3-29</v>
          </cell>
          <cell r="B174" t="str">
            <v>TEE</v>
          </cell>
          <cell r="C174" t="str">
            <v>SPP38, SCH40</v>
          </cell>
          <cell r="D174" t="str">
            <v>50A</v>
          </cell>
          <cell r="E174" t="str">
            <v>개</v>
          </cell>
          <cell r="J174">
            <v>2208</v>
          </cell>
          <cell r="K174">
            <v>513</v>
          </cell>
          <cell r="L174">
            <v>2208</v>
          </cell>
        </row>
        <row r="175">
          <cell r="A175" t="str">
            <v>3-30</v>
          </cell>
          <cell r="B175" t="str">
            <v>TEE</v>
          </cell>
          <cell r="C175" t="str">
            <v>SPP38, SCH40</v>
          </cell>
          <cell r="D175" t="str">
            <v>65A</v>
          </cell>
          <cell r="E175" t="str">
            <v>개</v>
          </cell>
          <cell r="J175">
            <v>3840</v>
          </cell>
          <cell r="K175">
            <v>513</v>
          </cell>
          <cell r="L175">
            <v>3840</v>
          </cell>
        </row>
        <row r="176">
          <cell r="A176" t="str">
            <v>3-31</v>
          </cell>
          <cell r="B176" t="str">
            <v>TEE</v>
          </cell>
          <cell r="C176" t="str">
            <v>SPP38, SCH40</v>
          </cell>
          <cell r="D176" t="str">
            <v>80A</v>
          </cell>
          <cell r="E176" t="str">
            <v>개</v>
          </cell>
          <cell r="J176">
            <v>5280</v>
          </cell>
          <cell r="K176">
            <v>513</v>
          </cell>
          <cell r="L176">
            <v>5280</v>
          </cell>
        </row>
        <row r="177">
          <cell r="A177" t="str">
            <v>3-32</v>
          </cell>
          <cell r="B177" t="str">
            <v>TEE</v>
          </cell>
          <cell r="C177" t="str">
            <v>SPP38, SCH40</v>
          </cell>
          <cell r="D177" t="str">
            <v>100A</v>
          </cell>
          <cell r="E177" t="str">
            <v>개</v>
          </cell>
          <cell r="J177">
            <v>8320</v>
          </cell>
          <cell r="K177">
            <v>513</v>
          </cell>
          <cell r="L177">
            <v>8320</v>
          </cell>
        </row>
        <row r="178">
          <cell r="A178" t="str">
            <v>3-33</v>
          </cell>
          <cell r="B178" t="str">
            <v>TEE</v>
          </cell>
          <cell r="C178" t="str">
            <v>SPP38, SCH40</v>
          </cell>
          <cell r="D178" t="str">
            <v>125A</v>
          </cell>
          <cell r="E178" t="str">
            <v>개</v>
          </cell>
          <cell r="J178">
            <v>13200</v>
          </cell>
          <cell r="K178">
            <v>513</v>
          </cell>
          <cell r="L178">
            <v>13200</v>
          </cell>
        </row>
        <row r="179">
          <cell r="A179" t="str">
            <v>3-34</v>
          </cell>
          <cell r="B179" t="str">
            <v>TEE</v>
          </cell>
          <cell r="C179" t="str">
            <v>SPP38, SCH40</v>
          </cell>
          <cell r="D179" t="str">
            <v>백관,15A</v>
          </cell>
          <cell r="E179" t="str">
            <v>개</v>
          </cell>
          <cell r="J179">
            <v>872</v>
          </cell>
          <cell r="K179">
            <v>513</v>
          </cell>
          <cell r="L179">
            <v>872</v>
          </cell>
        </row>
        <row r="180">
          <cell r="A180" t="str">
            <v>3-35</v>
          </cell>
          <cell r="B180" t="str">
            <v>TEE</v>
          </cell>
          <cell r="C180" t="str">
            <v>SPP38, SCH40</v>
          </cell>
          <cell r="D180" t="str">
            <v>백관, 20A</v>
          </cell>
          <cell r="E180" t="str">
            <v>개</v>
          </cell>
          <cell r="J180">
            <v>1024</v>
          </cell>
          <cell r="K180">
            <v>513</v>
          </cell>
          <cell r="L180">
            <v>1024</v>
          </cell>
        </row>
        <row r="181">
          <cell r="A181" t="str">
            <v>3-36</v>
          </cell>
          <cell r="B181" t="str">
            <v>TEE</v>
          </cell>
          <cell r="C181" t="str">
            <v>SPP38, SCH40</v>
          </cell>
          <cell r="D181" t="str">
            <v>백관, 25A</v>
          </cell>
          <cell r="E181" t="str">
            <v>개</v>
          </cell>
          <cell r="J181">
            <v>1360</v>
          </cell>
          <cell r="K181">
            <v>513</v>
          </cell>
          <cell r="L181">
            <v>1360</v>
          </cell>
        </row>
        <row r="182">
          <cell r="A182" t="str">
            <v>3-37</v>
          </cell>
          <cell r="B182" t="str">
            <v>TEE</v>
          </cell>
          <cell r="C182" t="str">
            <v>SPP38, SCH40</v>
          </cell>
          <cell r="D182" t="str">
            <v>백관, 32A</v>
          </cell>
          <cell r="E182" t="str">
            <v>개</v>
          </cell>
          <cell r="J182">
            <v>1640</v>
          </cell>
          <cell r="K182">
            <v>513</v>
          </cell>
          <cell r="L182">
            <v>1640</v>
          </cell>
        </row>
        <row r="183">
          <cell r="A183" t="str">
            <v>3-38</v>
          </cell>
          <cell r="B183" t="str">
            <v>TEE</v>
          </cell>
          <cell r="C183" t="str">
            <v>SPP38, SCH40</v>
          </cell>
          <cell r="D183" t="str">
            <v>백관, 40A</v>
          </cell>
          <cell r="E183" t="str">
            <v>개</v>
          </cell>
          <cell r="J183">
            <v>2032</v>
          </cell>
          <cell r="K183">
            <v>513</v>
          </cell>
          <cell r="L183">
            <v>2032</v>
          </cell>
        </row>
        <row r="184">
          <cell r="A184" t="str">
            <v>3-39</v>
          </cell>
          <cell r="B184" t="str">
            <v>TEE</v>
          </cell>
          <cell r="C184" t="str">
            <v>SPP38, SCH40</v>
          </cell>
          <cell r="D184" t="str">
            <v>백관, 50A</v>
          </cell>
          <cell r="E184" t="str">
            <v>개</v>
          </cell>
          <cell r="J184">
            <v>2664</v>
          </cell>
          <cell r="K184">
            <v>513</v>
          </cell>
          <cell r="L184">
            <v>2664</v>
          </cell>
        </row>
        <row r="185">
          <cell r="A185" t="str">
            <v>3-40</v>
          </cell>
          <cell r="B185" t="str">
            <v>TEE</v>
          </cell>
          <cell r="C185" t="str">
            <v>SPP38, SCH40</v>
          </cell>
          <cell r="D185" t="str">
            <v>백관, 65A</v>
          </cell>
          <cell r="E185" t="str">
            <v>개</v>
          </cell>
          <cell r="J185">
            <v>4640</v>
          </cell>
          <cell r="K185">
            <v>513</v>
          </cell>
          <cell r="L185">
            <v>4640</v>
          </cell>
        </row>
        <row r="186">
          <cell r="A186" t="str">
            <v>3-41</v>
          </cell>
          <cell r="B186" t="str">
            <v>TEE</v>
          </cell>
          <cell r="C186" t="str">
            <v>SPP38, SCH40</v>
          </cell>
          <cell r="D186" t="str">
            <v>백관, 80A</v>
          </cell>
          <cell r="E186" t="str">
            <v>개</v>
          </cell>
          <cell r="J186">
            <v>6272</v>
          </cell>
          <cell r="K186">
            <v>513</v>
          </cell>
          <cell r="L186">
            <v>6272</v>
          </cell>
        </row>
        <row r="187">
          <cell r="A187" t="str">
            <v>3-42</v>
          </cell>
          <cell r="B187" t="str">
            <v>TEE</v>
          </cell>
          <cell r="C187" t="str">
            <v>SPP38, SCH40</v>
          </cell>
          <cell r="D187" t="str">
            <v>백관, 100A</v>
          </cell>
          <cell r="E187" t="str">
            <v>개</v>
          </cell>
          <cell r="J187">
            <v>10320</v>
          </cell>
          <cell r="K187">
            <v>513</v>
          </cell>
          <cell r="L187">
            <v>10320</v>
          </cell>
        </row>
        <row r="188">
          <cell r="A188" t="str">
            <v>3-43</v>
          </cell>
          <cell r="B188" t="str">
            <v>TEE</v>
          </cell>
          <cell r="C188" t="str">
            <v>SPP38, SCH40</v>
          </cell>
          <cell r="D188" t="str">
            <v>백관, 125A</v>
          </cell>
          <cell r="E188" t="str">
            <v>개</v>
          </cell>
          <cell r="J188">
            <v>16000</v>
          </cell>
          <cell r="K188">
            <v>513</v>
          </cell>
          <cell r="L188">
            <v>16000</v>
          </cell>
        </row>
        <row r="189">
          <cell r="A189" t="str">
            <v>3-44</v>
          </cell>
          <cell r="B189" t="str">
            <v>TEE</v>
          </cell>
          <cell r="C189" t="str">
            <v>STS304, S40</v>
          </cell>
          <cell r="D189" t="str">
            <v>15A</v>
          </cell>
          <cell r="E189" t="str">
            <v>개</v>
          </cell>
          <cell r="J189">
            <v>2120</v>
          </cell>
          <cell r="K189">
            <v>529</v>
          </cell>
          <cell r="L189">
            <v>2120</v>
          </cell>
        </row>
        <row r="190">
          <cell r="A190" t="str">
            <v>3-45</v>
          </cell>
          <cell r="B190" t="str">
            <v>TEE</v>
          </cell>
          <cell r="C190" t="str">
            <v>STS304, S40</v>
          </cell>
          <cell r="D190" t="str">
            <v>20A</v>
          </cell>
          <cell r="E190" t="str">
            <v>개</v>
          </cell>
          <cell r="J190">
            <v>2530</v>
          </cell>
          <cell r="K190">
            <v>529</v>
          </cell>
          <cell r="L190">
            <v>2530</v>
          </cell>
        </row>
        <row r="191">
          <cell r="A191" t="str">
            <v>3-46</v>
          </cell>
          <cell r="B191" t="str">
            <v>TEE</v>
          </cell>
          <cell r="C191" t="str">
            <v>STS304, S40</v>
          </cell>
          <cell r="D191" t="str">
            <v>25A</v>
          </cell>
          <cell r="E191" t="str">
            <v>개</v>
          </cell>
          <cell r="J191">
            <v>3650</v>
          </cell>
          <cell r="K191">
            <v>529</v>
          </cell>
          <cell r="L191">
            <v>3650</v>
          </cell>
        </row>
        <row r="192">
          <cell r="A192" t="str">
            <v>3-47</v>
          </cell>
          <cell r="B192" t="str">
            <v>TEE</v>
          </cell>
          <cell r="C192" t="str">
            <v>STS304, S40</v>
          </cell>
          <cell r="D192" t="str">
            <v>32A</v>
          </cell>
          <cell r="E192" t="str">
            <v>개</v>
          </cell>
          <cell r="J192">
            <v>5080</v>
          </cell>
          <cell r="K192">
            <v>529</v>
          </cell>
          <cell r="L192">
            <v>5080</v>
          </cell>
        </row>
        <row r="193">
          <cell r="A193" t="str">
            <v>3-48</v>
          </cell>
          <cell r="B193" t="str">
            <v>TEE</v>
          </cell>
          <cell r="C193" t="str">
            <v>STS304, S40</v>
          </cell>
          <cell r="D193" t="str">
            <v>40A</v>
          </cell>
          <cell r="E193" t="str">
            <v>개</v>
          </cell>
          <cell r="J193">
            <v>6720</v>
          </cell>
          <cell r="K193">
            <v>529</v>
          </cell>
          <cell r="L193">
            <v>6720</v>
          </cell>
        </row>
        <row r="194">
          <cell r="A194" t="str">
            <v>3-49</v>
          </cell>
          <cell r="B194" t="str">
            <v>TEE</v>
          </cell>
          <cell r="C194" t="str">
            <v>STS304, S40</v>
          </cell>
          <cell r="D194" t="str">
            <v>50A</v>
          </cell>
          <cell r="E194" t="str">
            <v>개</v>
          </cell>
          <cell r="J194">
            <v>9280</v>
          </cell>
          <cell r="K194">
            <v>529</v>
          </cell>
          <cell r="L194">
            <v>9280</v>
          </cell>
        </row>
        <row r="195">
          <cell r="A195" t="str">
            <v>3-50</v>
          </cell>
          <cell r="B195" t="str">
            <v>TEE</v>
          </cell>
          <cell r="C195" t="str">
            <v>STS304, S40</v>
          </cell>
          <cell r="D195" t="str">
            <v>65A</v>
          </cell>
          <cell r="E195" t="str">
            <v>개</v>
          </cell>
          <cell r="J195">
            <v>18880</v>
          </cell>
          <cell r="K195">
            <v>529</v>
          </cell>
          <cell r="L195">
            <v>18880</v>
          </cell>
        </row>
        <row r="196">
          <cell r="A196" t="str">
            <v>3-51</v>
          </cell>
          <cell r="B196" t="str">
            <v>TEE</v>
          </cell>
          <cell r="C196" t="str">
            <v>STS304, S40</v>
          </cell>
          <cell r="D196" t="str">
            <v>80A</v>
          </cell>
          <cell r="E196" t="str">
            <v>개</v>
          </cell>
          <cell r="J196">
            <v>25760</v>
          </cell>
          <cell r="K196">
            <v>529</v>
          </cell>
          <cell r="L196">
            <v>25760</v>
          </cell>
        </row>
        <row r="197">
          <cell r="A197" t="str">
            <v>3-52</v>
          </cell>
          <cell r="B197" t="str">
            <v>TEE</v>
          </cell>
          <cell r="C197" t="str">
            <v>STS304, S40</v>
          </cell>
          <cell r="D197" t="str">
            <v>100A</v>
          </cell>
          <cell r="E197" t="str">
            <v>개</v>
          </cell>
          <cell r="J197">
            <v>22720</v>
          </cell>
          <cell r="K197">
            <v>529</v>
          </cell>
          <cell r="L197">
            <v>22720</v>
          </cell>
        </row>
        <row r="198">
          <cell r="A198" t="str">
            <v>3-53</v>
          </cell>
          <cell r="B198" t="str">
            <v>TEE</v>
          </cell>
          <cell r="C198" t="str">
            <v>STS304, S40</v>
          </cell>
          <cell r="D198" t="str">
            <v>125A</v>
          </cell>
          <cell r="E198" t="str">
            <v>개</v>
          </cell>
          <cell r="J198">
            <v>68960</v>
          </cell>
          <cell r="K198">
            <v>529</v>
          </cell>
          <cell r="L198">
            <v>68960</v>
          </cell>
        </row>
        <row r="200">
          <cell r="A200" t="str">
            <v>4.</v>
          </cell>
          <cell r="B200" t="str">
            <v>FITTING(REDUCER)</v>
          </cell>
        </row>
        <row r="201">
          <cell r="A201" t="str">
            <v>4-1</v>
          </cell>
          <cell r="B201" t="str">
            <v>레듀샤</v>
          </cell>
          <cell r="D201" t="str">
            <v>25A×15A</v>
          </cell>
          <cell r="E201" t="str">
            <v>개</v>
          </cell>
          <cell r="J201">
            <v>736</v>
          </cell>
          <cell r="K201">
            <v>514</v>
          </cell>
          <cell r="L201">
            <v>736</v>
          </cell>
        </row>
        <row r="202">
          <cell r="A202" t="str">
            <v>4-2</v>
          </cell>
          <cell r="B202" t="str">
            <v>레듀샤(ECC)</v>
          </cell>
          <cell r="D202" t="str">
            <v>25A×15A</v>
          </cell>
          <cell r="E202" t="str">
            <v>개</v>
          </cell>
          <cell r="J202">
            <v>992</v>
          </cell>
          <cell r="K202">
            <v>514</v>
          </cell>
          <cell r="L202">
            <v>992</v>
          </cell>
        </row>
        <row r="203">
          <cell r="A203" t="str">
            <v>4-3</v>
          </cell>
          <cell r="B203" t="str">
            <v>레듀샤</v>
          </cell>
          <cell r="D203" t="str">
            <v>25A×20A</v>
          </cell>
          <cell r="E203" t="str">
            <v>개</v>
          </cell>
          <cell r="J203">
            <v>464</v>
          </cell>
          <cell r="K203">
            <v>514</v>
          </cell>
          <cell r="L203">
            <v>464</v>
          </cell>
        </row>
        <row r="204">
          <cell r="A204" t="str">
            <v>4-4</v>
          </cell>
          <cell r="B204" t="str">
            <v>레듀샤(ECC)</v>
          </cell>
          <cell r="D204" t="str">
            <v>25A×20A</v>
          </cell>
          <cell r="E204" t="str">
            <v>개</v>
          </cell>
          <cell r="J204">
            <v>640</v>
          </cell>
          <cell r="K204">
            <v>514</v>
          </cell>
          <cell r="L204">
            <v>640</v>
          </cell>
        </row>
        <row r="205">
          <cell r="A205" t="str">
            <v>4-5</v>
          </cell>
          <cell r="B205" t="str">
            <v>레듀샤</v>
          </cell>
          <cell r="D205" t="str">
            <v>32A×25A</v>
          </cell>
          <cell r="E205" t="str">
            <v>개</v>
          </cell>
          <cell r="J205">
            <v>480</v>
          </cell>
          <cell r="K205">
            <v>514</v>
          </cell>
          <cell r="L205">
            <v>480</v>
          </cell>
        </row>
        <row r="206">
          <cell r="A206" t="str">
            <v>4-6</v>
          </cell>
          <cell r="B206" t="str">
            <v>레듀샤(ECC)</v>
          </cell>
          <cell r="D206" t="str">
            <v>32A×25A</v>
          </cell>
          <cell r="E206" t="str">
            <v>개</v>
          </cell>
          <cell r="J206">
            <v>704</v>
          </cell>
          <cell r="K206">
            <v>514</v>
          </cell>
          <cell r="L206">
            <v>704</v>
          </cell>
        </row>
        <row r="207">
          <cell r="A207" t="str">
            <v>4-7</v>
          </cell>
          <cell r="B207" t="str">
            <v>레듀샤</v>
          </cell>
          <cell r="D207" t="str">
            <v>40A×25A</v>
          </cell>
          <cell r="E207" t="str">
            <v>개</v>
          </cell>
          <cell r="J207">
            <v>832</v>
          </cell>
          <cell r="K207">
            <v>514</v>
          </cell>
          <cell r="L207">
            <v>832</v>
          </cell>
        </row>
        <row r="208">
          <cell r="A208" t="str">
            <v>4-8</v>
          </cell>
          <cell r="B208" t="str">
            <v>레듀샤</v>
          </cell>
          <cell r="D208" t="str">
            <v>50A×25A</v>
          </cell>
          <cell r="E208" t="str">
            <v>개</v>
          </cell>
          <cell r="J208">
            <v>1424</v>
          </cell>
          <cell r="K208">
            <v>514</v>
          </cell>
          <cell r="L208">
            <v>1424</v>
          </cell>
        </row>
        <row r="209">
          <cell r="A209" t="str">
            <v>4-9</v>
          </cell>
          <cell r="B209" t="str">
            <v>레듀샤</v>
          </cell>
          <cell r="D209" t="str">
            <v>50A×32A</v>
          </cell>
          <cell r="E209" t="str">
            <v>개</v>
          </cell>
          <cell r="J209">
            <v>992</v>
          </cell>
          <cell r="K209">
            <v>514</v>
          </cell>
          <cell r="L209">
            <v>992</v>
          </cell>
        </row>
        <row r="210">
          <cell r="A210" t="str">
            <v>4-10</v>
          </cell>
          <cell r="B210" t="str">
            <v>레듀샤(ECC)</v>
          </cell>
          <cell r="D210" t="str">
            <v>50A×32A</v>
          </cell>
          <cell r="E210" t="str">
            <v>개</v>
          </cell>
          <cell r="J210">
            <v>1504</v>
          </cell>
          <cell r="K210">
            <v>514</v>
          </cell>
          <cell r="L210">
            <v>1504</v>
          </cell>
        </row>
        <row r="211">
          <cell r="A211" t="str">
            <v>4-11</v>
          </cell>
          <cell r="B211" t="str">
            <v>레듀샤</v>
          </cell>
          <cell r="D211" t="str">
            <v>80A×65A</v>
          </cell>
          <cell r="E211" t="str">
            <v>개</v>
          </cell>
          <cell r="J211">
            <v>1280</v>
          </cell>
          <cell r="K211">
            <v>514</v>
          </cell>
          <cell r="L211">
            <v>1280</v>
          </cell>
        </row>
        <row r="212">
          <cell r="A212" t="str">
            <v>4-12</v>
          </cell>
          <cell r="B212" t="str">
            <v>레듀샤</v>
          </cell>
          <cell r="D212" t="str">
            <v>100A×80A</v>
          </cell>
          <cell r="E212" t="str">
            <v>개</v>
          </cell>
          <cell r="J212">
            <v>2000</v>
          </cell>
          <cell r="K212">
            <v>514</v>
          </cell>
          <cell r="L212">
            <v>2000</v>
          </cell>
        </row>
        <row r="213">
          <cell r="A213" t="str">
            <v>4-13</v>
          </cell>
          <cell r="B213" t="str">
            <v>레듀샤(ECC)</v>
          </cell>
          <cell r="D213" t="str">
            <v>200A×150A</v>
          </cell>
          <cell r="E213" t="str">
            <v>개</v>
          </cell>
          <cell r="J213">
            <v>9200</v>
          </cell>
          <cell r="K213">
            <v>514</v>
          </cell>
          <cell r="L213">
            <v>9200</v>
          </cell>
        </row>
        <row r="215">
          <cell r="A215" t="str">
            <v>5.</v>
          </cell>
          <cell r="B215" t="str">
            <v>FITTING류(기타)</v>
          </cell>
        </row>
        <row r="216">
          <cell r="A216" t="str">
            <v>5-1</v>
          </cell>
          <cell r="B216" t="str">
            <v>스트레이너</v>
          </cell>
          <cell r="D216" t="str">
            <v>25A</v>
          </cell>
          <cell r="E216" t="str">
            <v>개</v>
          </cell>
          <cell r="J216">
            <v>7400</v>
          </cell>
          <cell r="K216">
            <v>599</v>
          </cell>
          <cell r="L216">
            <v>7400</v>
          </cell>
        </row>
        <row r="217">
          <cell r="A217" t="str">
            <v>5-2</v>
          </cell>
          <cell r="B217" t="str">
            <v>스트레이너</v>
          </cell>
          <cell r="D217" t="str">
            <v>40A</v>
          </cell>
          <cell r="E217" t="str">
            <v>개</v>
          </cell>
          <cell r="J217">
            <v>16100</v>
          </cell>
          <cell r="K217">
            <v>599</v>
          </cell>
          <cell r="L217">
            <v>16100</v>
          </cell>
        </row>
        <row r="218">
          <cell r="A218" t="str">
            <v>5-3</v>
          </cell>
          <cell r="B218" t="str">
            <v>스트레이너</v>
          </cell>
          <cell r="D218" t="str">
            <v>50A</v>
          </cell>
          <cell r="E218" t="str">
            <v>개</v>
          </cell>
          <cell r="J218">
            <v>23700</v>
          </cell>
          <cell r="K218">
            <v>599</v>
          </cell>
          <cell r="L218">
            <v>23700</v>
          </cell>
        </row>
        <row r="219">
          <cell r="A219" t="str">
            <v>5-4</v>
          </cell>
          <cell r="B219" t="str">
            <v>커플링</v>
          </cell>
          <cell r="D219" t="str">
            <v>15A</v>
          </cell>
          <cell r="E219" t="str">
            <v>개</v>
          </cell>
          <cell r="J219">
            <v>1190</v>
          </cell>
          <cell r="K219">
            <v>515</v>
          </cell>
          <cell r="L219">
            <v>1190</v>
          </cell>
        </row>
        <row r="220">
          <cell r="A220" t="str">
            <v>5-5</v>
          </cell>
          <cell r="B220" t="str">
            <v>커플링</v>
          </cell>
          <cell r="D220" t="str">
            <v>20A</v>
          </cell>
          <cell r="E220" t="str">
            <v>개</v>
          </cell>
          <cell r="J220">
            <v>1890</v>
          </cell>
          <cell r="K220">
            <v>515</v>
          </cell>
          <cell r="L220">
            <v>1890</v>
          </cell>
        </row>
        <row r="221">
          <cell r="A221" t="str">
            <v>5-6</v>
          </cell>
          <cell r="B221" t="str">
            <v>소켓</v>
          </cell>
          <cell r="C221" t="str">
            <v>SPP</v>
          </cell>
          <cell r="D221" t="str">
            <v>15A</v>
          </cell>
          <cell r="E221" t="str">
            <v>개</v>
          </cell>
          <cell r="J221">
            <v>207</v>
          </cell>
          <cell r="K221">
            <v>511</v>
          </cell>
          <cell r="L221">
            <v>207</v>
          </cell>
        </row>
        <row r="222">
          <cell r="A222" t="str">
            <v>5-7</v>
          </cell>
          <cell r="B222" t="str">
            <v>소켓</v>
          </cell>
          <cell r="C222" t="str">
            <v>SPP</v>
          </cell>
          <cell r="D222" t="str">
            <v>20A</v>
          </cell>
          <cell r="E222" t="str">
            <v>개</v>
          </cell>
          <cell r="J222">
            <v>252</v>
          </cell>
          <cell r="K222">
            <v>511</v>
          </cell>
          <cell r="L222">
            <v>252</v>
          </cell>
        </row>
        <row r="223">
          <cell r="A223" t="str">
            <v>5-8</v>
          </cell>
          <cell r="B223" t="str">
            <v>소켓</v>
          </cell>
          <cell r="C223" t="str">
            <v>SPP</v>
          </cell>
          <cell r="D223" t="str">
            <v>25A</v>
          </cell>
          <cell r="E223" t="str">
            <v>개</v>
          </cell>
          <cell r="J223">
            <v>412</v>
          </cell>
          <cell r="K223">
            <v>511</v>
          </cell>
          <cell r="L223">
            <v>412</v>
          </cell>
        </row>
        <row r="224">
          <cell r="A224" t="str">
            <v>5-9</v>
          </cell>
          <cell r="B224" t="str">
            <v>캡</v>
          </cell>
          <cell r="D224" t="str">
            <v>15A</v>
          </cell>
          <cell r="E224" t="str">
            <v>개</v>
          </cell>
          <cell r="J224">
            <v>1088</v>
          </cell>
          <cell r="K224">
            <v>513</v>
          </cell>
          <cell r="L224">
            <v>1088</v>
          </cell>
        </row>
        <row r="225">
          <cell r="A225" t="str">
            <v>5-10</v>
          </cell>
          <cell r="B225" t="str">
            <v>캡</v>
          </cell>
          <cell r="D225" t="str">
            <v>20A</v>
          </cell>
          <cell r="E225" t="str">
            <v>개</v>
          </cell>
          <cell r="J225">
            <v>1088</v>
          </cell>
          <cell r="K225">
            <v>513</v>
          </cell>
          <cell r="L225">
            <v>1088</v>
          </cell>
        </row>
        <row r="226">
          <cell r="A226" t="str">
            <v>5-11</v>
          </cell>
          <cell r="B226" t="str">
            <v>컨넥터</v>
          </cell>
          <cell r="C226" t="str">
            <v>SPPS38, SCH80</v>
          </cell>
          <cell r="D226" t="str">
            <v>15A</v>
          </cell>
          <cell r="E226" t="str">
            <v>개</v>
          </cell>
          <cell r="J226">
            <v>576</v>
          </cell>
          <cell r="K226">
            <v>513</v>
          </cell>
          <cell r="L226">
            <v>576</v>
          </cell>
        </row>
        <row r="228">
          <cell r="A228" t="str">
            <v>6.</v>
          </cell>
          <cell r="B228" t="str">
            <v>철판류</v>
          </cell>
        </row>
        <row r="229">
          <cell r="A229" t="str">
            <v>6-1</v>
          </cell>
          <cell r="B229" t="str">
            <v xml:space="preserve"> 철판</v>
          </cell>
          <cell r="C229" t="str">
            <v>SS400</v>
          </cell>
          <cell r="D229" t="str">
            <v>1.6t</v>
          </cell>
          <cell r="E229" t="str">
            <v>kg</v>
          </cell>
          <cell r="J229">
            <v>406</v>
          </cell>
          <cell r="K229">
            <v>52</v>
          </cell>
          <cell r="L229">
            <v>406</v>
          </cell>
        </row>
        <row r="230">
          <cell r="A230" t="str">
            <v>6-2</v>
          </cell>
          <cell r="B230" t="str">
            <v xml:space="preserve"> 철판</v>
          </cell>
          <cell r="C230" t="str">
            <v>SS400</v>
          </cell>
          <cell r="D230" t="str">
            <v>3.2t</v>
          </cell>
          <cell r="E230" t="str">
            <v>kg</v>
          </cell>
          <cell r="J230">
            <v>391</v>
          </cell>
          <cell r="K230">
            <v>52</v>
          </cell>
          <cell r="L230">
            <v>391</v>
          </cell>
        </row>
        <row r="231">
          <cell r="A231" t="str">
            <v>6-3</v>
          </cell>
          <cell r="B231" t="str">
            <v xml:space="preserve"> 철판</v>
          </cell>
          <cell r="C231" t="str">
            <v>SS400</v>
          </cell>
          <cell r="D231" t="str">
            <v>4.5t</v>
          </cell>
          <cell r="E231" t="str">
            <v>kg</v>
          </cell>
          <cell r="J231">
            <v>387</v>
          </cell>
          <cell r="K231">
            <v>52</v>
          </cell>
          <cell r="L231">
            <v>387</v>
          </cell>
        </row>
        <row r="232">
          <cell r="A232" t="str">
            <v>6-4</v>
          </cell>
          <cell r="B232" t="str">
            <v xml:space="preserve"> 철판</v>
          </cell>
          <cell r="C232" t="str">
            <v>SS400</v>
          </cell>
          <cell r="D232" t="str">
            <v>5t</v>
          </cell>
          <cell r="E232" t="str">
            <v>kg</v>
          </cell>
          <cell r="J232">
            <v>387</v>
          </cell>
          <cell r="K232">
            <v>52</v>
          </cell>
          <cell r="L232">
            <v>387</v>
          </cell>
        </row>
        <row r="233">
          <cell r="A233" t="str">
            <v>6-5</v>
          </cell>
          <cell r="B233" t="str">
            <v xml:space="preserve"> 철판</v>
          </cell>
          <cell r="C233" t="str">
            <v>SS400</v>
          </cell>
          <cell r="D233" t="str">
            <v>6t</v>
          </cell>
          <cell r="E233" t="str">
            <v>kg</v>
          </cell>
          <cell r="J233">
            <v>391</v>
          </cell>
          <cell r="K233">
            <v>52</v>
          </cell>
          <cell r="L233">
            <v>391</v>
          </cell>
        </row>
        <row r="234">
          <cell r="A234" t="str">
            <v>6-6</v>
          </cell>
          <cell r="B234" t="str">
            <v xml:space="preserve"> 철판</v>
          </cell>
          <cell r="C234" t="str">
            <v>SS400</v>
          </cell>
          <cell r="D234" t="str">
            <v>7t</v>
          </cell>
          <cell r="E234" t="str">
            <v>kg</v>
          </cell>
          <cell r="J234">
            <v>391</v>
          </cell>
          <cell r="K234">
            <v>52</v>
          </cell>
          <cell r="L234">
            <v>391</v>
          </cell>
        </row>
        <row r="235">
          <cell r="A235" t="str">
            <v>6-7</v>
          </cell>
          <cell r="B235" t="str">
            <v xml:space="preserve"> 철판</v>
          </cell>
          <cell r="C235" t="str">
            <v>SS400</v>
          </cell>
          <cell r="D235" t="str">
            <v>8t</v>
          </cell>
          <cell r="E235" t="str">
            <v>kg</v>
          </cell>
          <cell r="J235">
            <v>391</v>
          </cell>
          <cell r="K235">
            <v>52</v>
          </cell>
          <cell r="L235">
            <v>391</v>
          </cell>
        </row>
        <row r="236">
          <cell r="A236" t="str">
            <v>6-8</v>
          </cell>
          <cell r="B236" t="str">
            <v xml:space="preserve"> 철판</v>
          </cell>
          <cell r="C236" t="str">
            <v>SS400</v>
          </cell>
          <cell r="D236" t="str">
            <v>9t</v>
          </cell>
          <cell r="E236" t="str">
            <v>kg</v>
          </cell>
          <cell r="J236">
            <v>391</v>
          </cell>
          <cell r="K236">
            <v>52</v>
          </cell>
          <cell r="L236">
            <v>391</v>
          </cell>
        </row>
        <row r="237">
          <cell r="A237" t="str">
            <v>6-9</v>
          </cell>
          <cell r="B237" t="str">
            <v xml:space="preserve"> 철판</v>
          </cell>
          <cell r="C237" t="str">
            <v>SS400</v>
          </cell>
          <cell r="D237" t="str">
            <v>12t∼20t</v>
          </cell>
          <cell r="E237" t="str">
            <v>kg</v>
          </cell>
          <cell r="J237">
            <v>394</v>
          </cell>
          <cell r="K237">
            <v>52</v>
          </cell>
          <cell r="L237">
            <v>394</v>
          </cell>
        </row>
        <row r="238">
          <cell r="A238" t="str">
            <v>6-10</v>
          </cell>
          <cell r="B238" t="str">
            <v xml:space="preserve"> 철판</v>
          </cell>
          <cell r="C238" t="str">
            <v>SS400</v>
          </cell>
          <cell r="D238" t="str">
            <v>20t∼30t</v>
          </cell>
          <cell r="E238" t="str">
            <v>kg</v>
          </cell>
          <cell r="J238">
            <v>394</v>
          </cell>
          <cell r="K238">
            <v>52</v>
          </cell>
          <cell r="L238">
            <v>394</v>
          </cell>
        </row>
        <row r="239">
          <cell r="A239" t="str">
            <v>6-11</v>
          </cell>
          <cell r="B239" t="str">
            <v xml:space="preserve"> 강판</v>
          </cell>
          <cell r="C239" t="str">
            <v>STS304, 27종</v>
          </cell>
          <cell r="D239" t="str">
            <v>0.3t</v>
          </cell>
          <cell r="E239" t="str">
            <v>kg</v>
          </cell>
          <cell r="J239">
            <v>3103</v>
          </cell>
          <cell r="K239">
            <v>70</v>
          </cell>
          <cell r="L239">
            <v>3103</v>
          </cell>
        </row>
        <row r="240">
          <cell r="A240" t="str">
            <v>6-12</v>
          </cell>
          <cell r="B240" t="str">
            <v xml:space="preserve"> 강판</v>
          </cell>
          <cell r="C240" t="str">
            <v>STS304, 27종</v>
          </cell>
          <cell r="D240" t="str">
            <v>0.4t</v>
          </cell>
          <cell r="E240" t="str">
            <v>kg</v>
          </cell>
          <cell r="J240">
            <v>2997</v>
          </cell>
          <cell r="K240">
            <v>70</v>
          </cell>
          <cell r="L240">
            <v>2997</v>
          </cell>
        </row>
        <row r="241">
          <cell r="A241" t="str">
            <v>6-13</v>
          </cell>
          <cell r="B241" t="str">
            <v xml:space="preserve"> 강판</v>
          </cell>
          <cell r="C241" t="str">
            <v>STS304, 27종</v>
          </cell>
          <cell r="D241" t="str">
            <v>0.5t</v>
          </cell>
          <cell r="E241" t="str">
            <v>kg</v>
          </cell>
          <cell r="J241">
            <v>2904</v>
          </cell>
          <cell r="K241">
            <v>70</v>
          </cell>
          <cell r="L241">
            <v>2904</v>
          </cell>
        </row>
        <row r="242">
          <cell r="A242" t="str">
            <v>6-14</v>
          </cell>
          <cell r="B242" t="str">
            <v xml:space="preserve"> 강판</v>
          </cell>
          <cell r="C242" t="str">
            <v>STS</v>
          </cell>
          <cell r="D242" t="str">
            <v>3∼8t</v>
          </cell>
          <cell r="E242" t="str">
            <v>kg</v>
          </cell>
          <cell r="J242">
            <v>2431</v>
          </cell>
          <cell r="K242">
            <v>70</v>
          </cell>
          <cell r="L242">
            <v>2431</v>
          </cell>
        </row>
        <row r="243">
          <cell r="A243" t="str">
            <v>6-15</v>
          </cell>
          <cell r="B243" t="str">
            <v xml:space="preserve"> 강판</v>
          </cell>
          <cell r="C243" t="str">
            <v>STS</v>
          </cell>
          <cell r="D243" t="str">
            <v>9∼12t</v>
          </cell>
          <cell r="E243" t="str">
            <v>kg</v>
          </cell>
          <cell r="J243">
            <v>2431</v>
          </cell>
          <cell r="K243">
            <v>70</v>
          </cell>
          <cell r="L243">
            <v>2431</v>
          </cell>
        </row>
        <row r="244">
          <cell r="A244" t="str">
            <v>6-16</v>
          </cell>
          <cell r="B244" t="str">
            <v>아연도강판</v>
          </cell>
          <cell r="C244" t="str">
            <v>KSD3506</v>
          </cell>
          <cell r="D244" t="str">
            <v>0.4t</v>
          </cell>
          <cell r="E244" t="str">
            <v>kg</v>
          </cell>
          <cell r="J244">
            <v>642</v>
          </cell>
          <cell r="K244">
            <v>58</v>
          </cell>
          <cell r="L244">
            <v>642</v>
          </cell>
        </row>
        <row r="245">
          <cell r="A245" t="str">
            <v>6-17</v>
          </cell>
          <cell r="B245" t="str">
            <v>아연도강판</v>
          </cell>
          <cell r="C245" t="str">
            <v>KSD3506</v>
          </cell>
          <cell r="D245" t="str">
            <v>0.4t</v>
          </cell>
          <cell r="E245" t="str">
            <v>m2</v>
          </cell>
          <cell r="J245">
            <v>1842</v>
          </cell>
          <cell r="K245">
            <v>58</v>
          </cell>
          <cell r="L245">
            <v>1842</v>
          </cell>
        </row>
        <row r="246">
          <cell r="A246" t="str">
            <v>6-18</v>
          </cell>
          <cell r="B246" t="str">
            <v>아연도강판</v>
          </cell>
          <cell r="C246" t="str">
            <v>KSD3506</v>
          </cell>
          <cell r="D246" t="str">
            <v>0.5t</v>
          </cell>
          <cell r="E246" t="str">
            <v>kg</v>
          </cell>
          <cell r="J246">
            <v>609</v>
          </cell>
          <cell r="K246">
            <v>58</v>
          </cell>
          <cell r="L246">
            <v>609</v>
          </cell>
        </row>
        <row r="247">
          <cell r="A247" t="str">
            <v>6-19</v>
          </cell>
          <cell r="B247" t="str">
            <v>아연도강판</v>
          </cell>
          <cell r="C247" t="str">
            <v>KSD3506</v>
          </cell>
          <cell r="D247" t="str">
            <v>0.5t</v>
          </cell>
          <cell r="E247" t="str">
            <v>m2</v>
          </cell>
          <cell r="J247">
            <v>2539</v>
          </cell>
          <cell r="K247">
            <v>58</v>
          </cell>
          <cell r="L247">
            <v>2539</v>
          </cell>
        </row>
        <row r="249">
          <cell r="A249" t="str">
            <v>7.</v>
          </cell>
          <cell r="B249" t="str">
            <v>후렌지류</v>
          </cell>
        </row>
        <row r="250">
          <cell r="A250" t="str">
            <v>7-1</v>
          </cell>
          <cell r="B250" t="str">
            <v>후렌지</v>
          </cell>
          <cell r="C250" t="str">
            <v>A105, SORF</v>
          </cell>
          <cell r="D250" t="str">
            <v>4B</v>
          </cell>
          <cell r="E250" t="str">
            <v>개</v>
          </cell>
          <cell r="J250">
            <v>9820</v>
          </cell>
          <cell r="K250">
            <v>517</v>
          </cell>
          <cell r="L250">
            <v>9820</v>
          </cell>
        </row>
        <row r="251">
          <cell r="A251" t="str">
            <v>7-2</v>
          </cell>
          <cell r="B251" t="str">
            <v>후렌지</v>
          </cell>
          <cell r="C251" t="str">
            <v>A182F304</v>
          </cell>
          <cell r="D251" t="str">
            <v>1½B</v>
          </cell>
          <cell r="E251" t="str">
            <v>개</v>
          </cell>
          <cell r="J251">
            <v>15660</v>
          </cell>
          <cell r="K251">
            <v>517</v>
          </cell>
          <cell r="L251">
            <v>15660</v>
          </cell>
        </row>
        <row r="252">
          <cell r="A252" t="str">
            <v>7-3</v>
          </cell>
          <cell r="B252" t="str">
            <v>후렌지</v>
          </cell>
          <cell r="C252" t="str">
            <v>SS400, 10K/SOFF</v>
          </cell>
          <cell r="D252" t="str">
            <v>15A</v>
          </cell>
          <cell r="E252" t="str">
            <v>개</v>
          </cell>
          <cell r="J252">
            <v>1330</v>
          </cell>
          <cell r="K252">
            <v>516</v>
          </cell>
          <cell r="L252">
            <v>1330</v>
          </cell>
        </row>
        <row r="253">
          <cell r="A253" t="str">
            <v>7-4</v>
          </cell>
          <cell r="B253" t="str">
            <v>후렌지</v>
          </cell>
          <cell r="C253" t="str">
            <v>SS400, 10K/SOFF</v>
          </cell>
          <cell r="D253" t="str">
            <v>20A</v>
          </cell>
          <cell r="E253" t="str">
            <v>개</v>
          </cell>
          <cell r="J253">
            <v>1400</v>
          </cell>
          <cell r="K253">
            <v>516</v>
          </cell>
          <cell r="L253">
            <v>1400</v>
          </cell>
        </row>
        <row r="254">
          <cell r="A254" t="str">
            <v>7-5</v>
          </cell>
          <cell r="B254" t="str">
            <v>후렌지</v>
          </cell>
          <cell r="C254" t="str">
            <v>SS400, 10K/SOFF</v>
          </cell>
          <cell r="D254" t="str">
            <v>25A</v>
          </cell>
          <cell r="E254" t="str">
            <v>개</v>
          </cell>
          <cell r="J254">
            <v>1900</v>
          </cell>
          <cell r="K254">
            <v>516</v>
          </cell>
          <cell r="L254">
            <v>1900</v>
          </cell>
        </row>
        <row r="255">
          <cell r="A255" t="str">
            <v>7-6</v>
          </cell>
          <cell r="B255" t="str">
            <v>후렌지</v>
          </cell>
          <cell r="C255" t="str">
            <v>SS400, 10K/SOFF</v>
          </cell>
          <cell r="D255" t="str">
            <v>32A</v>
          </cell>
          <cell r="E255" t="str">
            <v>개</v>
          </cell>
          <cell r="J255">
            <v>2160</v>
          </cell>
          <cell r="K255">
            <v>516</v>
          </cell>
          <cell r="L255">
            <v>2160</v>
          </cell>
        </row>
        <row r="256">
          <cell r="A256" t="str">
            <v>7-7</v>
          </cell>
          <cell r="B256" t="str">
            <v>후렌지</v>
          </cell>
          <cell r="C256" t="str">
            <v>SS400, 10K/SOFF</v>
          </cell>
          <cell r="D256" t="str">
            <v>40A</v>
          </cell>
          <cell r="E256" t="str">
            <v>개</v>
          </cell>
          <cell r="J256">
            <v>2330</v>
          </cell>
          <cell r="K256">
            <v>516</v>
          </cell>
          <cell r="L256">
            <v>2330</v>
          </cell>
        </row>
        <row r="257">
          <cell r="A257" t="str">
            <v>7-8</v>
          </cell>
          <cell r="B257" t="str">
            <v>후렌지</v>
          </cell>
          <cell r="C257" t="str">
            <v>SS400, 10K/SOFF</v>
          </cell>
          <cell r="D257" t="str">
            <v>50A</v>
          </cell>
          <cell r="E257" t="str">
            <v>개</v>
          </cell>
          <cell r="J257">
            <v>2860</v>
          </cell>
          <cell r="K257">
            <v>516</v>
          </cell>
          <cell r="L257">
            <v>2860</v>
          </cell>
        </row>
        <row r="258">
          <cell r="A258" t="str">
            <v>7-9</v>
          </cell>
          <cell r="B258" t="str">
            <v>후렌지</v>
          </cell>
          <cell r="C258" t="str">
            <v>SS400, 10K/SOFF</v>
          </cell>
          <cell r="D258" t="str">
            <v>65A</v>
          </cell>
          <cell r="E258" t="str">
            <v>개</v>
          </cell>
          <cell r="J258">
            <v>3510</v>
          </cell>
          <cell r="K258">
            <v>516</v>
          </cell>
          <cell r="L258">
            <v>3510</v>
          </cell>
        </row>
        <row r="259">
          <cell r="A259" t="str">
            <v>7-10</v>
          </cell>
          <cell r="B259" t="str">
            <v>후렌지</v>
          </cell>
          <cell r="C259" t="str">
            <v>SS400, 10K/SOFF</v>
          </cell>
          <cell r="D259" t="str">
            <v>100A</v>
          </cell>
          <cell r="E259" t="str">
            <v>개</v>
          </cell>
          <cell r="J259">
            <v>4440</v>
          </cell>
          <cell r="K259">
            <v>516</v>
          </cell>
          <cell r="L259">
            <v>4440</v>
          </cell>
        </row>
        <row r="260">
          <cell r="A260" t="str">
            <v>7-11</v>
          </cell>
          <cell r="B260" t="str">
            <v>후렌지</v>
          </cell>
          <cell r="C260" t="str">
            <v>STSF304, KS10K</v>
          </cell>
          <cell r="D260" t="str">
            <v>100A</v>
          </cell>
          <cell r="E260" t="str">
            <v>개</v>
          </cell>
          <cell r="J260">
            <v>14500</v>
          </cell>
          <cell r="K260">
            <v>516</v>
          </cell>
          <cell r="L260">
            <v>14500</v>
          </cell>
        </row>
        <row r="261">
          <cell r="A261" t="str">
            <v>7-12</v>
          </cell>
          <cell r="B261" t="str">
            <v>후렌지</v>
          </cell>
          <cell r="C261" t="str">
            <v>SS400, 10K/SOFF</v>
          </cell>
          <cell r="D261" t="str">
            <v>150A</v>
          </cell>
          <cell r="E261" t="str">
            <v>개</v>
          </cell>
          <cell r="J261">
            <v>9540</v>
          </cell>
          <cell r="K261">
            <v>516</v>
          </cell>
          <cell r="L261">
            <v>9540</v>
          </cell>
        </row>
        <row r="262">
          <cell r="A262" t="str">
            <v>7-13</v>
          </cell>
          <cell r="B262" t="str">
            <v>후렌지</v>
          </cell>
          <cell r="C262" t="str">
            <v>SS400, 10K/SOFF</v>
          </cell>
          <cell r="D262" t="str">
            <v>200A</v>
          </cell>
          <cell r="E262" t="str">
            <v>개</v>
          </cell>
          <cell r="J262">
            <v>12140</v>
          </cell>
          <cell r="K262">
            <v>516</v>
          </cell>
          <cell r="L262">
            <v>36600</v>
          </cell>
        </row>
        <row r="263">
          <cell r="A263" t="str">
            <v>7-14</v>
          </cell>
          <cell r="B263" t="str">
            <v>후렌지</v>
          </cell>
          <cell r="C263" t="str">
            <v>SS400, 10K/SOFF</v>
          </cell>
          <cell r="D263" t="str">
            <v>500A</v>
          </cell>
          <cell r="E263" t="str">
            <v>개</v>
          </cell>
          <cell r="J263">
            <v>84400</v>
          </cell>
          <cell r="K263">
            <v>516</v>
          </cell>
          <cell r="L263">
            <v>84400</v>
          </cell>
        </row>
        <row r="264">
          <cell r="A264" t="str">
            <v>7-15</v>
          </cell>
          <cell r="B264" t="str">
            <v>후렌지</v>
          </cell>
          <cell r="C264" t="str">
            <v>SS400, 20K/SOFF</v>
          </cell>
          <cell r="D264" t="str">
            <v>200A</v>
          </cell>
          <cell r="E264" t="str">
            <v>개</v>
          </cell>
          <cell r="J264">
            <v>32380</v>
          </cell>
          <cell r="K264">
            <v>516</v>
          </cell>
          <cell r="L264">
            <v>32380</v>
          </cell>
        </row>
        <row r="265">
          <cell r="A265" t="str">
            <v>7-16</v>
          </cell>
          <cell r="B265" t="str">
            <v>후렌지</v>
          </cell>
          <cell r="C265" t="str">
            <v>100A, ANSI SORF</v>
          </cell>
          <cell r="D265" t="str">
            <v>100A</v>
          </cell>
          <cell r="E265" t="str">
            <v>개</v>
          </cell>
          <cell r="J265">
            <v>12120</v>
          </cell>
          <cell r="K265">
            <v>517</v>
          </cell>
          <cell r="L265">
            <v>12120</v>
          </cell>
        </row>
        <row r="267">
          <cell r="A267" t="str">
            <v>8.</v>
          </cell>
          <cell r="B267" t="str">
            <v>형강류</v>
          </cell>
        </row>
        <row r="268">
          <cell r="A268" t="str">
            <v>8-1</v>
          </cell>
          <cell r="B268" t="str">
            <v xml:space="preserve"> ㄱ-형강</v>
          </cell>
          <cell r="C268" t="str">
            <v>SS400</v>
          </cell>
          <cell r="D268" t="str">
            <v>50x50x4t~6t</v>
          </cell>
          <cell r="E268" t="str">
            <v>kg</v>
          </cell>
          <cell r="J268">
            <v>390</v>
          </cell>
          <cell r="K268">
            <v>44</v>
          </cell>
          <cell r="L268">
            <v>390</v>
          </cell>
        </row>
        <row r="269">
          <cell r="A269" t="str">
            <v>8-2</v>
          </cell>
          <cell r="B269" t="str">
            <v xml:space="preserve"> ㄱ-형강</v>
          </cell>
          <cell r="C269" t="str">
            <v>SS400</v>
          </cell>
          <cell r="D269" t="str">
            <v>65x65x5t~8t</v>
          </cell>
          <cell r="E269" t="str">
            <v>kg</v>
          </cell>
          <cell r="J269">
            <v>390</v>
          </cell>
          <cell r="K269">
            <v>44</v>
          </cell>
          <cell r="L269">
            <v>390</v>
          </cell>
        </row>
        <row r="270">
          <cell r="A270" t="str">
            <v>8-3</v>
          </cell>
          <cell r="B270" t="str">
            <v xml:space="preserve"> ㄱ-형강</v>
          </cell>
          <cell r="C270" t="str">
            <v>SS400</v>
          </cell>
          <cell r="D270" t="str">
            <v>75x75x6t~12t</v>
          </cell>
          <cell r="E270" t="str">
            <v>kg</v>
          </cell>
          <cell r="J270">
            <v>390</v>
          </cell>
          <cell r="K270">
            <v>44</v>
          </cell>
          <cell r="L270">
            <v>390</v>
          </cell>
        </row>
        <row r="271">
          <cell r="A271" t="str">
            <v>8-4</v>
          </cell>
          <cell r="B271" t="str">
            <v xml:space="preserve"> ㄱ-형강</v>
          </cell>
          <cell r="C271" t="str">
            <v>SS400</v>
          </cell>
          <cell r="D271" t="str">
            <v>90x90x6t~13t</v>
          </cell>
          <cell r="E271" t="str">
            <v>kg</v>
          </cell>
          <cell r="J271">
            <v>390</v>
          </cell>
          <cell r="K271">
            <v>44</v>
          </cell>
          <cell r="L271">
            <v>390</v>
          </cell>
        </row>
        <row r="272">
          <cell r="A272" t="str">
            <v>8-5</v>
          </cell>
          <cell r="B272" t="str">
            <v xml:space="preserve"> ㄱ-형강</v>
          </cell>
          <cell r="C272" t="str">
            <v>SS400</v>
          </cell>
          <cell r="D272" t="str">
            <v>100x100x7∼13t</v>
          </cell>
          <cell r="E272" t="str">
            <v>kg</v>
          </cell>
          <cell r="J272">
            <v>410</v>
          </cell>
          <cell r="K272">
            <v>44</v>
          </cell>
          <cell r="L272">
            <v>410</v>
          </cell>
        </row>
        <row r="273">
          <cell r="A273" t="str">
            <v>8-6</v>
          </cell>
          <cell r="B273" t="str">
            <v xml:space="preserve"> ㄷ-형강</v>
          </cell>
          <cell r="C273" t="str">
            <v>SS400</v>
          </cell>
          <cell r="D273" t="str">
            <v>100x50x5x7.5</v>
          </cell>
          <cell r="E273" t="str">
            <v>kg</v>
          </cell>
          <cell r="J273">
            <v>430</v>
          </cell>
          <cell r="K273">
            <v>45</v>
          </cell>
          <cell r="L273">
            <v>430</v>
          </cell>
        </row>
        <row r="274">
          <cell r="A274" t="str">
            <v>8-7</v>
          </cell>
          <cell r="B274" t="str">
            <v xml:space="preserve"> ㄷ-형강</v>
          </cell>
          <cell r="C274" t="str">
            <v>SS400</v>
          </cell>
          <cell r="D274" t="str">
            <v>125x65x6x8</v>
          </cell>
          <cell r="E274" t="str">
            <v>kg</v>
          </cell>
          <cell r="J274">
            <v>430</v>
          </cell>
          <cell r="K274">
            <v>45</v>
          </cell>
          <cell r="L274">
            <v>430</v>
          </cell>
        </row>
        <row r="275">
          <cell r="A275" t="str">
            <v>8-8</v>
          </cell>
          <cell r="B275" t="str">
            <v xml:space="preserve"> ㄷ-형강</v>
          </cell>
          <cell r="C275" t="str">
            <v>SS400</v>
          </cell>
          <cell r="D275" t="str">
            <v>150x75x6.5x10</v>
          </cell>
          <cell r="E275" t="str">
            <v>kg</v>
          </cell>
          <cell r="J275">
            <v>430</v>
          </cell>
          <cell r="K275">
            <v>45</v>
          </cell>
          <cell r="L275">
            <v>430</v>
          </cell>
        </row>
        <row r="276">
          <cell r="A276" t="str">
            <v>8-9</v>
          </cell>
          <cell r="B276" t="str">
            <v xml:space="preserve"> ㄷ-형강</v>
          </cell>
          <cell r="C276" t="str">
            <v>SS400</v>
          </cell>
          <cell r="D276" t="str">
            <v>200x80x7.5x11</v>
          </cell>
          <cell r="E276" t="str">
            <v>kg</v>
          </cell>
          <cell r="J276">
            <v>520</v>
          </cell>
          <cell r="K276">
            <v>45</v>
          </cell>
          <cell r="L276">
            <v>520</v>
          </cell>
        </row>
        <row r="277">
          <cell r="A277" t="str">
            <v>8-10</v>
          </cell>
          <cell r="B277" t="str">
            <v xml:space="preserve"> 평강 (Flat Bar)</v>
          </cell>
          <cell r="C277" t="str">
            <v>SS400</v>
          </cell>
          <cell r="D277" t="str">
            <v>4.5tx38~75</v>
          </cell>
          <cell r="E277" t="str">
            <v>kg</v>
          </cell>
          <cell r="J277">
            <v>440</v>
          </cell>
          <cell r="K277">
            <v>45</v>
          </cell>
          <cell r="L277">
            <v>440</v>
          </cell>
        </row>
        <row r="278">
          <cell r="A278" t="str">
            <v>8-11</v>
          </cell>
          <cell r="B278" t="str">
            <v xml:space="preserve"> 평강 (Flat Bar)</v>
          </cell>
          <cell r="C278" t="str">
            <v>SS400</v>
          </cell>
          <cell r="D278" t="str">
            <v>6tx38~75</v>
          </cell>
          <cell r="E278" t="str">
            <v>kg</v>
          </cell>
          <cell r="J278">
            <v>440</v>
          </cell>
          <cell r="K278">
            <v>45</v>
          </cell>
          <cell r="L278">
            <v>440</v>
          </cell>
        </row>
        <row r="279">
          <cell r="A279" t="str">
            <v>8-12</v>
          </cell>
          <cell r="B279" t="str">
            <v xml:space="preserve"> 평강 (Flat Bar)</v>
          </cell>
          <cell r="C279" t="str">
            <v>SS400</v>
          </cell>
          <cell r="D279" t="str">
            <v>8t×100</v>
          </cell>
          <cell r="E279" t="str">
            <v>kg</v>
          </cell>
          <cell r="J279">
            <v>440</v>
          </cell>
          <cell r="K279">
            <v>45</v>
          </cell>
          <cell r="L279">
            <v>440</v>
          </cell>
        </row>
        <row r="280">
          <cell r="A280" t="str">
            <v>8-13</v>
          </cell>
          <cell r="B280" t="str">
            <v xml:space="preserve"> 평강 (Flat Bar)</v>
          </cell>
          <cell r="C280" t="str">
            <v>SS400</v>
          </cell>
          <cell r="D280" t="str">
            <v>9tx38~75</v>
          </cell>
          <cell r="E280" t="str">
            <v>kg</v>
          </cell>
          <cell r="J280">
            <v>440</v>
          </cell>
          <cell r="K280">
            <v>45</v>
          </cell>
          <cell r="L280">
            <v>440</v>
          </cell>
        </row>
        <row r="281">
          <cell r="A281" t="str">
            <v>8-14</v>
          </cell>
          <cell r="B281" t="str">
            <v xml:space="preserve"> 평강 (Flat Bar)</v>
          </cell>
          <cell r="C281" t="str">
            <v>SS400</v>
          </cell>
          <cell r="D281" t="str">
            <v>12tx38~75</v>
          </cell>
          <cell r="E281" t="str">
            <v>kg</v>
          </cell>
          <cell r="J281">
            <v>440</v>
          </cell>
          <cell r="K281">
            <v>45</v>
          </cell>
          <cell r="L281">
            <v>440</v>
          </cell>
        </row>
        <row r="282">
          <cell r="A282" t="str">
            <v>8-15</v>
          </cell>
          <cell r="B282" t="str">
            <v>둥근형강</v>
          </cell>
          <cell r="C282" t="str">
            <v>SS41</v>
          </cell>
          <cell r="D282" t="str">
            <v>φ12</v>
          </cell>
          <cell r="E282" t="str">
            <v>kg</v>
          </cell>
          <cell r="J282">
            <v>445</v>
          </cell>
          <cell r="K282">
            <v>42</v>
          </cell>
          <cell r="L282">
            <v>445</v>
          </cell>
        </row>
        <row r="283">
          <cell r="A283" t="str">
            <v>8-16</v>
          </cell>
          <cell r="B283" t="str">
            <v>둥근형강</v>
          </cell>
          <cell r="C283" t="str">
            <v>SS41</v>
          </cell>
          <cell r="D283" t="str">
            <v>φ16</v>
          </cell>
          <cell r="E283" t="str">
            <v>kg</v>
          </cell>
          <cell r="J283">
            <v>445</v>
          </cell>
          <cell r="K283">
            <v>42</v>
          </cell>
          <cell r="L283">
            <v>445</v>
          </cell>
        </row>
        <row r="284">
          <cell r="A284" t="str">
            <v>8-17</v>
          </cell>
          <cell r="B284" t="str">
            <v>둥근형강</v>
          </cell>
          <cell r="C284" t="str">
            <v>SS41</v>
          </cell>
          <cell r="D284" t="str">
            <v>φ20</v>
          </cell>
          <cell r="E284" t="str">
            <v>kg</v>
          </cell>
          <cell r="J284">
            <v>445</v>
          </cell>
          <cell r="K284">
            <v>42</v>
          </cell>
          <cell r="L284">
            <v>445</v>
          </cell>
        </row>
        <row r="285">
          <cell r="A285" t="str">
            <v>8-18</v>
          </cell>
          <cell r="B285" t="str">
            <v>둥근형강</v>
          </cell>
          <cell r="C285" t="str">
            <v>SS41</v>
          </cell>
          <cell r="D285" t="str">
            <v>φ22</v>
          </cell>
          <cell r="E285" t="str">
            <v>kg</v>
          </cell>
          <cell r="J285">
            <v>445</v>
          </cell>
          <cell r="K285">
            <v>42</v>
          </cell>
          <cell r="L285">
            <v>445</v>
          </cell>
        </row>
        <row r="286">
          <cell r="A286" t="str">
            <v>8-19</v>
          </cell>
          <cell r="B286" t="str">
            <v>둥근형강</v>
          </cell>
          <cell r="C286" t="str">
            <v>SS41</v>
          </cell>
          <cell r="D286" t="str">
            <v>φ48</v>
          </cell>
          <cell r="E286" t="str">
            <v>kg</v>
          </cell>
          <cell r="J286">
            <v>445</v>
          </cell>
          <cell r="K286">
            <v>42</v>
          </cell>
          <cell r="L286">
            <v>445</v>
          </cell>
        </row>
        <row r="287">
          <cell r="A287" t="str">
            <v>8-20</v>
          </cell>
          <cell r="B287" t="str">
            <v>둥근형강</v>
          </cell>
          <cell r="C287" t="str">
            <v>SS41</v>
          </cell>
          <cell r="D287" t="str">
            <v>φ50</v>
          </cell>
          <cell r="E287" t="str">
            <v>kg</v>
          </cell>
          <cell r="J287">
            <v>445</v>
          </cell>
          <cell r="K287">
            <v>42</v>
          </cell>
          <cell r="L287">
            <v>445</v>
          </cell>
        </row>
        <row r="288">
          <cell r="A288" t="str">
            <v>8-21</v>
          </cell>
          <cell r="B288" t="str">
            <v>둥근형강</v>
          </cell>
          <cell r="C288" t="str">
            <v>SS41</v>
          </cell>
          <cell r="D288" t="str">
            <v>φ55</v>
          </cell>
          <cell r="E288" t="str">
            <v>kg</v>
          </cell>
          <cell r="J288">
            <v>445</v>
          </cell>
          <cell r="K288">
            <v>42</v>
          </cell>
          <cell r="L288">
            <v>445</v>
          </cell>
        </row>
        <row r="289">
          <cell r="A289" t="str">
            <v>8-22</v>
          </cell>
          <cell r="B289" t="str">
            <v>둥근형강</v>
          </cell>
          <cell r="C289" t="str">
            <v>SS41</v>
          </cell>
          <cell r="D289" t="str">
            <v>φ65</v>
          </cell>
          <cell r="E289" t="str">
            <v>kg</v>
          </cell>
          <cell r="J289">
            <v>445</v>
          </cell>
          <cell r="K289">
            <v>42</v>
          </cell>
          <cell r="L289">
            <v>445</v>
          </cell>
        </row>
        <row r="290">
          <cell r="A290" t="str">
            <v>8-23</v>
          </cell>
          <cell r="B290" t="str">
            <v>둥근형강</v>
          </cell>
          <cell r="C290" t="str">
            <v>SS41</v>
          </cell>
          <cell r="D290" t="str">
            <v>φ70</v>
          </cell>
          <cell r="E290" t="str">
            <v>kg</v>
          </cell>
          <cell r="J290">
            <v>445</v>
          </cell>
          <cell r="K290">
            <v>42</v>
          </cell>
          <cell r="L290">
            <v>445</v>
          </cell>
        </row>
        <row r="291">
          <cell r="A291" t="str">
            <v>8-24</v>
          </cell>
          <cell r="B291" t="str">
            <v>원형봉강</v>
          </cell>
          <cell r="C291" t="str">
            <v>SS41</v>
          </cell>
          <cell r="D291" t="str">
            <v>140∼270×6×8</v>
          </cell>
          <cell r="E291" t="str">
            <v>kg</v>
          </cell>
          <cell r="J291">
            <v>445</v>
          </cell>
          <cell r="K291">
            <v>42</v>
          </cell>
          <cell r="L291">
            <v>445</v>
          </cell>
        </row>
        <row r="292">
          <cell r="A292" t="str">
            <v>8-25</v>
          </cell>
          <cell r="B292" t="str">
            <v>H-형강</v>
          </cell>
          <cell r="C292" t="str">
            <v>SS400</v>
          </cell>
          <cell r="D292" t="str">
            <v>100×100×6×8</v>
          </cell>
          <cell r="E292" t="str">
            <v>kg</v>
          </cell>
          <cell r="J292">
            <v>420</v>
          </cell>
          <cell r="K292">
            <v>48</v>
          </cell>
          <cell r="L292">
            <v>420</v>
          </cell>
        </row>
        <row r="293">
          <cell r="A293" t="str">
            <v>8-26</v>
          </cell>
          <cell r="B293" t="str">
            <v>H-형강</v>
          </cell>
          <cell r="C293" t="str">
            <v>SS400</v>
          </cell>
          <cell r="D293" t="str">
            <v>150×100×6×9</v>
          </cell>
          <cell r="E293" t="str">
            <v>kg</v>
          </cell>
          <cell r="J293">
            <v>420</v>
          </cell>
          <cell r="K293">
            <v>48</v>
          </cell>
          <cell r="L293">
            <v>420</v>
          </cell>
        </row>
        <row r="294">
          <cell r="A294" t="str">
            <v>8-27</v>
          </cell>
          <cell r="B294" t="str">
            <v>H-형강</v>
          </cell>
          <cell r="C294" t="str">
            <v>SS400</v>
          </cell>
          <cell r="D294" t="str">
            <v>150×150×7×10</v>
          </cell>
          <cell r="E294" t="str">
            <v>kg</v>
          </cell>
          <cell r="J294">
            <v>420</v>
          </cell>
          <cell r="K294">
            <v>48</v>
          </cell>
          <cell r="L294">
            <v>420</v>
          </cell>
        </row>
        <row r="295">
          <cell r="A295" t="str">
            <v>8-28</v>
          </cell>
          <cell r="B295" t="str">
            <v>H-형강</v>
          </cell>
          <cell r="C295" t="str">
            <v>SS400</v>
          </cell>
          <cell r="D295" t="str">
            <v>200×100×5.5×8</v>
          </cell>
          <cell r="E295" t="str">
            <v>kg</v>
          </cell>
          <cell r="J295">
            <v>420</v>
          </cell>
          <cell r="K295">
            <v>48</v>
          </cell>
          <cell r="L295">
            <v>420</v>
          </cell>
        </row>
        <row r="296">
          <cell r="A296" t="str">
            <v>8-29</v>
          </cell>
          <cell r="B296" t="str">
            <v>H-형강</v>
          </cell>
          <cell r="C296" t="str">
            <v>SS400</v>
          </cell>
          <cell r="D296" t="str">
            <v>200×150×6×9</v>
          </cell>
          <cell r="E296" t="str">
            <v>kg</v>
          </cell>
          <cell r="J296">
            <v>420</v>
          </cell>
          <cell r="K296">
            <v>48</v>
          </cell>
          <cell r="L296">
            <v>420</v>
          </cell>
        </row>
        <row r="297">
          <cell r="A297" t="str">
            <v>8-30</v>
          </cell>
          <cell r="B297" t="str">
            <v>H-형강</v>
          </cell>
          <cell r="C297" t="str">
            <v>SS400</v>
          </cell>
          <cell r="D297" t="str">
            <v>200×200×8×12</v>
          </cell>
          <cell r="E297" t="str">
            <v>kg</v>
          </cell>
          <cell r="J297">
            <v>420</v>
          </cell>
          <cell r="K297">
            <v>48</v>
          </cell>
          <cell r="L297">
            <v>420</v>
          </cell>
        </row>
        <row r="298">
          <cell r="A298" t="str">
            <v>8-31</v>
          </cell>
          <cell r="B298" t="str">
            <v>H-형강</v>
          </cell>
          <cell r="C298" t="str">
            <v>SS400</v>
          </cell>
          <cell r="D298" t="str">
            <v>250×250×9×14</v>
          </cell>
          <cell r="E298" t="str">
            <v>kg</v>
          </cell>
          <cell r="J298">
            <v>420</v>
          </cell>
          <cell r="K298">
            <v>48</v>
          </cell>
          <cell r="L298">
            <v>420</v>
          </cell>
        </row>
        <row r="299">
          <cell r="A299" t="str">
            <v>8-32</v>
          </cell>
          <cell r="B299" t="str">
            <v>H-형강</v>
          </cell>
          <cell r="C299" t="str">
            <v>SS400</v>
          </cell>
          <cell r="D299" t="str">
            <v>250×175×7×11</v>
          </cell>
          <cell r="E299" t="str">
            <v>kg</v>
          </cell>
          <cell r="J299">
            <v>420</v>
          </cell>
          <cell r="K299">
            <v>48</v>
          </cell>
          <cell r="L299">
            <v>420</v>
          </cell>
        </row>
        <row r="300">
          <cell r="A300" t="str">
            <v>8-33</v>
          </cell>
          <cell r="B300" t="str">
            <v>H-형강</v>
          </cell>
          <cell r="C300" t="str">
            <v>SS400</v>
          </cell>
          <cell r="D300" t="str">
            <v>294×200×8×12</v>
          </cell>
          <cell r="E300" t="str">
            <v>kg</v>
          </cell>
          <cell r="J300">
            <v>420</v>
          </cell>
          <cell r="K300">
            <v>48</v>
          </cell>
          <cell r="L300">
            <v>420</v>
          </cell>
        </row>
        <row r="301">
          <cell r="A301" t="str">
            <v>8-34</v>
          </cell>
          <cell r="B301" t="str">
            <v>H-형강</v>
          </cell>
          <cell r="C301" t="str">
            <v>SS400</v>
          </cell>
          <cell r="D301" t="str">
            <v>298×201×9×14</v>
          </cell>
          <cell r="E301" t="str">
            <v>kg</v>
          </cell>
          <cell r="J301">
            <v>420</v>
          </cell>
          <cell r="K301">
            <v>48</v>
          </cell>
          <cell r="L301">
            <v>420</v>
          </cell>
        </row>
        <row r="302">
          <cell r="A302" t="str">
            <v>8-35</v>
          </cell>
          <cell r="B302" t="str">
            <v>H-형강</v>
          </cell>
          <cell r="C302" t="str">
            <v>SS400</v>
          </cell>
          <cell r="D302" t="str">
            <v>340×250×9×14</v>
          </cell>
          <cell r="E302" t="str">
            <v>kg</v>
          </cell>
          <cell r="J302">
            <v>425</v>
          </cell>
          <cell r="K302">
            <v>48</v>
          </cell>
          <cell r="L302">
            <v>425</v>
          </cell>
        </row>
        <row r="303">
          <cell r="A303" t="str">
            <v>8-36</v>
          </cell>
          <cell r="B303" t="str">
            <v>H-형강</v>
          </cell>
          <cell r="C303" t="str">
            <v>SS400</v>
          </cell>
          <cell r="D303" t="str">
            <v>390×300×10×16</v>
          </cell>
          <cell r="E303" t="str">
            <v>kg</v>
          </cell>
          <cell r="J303">
            <v>425</v>
          </cell>
          <cell r="K303">
            <v>48</v>
          </cell>
          <cell r="L303">
            <v>425</v>
          </cell>
        </row>
        <row r="304">
          <cell r="A304" t="str">
            <v>8-37</v>
          </cell>
          <cell r="B304" t="str">
            <v>I-형강</v>
          </cell>
          <cell r="C304" t="str">
            <v>SS41</v>
          </cell>
          <cell r="D304" t="str">
            <v>150×75×5.5×9.5</v>
          </cell>
          <cell r="E304" t="str">
            <v>kg</v>
          </cell>
          <cell r="J304">
            <v>478</v>
          </cell>
          <cell r="K304">
            <v>47</v>
          </cell>
          <cell r="L304">
            <v>478</v>
          </cell>
        </row>
        <row r="306">
          <cell r="A306" t="str">
            <v>9.</v>
          </cell>
          <cell r="B306" t="str">
            <v>보온재류</v>
          </cell>
        </row>
        <row r="307">
          <cell r="A307" t="str">
            <v>9-1</v>
          </cell>
          <cell r="B307" t="str">
            <v xml:space="preserve"> 보온재 (PIPE)</v>
          </cell>
          <cell r="C307" t="str">
            <v>Glass Fiber, 25t</v>
          </cell>
          <cell r="D307" t="str">
            <v>40A</v>
          </cell>
          <cell r="E307" t="str">
            <v>m</v>
          </cell>
          <cell r="J307">
            <v>1212</v>
          </cell>
          <cell r="K307">
            <v>721</v>
          </cell>
          <cell r="L307">
            <v>1212</v>
          </cell>
        </row>
        <row r="308">
          <cell r="A308" t="str">
            <v>9-2</v>
          </cell>
          <cell r="B308" t="str">
            <v xml:space="preserve"> 보온재 (PIPE)</v>
          </cell>
          <cell r="C308" t="str">
            <v>Glass Fiber, 25t</v>
          </cell>
          <cell r="D308" t="str">
            <v>50A</v>
          </cell>
          <cell r="E308" t="str">
            <v>m</v>
          </cell>
          <cell r="J308">
            <v>1431</v>
          </cell>
          <cell r="K308">
            <v>721</v>
          </cell>
          <cell r="L308">
            <v>1431</v>
          </cell>
        </row>
        <row r="309">
          <cell r="A309" t="str">
            <v>9-3</v>
          </cell>
          <cell r="B309" t="str">
            <v xml:space="preserve"> 보온재 (PIPE)</v>
          </cell>
          <cell r="C309" t="str">
            <v>Glass Fiber, 25t</v>
          </cell>
          <cell r="D309" t="str">
            <v>65A</v>
          </cell>
          <cell r="E309" t="str">
            <v>m</v>
          </cell>
          <cell r="J309">
            <v>1574</v>
          </cell>
          <cell r="K309">
            <v>721</v>
          </cell>
          <cell r="L309">
            <v>1574</v>
          </cell>
        </row>
        <row r="310">
          <cell r="A310" t="str">
            <v>9-4</v>
          </cell>
          <cell r="B310" t="str">
            <v xml:space="preserve"> 보온재 (PIPE)</v>
          </cell>
          <cell r="C310" t="str">
            <v>Glass Fiber, 25t</v>
          </cell>
          <cell r="D310" t="str">
            <v>80A</v>
          </cell>
          <cell r="E310" t="str">
            <v>m</v>
          </cell>
          <cell r="J310">
            <v>1794</v>
          </cell>
          <cell r="K310">
            <v>721</v>
          </cell>
          <cell r="L310">
            <v>1794</v>
          </cell>
        </row>
        <row r="311">
          <cell r="A311" t="str">
            <v>9-5</v>
          </cell>
          <cell r="B311" t="str">
            <v xml:space="preserve"> 보온재 (PIPE)</v>
          </cell>
          <cell r="C311" t="str">
            <v>Glass Fiber, 50t</v>
          </cell>
          <cell r="D311" t="str">
            <v>40A</v>
          </cell>
          <cell r="E311" t="str">
            <v>m</v>
          </cell>
          <cell r="J311">
            <v>2929</v>
          </cell>
          <cell r="K311">
            <v>721</v>
          </cell>
          <cell r="L311">
            <v>2929</v>
          </cell>
        </row>
        <row r="312">
          <cell r="A312" t="str">
            <v>9-6</v>
          </cell>
          <cell r="B312" t="str">
            <v xml:space="preserve"> 보온재 (PIPE)</v>
          </cell>
          <cell r="C312" t="str">
            <v>Glass Fiber, 50t</v>
          </cell>
          <cell r="D312" t="str">
            <v>50A</v>
          </cell>
          <cell r="E312" t="str">
            <v>m</v>
          </cell>
          <cell r="J312">
            <v>3272</v>
          </cell>
          <cell r="K312">
            <v>721</v>
          </cell>
          <cell r="L312">
            <v>3272</v>
          </cell>
        </row>
        <row r="313">
          <cell r="A313" t="str">
            <v>9-7</v>
          </cell>
          <cell r="B313" t="str">
            <v xml:space="preserve"> 보온재 (PIPE)</v>
          </cell>
          <cell r="C313" t="str">
            <v>Glass Fiber, 50t</v>
          </cell>
          <cell r="D313" t="str">
            <v>65A</v>
          </cell>
          <cell r="E313" t="str">
            <v>m</v>
          </cell>
          <cell r="J313">
            <v>3749</v>
          </cell>
          <cell r="K313">
            <v>721</v>
          </cell>
          <cell r="L313">
            <v>3749</v>
          </cell>
        </row>
        <row r="314">
          <cell r="A314" t="str">
            <v>9-8</v>
          </cell>
          <cell r="B314" t="str">
            <v xml:space="preserve"> 보온재 (PIPE)</v>
          </cell>
          <cell r="C314" t="str">
            <v>Glass Fiber, 50t</v>
          </cell>
          <cell r="D314" t="str">
            <v>80A</v>
          </cell>
          <cell r="E314" t="str">
            <v>m</v>
          </cell>
          <cell r="J314">
            <v>4121</v>
          </cell>
          <cell r="K314">
            <v>721</v>
          </cell>
          <cell r="L314">
            <v>4121</v>
          </cell>
        </row>
        <row r="315">
          <cell r="A315" t="str">
            <v>9-9</v>
          </cell>
          <cell r="B315" t="str">
            <v xml:space="preserve"> 보온재</v>
          </cell>
          <cell r="C315" t="str">
            <v>암면, #100</v>
          </cell>
          <cell r="D315" t="str">
            <v>50t</v>
          </cell>
          <cell r="E315" t="str">
            <v>㎡</v>
          </cell>
          <cell r="J315">
            <v>3800</v>
          </cell>
          <cell r="K315">
            <v>468</v>
          </cell>
          <cell r="L315">
            <v>3800</v>
          </cell>
        </row>
        <row r="316">
          <cell r="A316" t="str">
            <v>9-10</v>
          </cell>
          <cell r="B316" t="str">
            <v xml:space="preserve"> 보온재</v>
          </cell>
          <cell r="C316" t="str">
            <v>암면, #100</v>
          </cell>
          <cell r="D316" t="str">
            <v>75t</v>
          </cell>
          <cell r="E316" t="str">
            <v>㎡</v>
          </cell>
          <cell r="J316">
            <v>5700</v>
          </cell>
          <cell r="K316">
            <v>468</v>
          </cell>
          <cell r="L316">
            <v>5700</v>
          </cell>
        </row>
        <row r="317">
          <cell r="A317" t="str">
            <v>9-11</v>
          </cell>
          <cell r="B317" t="str">
            <v xml:space="preserve"> 보온재</v>
          </cell>
          <cell r="C317" t="str">
            <v>암면, #100</v>
          </cell>
          <cell r="D317" t="str">
            <v>100t</v>
          </cell>
          <cell r="E317" t="str">
            <v>㎡</v>
          </cell>
          <cell r="J317">
            <v>7600</v>
          </cell>
          <cell r="K317">
            <v>468</v>
          </cell>
          <cell r="L317">
            <v>7600</v>
          </cell>
        </row>
        <row r="318">
          <cell r="A318" t="str">
            <v>9-12</v>
          </cell>
          <cell r="B318" t="str">
            <v xml:space="preserve"> 보온재</v>
          </cell>
          <cell r="C318" t="str">
            <v>Glass Wool, 100K</v>
          </cell>
          <cell r="D318" t="str">
            <v>50t</v>
          </cell>
          <cell r="E318" t="str">
            <v>㎡</v>
          </cell>
          <cell r="J318">
            <v>9775</v>
          </cell>
          <cell r="K318">
            <v>469</v>
          </cell>
          <cell r="L318">
            <v>9775</v>
          </cell>
        </row>
        <row r="320">
          <cell r="A320" t="str">
            <v>10.</v>
          </cell>
          <cell r="B320" t="str">
            <v>볼트넛트류</v>
          </cell>
        </row>
        <row r="321">
          <cell r="A321" t="str">
            <v>10-1</v>
          </cell>
          <cell r="B321" t="str">
            <v>볼트넛트</v>
          </cell>
          <cell r="C321" t="str">
            <v>C/S 아연도</v>
          </cell>
          <cell r="D321" t="str">
            <v>M12×30L</v>
          </cell>
          <cell r="E321" t="str">
            <v>개</v>
          </cell>
          <cell r="J321">
            <v>46</v>
          </cell>
          <cell r="K321">
            <v>90</v>
          </cell>
          <cell r="L321">
            <v>46</v>
          </cell>
        </row>
        <row r="322">
          <cell r="A322" t="str">
            <v>10-2</v>
          </cell>
          <cell r="B322" t="str">
            <v>볼트넛트</v>
          </cell>
          <cell r="C322" t="str">
            <v>C/S 아연도</v>
          </cell>
          <cell r="D322" t="str">
            <v>M12×45L</v>
          </cell>
          <cell r="E322" t="str">
            <v>개</v>
          </cell>
          <cell r="J322">
            <v>53</v>
          </cell>
          <cell r="K322">
            <v>90</v>
          </cell>
          <cell r="L322">
            <v>53</v>
          </cell>
        </row>
        <row r="323">
          <cell r="A323" t="str">
            <v>10-3</v>
          </cell>
          <cell r="B323" t="str">
            <v>볼트넛트</v>
          </cell>
          <cell r="C323" t="str">
            <v>C/S 아연도</v>
          </cell>
          <cell r="D323" t="str">
            <v>M12×60L</v>
          </cell>
          <cell r="E323" t="str">
            <v>개</v>
          </cell>
          <cell r="J323">
            <v>63</v>
          </cell>
          <cell r="K323">
            <v>90</v>
          </cell>
          <cell r="L323">
            <v>63</v>
          </cell>
        </row>
        <row r="324">
          <cell r="A324" t="str">
            <v>10-4</v>
          </cell>
          <cell r="B324" t="str">
            <v>볼트넛트</v>
          </cell>
          <cell r="C324" t="str">
            <v>C/S 아연도</v>
          </cell>
          <cell r="D324" t="str">
            <v>M12×75L</v>
          </cell>
          <cell r="E324" t="str">
            <v>개</v>
          </cell>
          <cell r="J324">
            <v>75</v>
          </cell>
          <cell r="K324">
            <v>90</v>
          </cell>
          <cell r="L324">
            <v>75</v>
          </cell>
        </row>
        <row r="325">
          <cell r="A325" t="str">
            <v>10-5</v>
          </cell>
          <cell r="B325" t="str">
            <v>볼트넛트</v>
          </cell>
          <cell r="C325" t="str">
            <v>C/S 아연도</v>
          </cell>
          <cell r="D325" t="str">
            <v>M16×40L</v>
          </cell>
          <cell r="E325" t="str">
            <v>개</v>
          </cell>
          <cell r="J325">
            <v>98</v>
          </cell>
          <cell r="K325">
            <v>90</v>
          </cell>
          <cell r="L325">
            <v>98</v>
          </cell>
        </row>
        <row r="326">
          <cell r="A326" t="str">
            <v>10-6</v>
          </cell>
          <cell r="B326" t="str">
            <v>볼트넛트</v>
          </cell>
          <cell r="C326" t="str">
            <v>C/S 아연도</v>
          </cell>
          <cell r="D326" t="str">
            <v>M16×45L</v>
          </cell>
          <cell r="E326" t="str">
            <v>개</v>
          </cell>
          <cell r="J326">
            <v>104</v>
          </cell>
          <cell r="K326">
            <v>90</v>
          </cell>
          <cell r="L326">
            <v>104</v>
          </cell>
        </row>
        <row r="327">
          <cell r="A327" t="str">
            <v>10-7</v>
          </cell>
          <cell r="B327" t="str">
            <v>볼트넛트</v>
          </cell>
          <cell r="C327" t="str">
            <v>C/S 아연도</v>
          </cell>
          <cell r="D327" t="str">
            <v>M16×50L</v>
          </cell>
          <cell r="E327" t="str">
            <v>개</v>
          </cell>
          <cell r="J327">
            <v>110</v>
          </cell>
          <cell r="K327">
            <v>90</v>
          </cell>
          <cell r="L327">
            <v>110</v>
          </cell>
        </row>
        <row r="328">
          <cell r="A328" t="str">
            <v>10-8</v>
          </cell>
          <cell r="B328" t="str">
            <v>볼트넛트</v>
          </cell>
          <cell r="C328" t="str">
            <v>C/S 아연도</v>
          </cell>
          <cell r="D328" t="str">
            <v>M16×55L</v>
          </cell>
          <cell r="E328" t="str">
            <v>개</v>
          </cell>
          <cell r="J328">
            <v>116</v>
          </cell>
          <cell r="K328">
            <v>90</v>
          </cell>
          <cell r="L328">
            <v>116</v>
          </cell>
        </row>
        <row r="329">
          <cell r="A329" t="str">
            <v>10-9</v>
          </cell>
          <cell r="B329" t="str">
            <v>볼트넛트</v>
          </cell>
          <cell r="C329" t="str">
            <v>C/S 아연도</v>
          </cell>
          <cell r="D329" t="str">
            <v>M16×60L</v>
          </cell>
          <cell r="E329" t="str">
            <v>개</v>
          </cell>
          <cell r="J329">
            <v>122</v>
          </cell>
          <cell r="K329">
            <v>90</v>
          </cell>
          <cell r="L329">
            <v>122</v>
          </cell>
        </row>
        <row r="330">
          <cell r="A330" t="str">
            <v>10-10</v>
          </cell>
          <cell r="B330" t="str">
            <v>볼트넛트</v>
          </cell>
          <cell r="C330" t="str">
            <v>C/S 아연도</v>
          </cell>
          <cell r="D330" t="str">
            <v>M16×65L</v>
          </cell>
          <cell r="E330" t="str">
            <v>개</v>
          </cell>
          <cell r="J330">
            <v>128</v>
          </cell>
          <cell r="K330">
            <v>90</v>
          </cell>
          <cell r="L330">
            <v>128</v>
          </cell>
        </row>
        <row r="331">
          <cell r="A331" t="str">
            <v>10-11</v>
          </cell>
          <cell r="B331" t="str">
            <v>볼트넛트</v>
          </cell>
          <cell r="C331" t="str">
            <v>C/S 아연도</v>
          </cell>
          <cell r="D331" t="str">
            <v>M16×95L</v>
          </cell>
          <cell r="E331" t="str">
            <v>개</v>
          </cell>
          <cell r="J331">
            <v>174</v>
          </cell>
          <cell r="K331">
            <v>90</v>
          </cell>
          <cell r="L331">
            <v>174</v>
          </cell>
        </row>
        <row r="332">
          <cell r="A332" t="str">
            <v>10-12</v>
          </cell>
          <cell r="B332" t="str">
            <v>볼트넛트</v>
          </cell>
          <cell r="C332" t="str">
            <v>C/S 아연도</v>
          </cell>
          <cell r="D332" t="str">
            <v>M16×120L</v>
          </cell>
          <cell r="E332" t="str">
            <v>개</v>
          </cell>
          <cell r="J332">
            <v>200</v>
          </cell>
          <cell r="K332">
            <v>90</v>
          </cell>
          <cell r="L332">
            <v>200</v>
          </cell>
        </row>
        <row r="333">
          <cell r="A333" t="str">
            <v>10-13</v>
          </cell>
          <cell r="B333" t="str">
            <v>볼트넛트</v>
          </cell>
          <cell r="C333" t="str">
            <v>C/S 아연도</v>
          </cell>
          <cell r="D333" t="str">
            <v>M16×130L</v>
          </cell>
          <cell r="E333" t="str">
            <v>개</v>
          </cell>
          <cell r="J333">
            <v>213</v>
          </cell>
          <cell r="K333">
            <v>90</v>
          </cell>
          <cell r="L333">
            <v>213</v>
          </cell>
        </row>
        <row r="334">
          <cell r="A334" t="str">
            <v>10-14</v>
          </cell>
          <cell r="B334" t="str">
            <v>볼트넛트</v>
          </cell>
          <cell r="C334" t="str">
            <v>C/S 아연도</v>
          </cell>
          <cell r="D334" t="str">
            <v>M20×70L</v>
          </cell>
          <cell r="E334" t="str">
            <v>개</v>
          </cell>
          <cell r="J334">
            <v>234</v>
          </cell>
          <cell r="K334">
            <v>90</v>
          </cell>
          <cell r="L334">
            <v>234</v>
          </cell>
        </row>
        <row r="335">
          <cell r="A335" t="str">
            <v>10-15</v>
          </cell>
          <cell r="B335" t="str">
            <v>볼트넛트</v>
          </cell>
          <cell r="C335" t="str">
            <v>C/S 아연도</v>
          </cell>
          <cell r="D335" t="str">
            <v>M22×90L</v>
          </cell>
          <cell r="E335" t="str">
            <v>개</v>
          </cell>
          <cell r="J335">
            <v>321</v>
          </cell>
          <cell r="K335">
            <v>90</v>
          </cell>
          <cell r="L335">
            <v>321</v>
          </cell>
        </row>
        <row r="336">
          <cell r="A336" t="str">
            <v>10-16</v>
          </cell>
          <cell r="B336" t="str">
            <v>볼트넛트</v>
          </cell>
          <cell r="C336" t="str">
            <v>C/S 아연도</v>
          </cell>
          <cell r="D336" t="str">
            <v>M24×55L</v>
          </cell>
          <cell r="E336" t="str">
            <v>개</v>
          </cell>
          <cell r="J336">
            <v>340</v>
          </cell>
          <cell r="K336">
            <v>90</v>
          </cell>
          <cell r="L336">
            <v>340</v>
          </cell>
        </row>
        <row r="337">
          <cell r="A337" t="str">
            <v>10-17</v>
          </cell>
          <cell r="B337" t="str">
            <v>볼트넛트</v>
          </cell>
          <cell r="C337" t="str">
            <v>C/S 아연도</v>
          </cell>
          <cell r="D337" t="str">
            <v>M24×80L</v>
          </cell>
          <cell r="E337" t="str">
            <v>개</v>
          </cell>
          <cell r="J337">
            <v>370</v>
          </cell>
          <cell r="K337">
            <v>90</v>
          </cell>
          <cell r="L337">
            <v>370</v>
          </cell>
        </row>
        <row r="338">
          <cell r="A338" t="str">
            <v>10-18</v>
          </cell>
          <cell r="B338" t="str">
            <v>앙카볼트</v>
          </cell>
          <cell r="C338" t="str">
            <v>C/S 아연도</v>
          </cell>
          <cell r="D338" t="str">
            <v>M24×400L</v>
          </cell>
          <cell r="E338" t="str">
            <v>개</v>
          </cell>
          <cell r="J338">
            <v>370</v>
          </cell>
          <cell r="K338">
            <v>90</v>
          </cell>
          <cell r="L338">
            <v>370</v>
          </cell>
        </row>
        <row r="340">
          <cell r="A340" t="str">
            <v>11.</v>
          </cell>
          <cell r="B340" t="str">
            <v>밸브류</v>
          </cell>
        </row>
        <row r="341">
          <cell r="A341" t="str">
            <v>11-1</v>
          </cell>
          <cell r="B341" t="str">
            <v>버터플라이밸브</v>
          </cell>
          <cell r="D341" t="str">
            <v>100A</v>
          </cell>
          <cell r="E341" t="str">
            <v>개</v>
          </cell>
          <cell r="J341">
            <v>114700</v>
          </cell>
          <cell r="K341">
            <v>611</v>
          </cell>
          <cell r="L341">
            <v>114700</v>
          </cell>
        </row>
        <row r="342">
          <cell r="A342" t="str">
            <v>11-2</v>
          </cell>
          <cell r="B342" t="str">
            <v>버터플라이밸브</v>
          </cell>
          <cell r="D342" t="str">
            <v>150A</v>
          </cell>
          <cell r="E342" t="str">
            <v>개</v>
          </cell>
          <cell r="J342">
            <v>214200</v>
          </cell>
          <cell r="K342">
            <v>611</v>
          </cell>
          <cell r="L342">
            <v>214200</v>
          </cell>
        </row>
        <row r="343">
          <cell r="A343" t="str">
            <v>11-3</v>
          </cell>
          <cell r="B343" t="str">
            <v>체크밸브</v>
          </cell>
          <cell r="D343" t="str">
            <v>25A</v>
          </cell>
          <cell r="E343" t="str">
            <v>개</v>
          </cell>
          <cell r="J343">
            <v>24800</v>
          </cell>
          <cell r="K343">
            <v>594</v>
          </cell>
          <cell r="L343">
            <v>24800</v>
          </cell>
        </row>
        <row r="344">
          <cell r="A344" t="str">
            <v>11-4</v>
          </cell>
          <cell r="B344" t="str">
            <v>체크밸브</v>
          </cell>
          <cell r="D344" t="str">
            <v>32A</v>
          </cell>
          <cell r="E344" t="str">
            <v>개</v>
          </cell>
          <cell r="J344">
            <v>31000</v>
          </cell>
          <cell r="K344">
            <v>594</v>
          </cell>
          <cell r="L344">
            <v>31000</v>
          </cell>
        </row>
        <row r="345">
          <cell r="A345" t="str">
            <v>11-5</v>
          </cell>
          <cell r="B345" t="str">
            <v>체크밸브</v>
          </cell>
          <cell r="D345" t="str">
            <v>50A</v>
          </cell>
          <cell r="E345" t="str">
            <v>개</v>
          </cell>
          <cell r="J345">
            <v>59400</v>
          </cell>
          <cell r="K345">
            <v>594</v>
          </cell>
          <cell r="L345">
            <v>59400</v>
          </cell>
        </row>
        <row r="346">
          <cell r="A346" t="str">
            <v>11-6</v>
          </cell>
          <cell r="B346" t="str">
            <v>체크밸브</v>
          </cell>
          <cell r="D346" t="str">
            <v>100A</v>
          </cell>
          <cell r="E346" t="str">
            <v>개</v>
          </cell>
          <cell r="J346">
            <v>123000</v>
          </cell>
          <cell r="K346">
            <v>595</v>
          </cell>
          <cell r="L346">
            <v>123000</v>
          </cell>
        </row>
        <row r="347">
          <cell r="A347" t="str">
            <v>11-7</v>
          </cell>
          <cell r="B347" t="str">
            <v>글로브밸브</v>
          </cell>
          <cell r="D347" t="str">
            <v>15A</v>
          </cell>
          <cell r="E347" t="str">
            <v>개</v>
          </cell>
          <cell r="J347">
            <v>4110</v>
          </cell>
          <cell r="K347">
            <v>594</v>
          </cell>
          <cell r="L347">
            <v>4110</v>
          </cell>
        </row>
        <row r="348">
          <cell r="A348" t="str">
            <v>11-8</v>
          </cell>
          <cell r="B348" t="str">
            <v>글로브밸브</v>
          </cell>
          <cell r="D348" t="str">
            <v>20A</v>
          </cell>
          <cell r="E348" t="str">
            <v>개</v>
          </cell>
          <cell r="J348">
            <v>6500</v>
          </cell>
          <cell r="K348">
            <v>594</v>
          </cell>
          <cell r="L348">
            <v>6500</v>
          </cell>
        </row>
        <row r="349">
          <cell r="A349" t="str">
            <v>11-9</v>
          </cell>
          <cell r="B349" t="str">
            <v>글로브밸브</v>
          </cell>
          <cell r="D349" t="str">
            <v>32A</v>
          </cell>
          <cell r="E349" t="str">
            <v>개</v>
          </cell>
          <cell r="J349">
            <v>14030</v>
          </cell>
          <cell r="K349">
            <v>594</v>
          </cell>
          <cell r="L349">
            <v>14030</v>
          </cell>
        </row>
        <row r="350">
          <cell r="A350" t="str">
            <v>11-10</v>
          </cell>
          <cell r="B350" t="str">
            <v>글로브밸브</v>
          </cell>
          <cell r="D350" t="str">
            <v>40A</v>
          </cell>
          <cell r="E350" t="str">
            <v>개</v>
          </cell>
          <cell r="J350">
            <v>17340</v>
          </cell>
          <cell r="K350">
            <v>594</v>
          </cell>
          <cell r="L350">
            <v>17340</v>
          </cell>
        </row>
        <row r="351">
          <cell r="A351" t="str">
            <v>11-11</v>
          </cell>
          <cell r="B351" t="str">
            <v>글로브밸브</v>
          </cell>
          <cell r="D351" t="str">
            <v>50A</v>
          </cell>
          <cell r="E351" t="str">
            <v>개</v>
          </cell>
          <cell r="J351">
            <v>26270</v>
          </cell>
          <cell r="K351">
            <v>594</v>
          </cell>
          <cell r="L351">
            <v>26270</v>
          </cell>
        </row>
        <row r="352">
          <cell r="A352" t="str">
            <v>11-12</v>
          </cell>
          <cell r="B352" t="str">
            <v>볼밸브</v>
          </cell>
          <cell r="D352" t="str">
            <v>15A</v>
          </cell>
          <cell r="E352" t="str">
            <v>개</v>
          </cell>
          <cell r="J352">
            <v>2430</v>
          </cell>
          <cell r="K352">
            <v>596</v>
          </cell>
          <cell r="L352">
            <v>2430</v>
          </cell>
        </row>
        <row r="353">
          <cell r="A353" t="str">
            <v>11-13</v>
          </cell>
          <cell r="B353" t="str">
            <v>볼밸브</v>
          </cell>
          <cell r="D353" t="str">
            <v>50A</v>
          </cell>
          <cell r="E353" t="str">
            <v>개</v>
          </cell>
          <cell r="J353">
            <v>43070</v>
          </cell>
          <cell r="K353">
            <v>596</v>
          </cell>
          <cell r="L353">
            <v>43070</v>
          </cell>
        </row>
        <row r="354">
          <cell r="A354" t="str">
            <v>11-14</v>
          </cell>
          <cell r="B354" t="str">
            <v>볼밸브</v>
          </cell>
          <cell r="D354" t="str">
            <v>65A</v>
          </cell>
          <cell r="E354" t="str">
            <v>개</v>
          </cell>
          <cell r="J354">
            <v>52560</v>
          </cell>
          <cell r="K354">
            <v>596</v>
          </cell>
          <cell r="L354">
            <v>52560</v>
          </cell>
        </row>
        <row r="355">
          <cell r="A355" t="str">
            <v>11-15</v>
          </cell>
          <cell r="B355" t="str">
            <v>게이트밸브</v>
          </cell>
          <cell r="D355" t="str">
            <v>15A</v>
          </cell>
          <cell r="E355" t="str">
            <v>개</v>
          </cell>
          <cell r="J355">
            <v>4610</v>
          </cell>
          <cell r="K355">
            <v>594</v>
          </cell>
          <cell r="L355">
            <v>4610</v>
          </cell>
        </row>
        <row r="356">
          <cell r="A356" t="str">
            <v>11-16</v>
          </cell>
          <cell r="B356" t="str">
            <v>게이트밸브</v>
          </cell>
          <cell r="D356" t="str">
            <v>20A</v>
          </cell>
          <cell r="E356" t="str">
            <v>개</v>
          </cell>
          <cell r="J356">
            <v>6620</v>
          </cell>
          <cell r="K356">
            <v>594</v>
          </cell>
          <cell r="L356">
            <v>6620</v>
          </cell>
        </row>
        <row r="357">
          <cell r="A357" t="str">
            <v>11-17</v>
          </cell>
          <cell r="B357" t="str">
            <v>게이트밸브</v>
          </cell>
          <cell r="D357" t="str">
            <v>25A</v>
          </cell>
          <cell r="E357" t="str">
            <v>개</v>
          </cell>
          <cell r="J357">
            <v>10100</v>
          </cell>
          <cell r="K357">
            <v>594</v>
          </cell>
          <cell r="L357">
            <v>10100</v>
          </cell>
        </row>
        <row r="358">
          <cell r="A358" t="str">
            <v>11-18</v>
          </cell>
          <cell r="B358" t="str">
            <v>게이트밸브</v>
          </cell>
          <cell r="D358" t="str">
            <v>50A</v>
          </cell>
          <cell r="E358" t="str">
            <v>개</v>
          </cell>
          <cell r="J358">
            <v>29690</v>
          </cell>
          <cell r="K358">
            <v>594</v>
          </cell>
          <cell r="L358">
            <v>29690</v>
          </cell>
        </row>
        <row r="359">
          <cell r="A359" t="str">
            <v>11-19</v>
          </cell>
          <cell r="B359" t="str">
            <v>게이트밸브</v>
          </cell>
          <cell r="D359" t="str">
            <v>200A</v>
          </cell>
          <cell r="E359" t="str">
            <v>개</v>
          </cell>
          <cell r="J359">
            <v>244200</v>
          </cell>
          <cell r="K359">
            <v>595</v>
          </cell>
          <cell r="L359">
            <v>244200</v>
          </cell>
        </row>
        <row r="361">
          <cell r="A361" t="str">
            <v>12.</v>
          </cell>
          <cell r="B361" t="str">
            <v>기타류</v>
          </cell>
        </row>
        <row r="362">
          <cell r="A362" t="str">
            <v>12-1</v>
          </cell>
          <cell r="B362" t="str">
            <v xml:space="preserve"> 모 래</v>
          </cell>
          <cell r="C362" t="str">
            <v>(Sand Blast)</v>
          </cell>
          <cell r="D362" t="str">
            <v>규사함유80%</v>
          </cell>
          <cell r="E362" t="str">
            <v>㎥</v>
          </cell>
          <cell r="J362">
            <v>16000</v>
          </cell>
          <cell r="K362">
            <v>111</v>
          </cell>
          <cell r="L362">
            <v>16000</v>
          </cell>
        </row>
        <row r="363">
          <cell r="A363" t="str">
            <v>12-2</v>
          </cell>
          <cell r="B363" t="str">
            <v xml:space="preserve"> 용접봉</v>
          </cell>
          <cell r="C363" t="str">
            <v>KSE4301, CS용</v>
          </cell>
          <cell r="D363" t="str">
            <v>Φ3.2</v>
          </cell>
          <cell r="E363" t="str">
            <v>kg</v>
          </cell>
          <cell r="J363">
            <v>1220</v>
          </cell>
          <cell r="K363">
            <v>1095</v>
          </cell>
          <cell r="L363">
            <v>1220</v>
          </cell>
        </row>
        <row r="364">
          <cell r="A364" t="str">
            <v>12-3</v>
          </cell>
          <cell r="B364" t="str">
            <v xml:space="preserve"> 용접봉</v>
          </cell>
          <cell r="C364" t="str">
            <v>KSD7016, CS용</v>
          </cell>
          <cell r="D364" t="str">
            <v>Φ3.2</v>
          </cell>
          <cell r="E364" t="str">
            <v>kg</v>
          </cell>
          <cell r="J364">
            <v>1220</v>
          </cell>
          <cell r="K364">
            <v>1095</v>
          </cell>
          <cell r="L364">
            <v>1220</v>
          </cell>
        </row>
        <row r="365">
          <cell r="A365" t="str">
            <v>12-4</v>
          </cell>
          <cell r="B365" t="str">
            <v xml:space="preserve"> 용접봉</v>
          </cell>
          <cell r="C365" t="str">
            <v>KSD308-16, STS용</v>
          </cell>
          <cell r="D365" t="str">
            <v>Φ3.2</v>
          </cell>
          <cell r="E365" t="str">
            <v>kg</v>
          </cell>
          <cell r="J365">
            <v>1220</v>
          </cell>
          <cell r="K365">
            <v>1095</v>
          </cell>
          <cell r="L365">
            <v>1220</v>
          </cell>
        </row>
        <row r="366">
          <cell r="A366" t="str">
            <v>12-5</v>
          </cell>
          <cell r="B366" t="str">
            <v xml:space="preserve"> 산 소</v>
          </cell>
          <cell r="C366" t="str">
            <v/>
          </cell>
          <cell r="E366" t="str">
            <v>ℓ</v>
          </cell>
          <cell r="J366">
            <v>1.75</v>
          </cell>
          <cell r="K366">
            <v>1175</v>
          </cell>
          <cell r="L366">
            <v>1.75</v>
          </cell>
        </row>
        <row r="367">
          <cell r="A367" t="str">
            <v>12-6</v>
          </cell>
          <cell r="B367" t="str">
            <v xml:space="preserve"> 아세틸렌</v>
          </cell>
          <cell r="C367" t="str">
            <v/>
          </cell>
          <cell r="D367" t="str">
            <v>(1kg=853ℓ)</v>
          </cell>
          <cell r="E367" t="str">
            <v>kg</v>
          </cell>
          <cell r="J367">
            <v>7000</v>
          </cell>
          <cell r="K367">
            <v>1175</v>
          </cell>
          <cell r="L367">
            <v>7000</v>
          </cell>
        </row>
        <row r="368">
          <cell r="A368" t="str">
            <v>12-7</v>
          </cell>
          <cell r="B368" t="str">
            <v xml:space="preserve"> 연마지</v>
          </cell>
          <cell r="C368" t="str">
            <v>150∼800＃</v>
          </cell>
          <cell r="E368" t="str">
            <v>매</v>
          </cell>
          <cell r="J368">
            <v>180</v>
          </cell>
          <cell r="K368">
            <v>1126</v>
          </cell>
          <cell r="L368">
            <v>180</v>
          </cell>
        </row>
        <row r="369">
          <cell r="A369" t="str">
            <v>12-8</v>
          </cell>
          <cell r="B369" t="str">
            <v xml:space="preserve"> 녹막이페인트</v>
          </cell>
          <cell r="C369" t="str">
            <v>KSM5311  1종</v>
          </cell>
          <cell r="E369" t="str">
            <v>ℓ</v>
          </cell>
          <cell r="J369">
            <v>8275</v>
          </cell>
          <cell r="K369">
            <v>427</v>
          </cell>
          <cell r="L369">
            <v>8275</v>
          </cell>
        </row>
        <row r="370">
          <cell r="A370" t="str">
            <v>12-9</v>
          </cell>
          <cell r="B370" t="str">
            <v xml:space="preserve"> 조합페인트</v>
          </cell>
          <cell r="C370" t="str">
            <v>KSM5312  1급</v>
          </cell>
          <cell r="E370" t="str">
            <v>ℓ</v>
          </cell>
          <cell r="J370">
            <v>4875</v>
          </cell>
          <cell r="K370">
            <v>427</v>
          </cell>
          <cell r="L370">
            <v>4875</v>
          </cell>
        </row>
        <row r="371">
          <cell r="A371" t="str">
            <v>12-10</v>
          </cell>
          <cell r="B371" t="str">
            <v xml:space="preserve"> 철 선</v>
          </cell>
          <cell r="C371" t="str">
            <v>＃22, Φ0.7</v>
          </cell>
          <cell r="D371" t="str">
            <v>331.3m/kg</v>
          </cell>
          <cell r="E371" t="str">
            <v>kg</v>
          </cell>
          <cell r="J371">
            <v>671</v>
          </cell>
          <cell r="K371">
            <v>66</v>
          </cell>
          <cell r="L371">
            <v>671</v>
          </cell>
        </row>
        <row r="372">
          <cell r="A372" t="str">
            <v>12-11</v>
          </cell>
          <cell r="B372" t="str">
            <v>압력게이지</v>
          </cell>
          <cell r="C372" t="str">
            <v>150∼250kgf/cm2</v>
          </cell>
          <cell r="E372" t="str">
            <v>EA</v>
          </cell>
          <cell r="J372">
            <v>5900</v>
          </cell>
          <cell r="K372">
            <v>619</v>
          </cell>
          <cell r="L372">
            <v>5900</v>
          </cell>
        </row>
        <row r="373">
          <cell r="A373" t="str">
            <v>12-12</v>
          </cell>
          <cell r="B373" t="str">
            <v>Ex-Metal</v>
          </cell>
          <cell r="C373" t="str">
            <v>XS 32</v>
          </cell>
          <cell r="D373" t="str">
            <v>12×30.5×1.6</v>
          </cell>
          <cell r="E373" t="str">
            <v>매</v>
          </cell>
          <cell r="J373">
            <v>9200</v>
          </cell>
          <cell r="K373">
            <v>101</v>
          </cell>
          <cell r="L373">
            <v>9200</v>
          </cell>
        </row>
        <row r="374">
          <cell r="A374" t="str">
            <v>12-13</v>
          </cell>
          <cell r="B374" t="str">
            <v>스틸 그레이팅</v>
          </cell>
          <cell r="C374" t="str">
            <v>I-25×5×3</v>
          </cell>
          <cell r="E374" t="str">
            <v>㎡</v>
          </cell>
          <cell r="J374">
            <v>36000</v>
          </cell>
          <cell r="K374">
            <v>187</v>
          </cell>
          <cell r="L374">
            <v>36000</v>
          </cell>
        </row>
      </sheetData>
      <sheetData sheetId="1" refreshError="1"/>
      <sheetData sheetId="2" refreshError="1"/>
      <sheetData sheetId="3" refreshError="1"/>
      <sheetData sheetId="4" refreshError="1"/>
      <sheetData sheetId="5" refreshError="1">
        <row r="3">
          <cell r="AE3">
            <v>1</v>
          </cell>
          <cell r="AG3" t="str">
            <v>갱부</v>
          </cell>
          <cell r="AI3">
            <v>51318</v>
          </cell>
        </row>
        <row r="4">
          <cell r="AE4" t="str">
            <v>*</v>
          </cell>
          <cell r="AG4" t="str">
            <v>도목수</v>
          </cell>
          <cell r="AI4" t="str">
            <v>-</v>
          </cell>
        </row>
        <row r="5">
          <cell r="AE5">
            <v>2</v>
          </cell>
          <cell r="AG5" t="str">
            <v>건축목공</v>
          </cell>
          <cell r="AI5">
            <v>60176</v>
          </cell>
        </row>
        <row r="6">
          <cell r="AE6">
            <v>3</v>
          </cell>
          <cell r="AG6" t="str">
            <v>형틀목공</v>
          </cell>
          <cell r="AI6">
            <v>61483</v>
          </cell>
        </row>
        <row r="7">
          <cell r="AE7">
            <v>4</v>
          </cell>
          <cell r="AG7" t="str">
            <v>창호목공</v>
          </cell>
          <cell r="AI7">
            <v>51776</v>
          </cell>
        </row>
        <row r="8">
          <cell r="AE8">
            <v>5</v>
          </cell>
          <cell r="AG8" t="str">
            <v>철골공</v>
          </cell>
          <cell r="AI8">
            <v>64454</v>
          </cell>
        </row>
        <row r="9">
          <cell r="AE9">
            <v>6</v>
          </cell>
          <cell r="AG9" t="str">
            <v>철공</v>
          </cell>
          <cell r="AI9">
            <v>63441</v>
          </cell>
        </row>
        <row r="10">
          <cell r="AE10">
            <v>7</v>
          </cell>
          <cell r="AG10" t="str">
            <v>철근공</v>
          </cell>
          <cell r="AI10">
            <v>63607</v>
          </cell>
        </row>
        <row r="11">
          <cell r="AE11">
            <v>8</v>
          </cell>
          <cell r="AG11" t="str">
            <v>철판공</v>
          </cell>
          <cell r="AI11">
            <v>58465</v>
          </cell>
        </row>
        <row r="12">
          <cell r="AE12" t="str">
            <v>*</v>
          </cell>
          <cell r="AG12" t="str">
            <v>셧터공</v>
          </cell>
          <cell r="AI12">
            <v>56652</v>
          </cell>
        </row>
        <row r="13">
          <cell r="AE13">
            <v>9</v>
          </cell>
          <cell r="AG13" t="str">
            <v>샷시공</v>
          </cell>
          <cell r="AI13">
            <v>56652</v>
          </cell>
        </row>
        <row r="14">
          <cell r="AE14">
            <v>10</v>
          </cell>
          <cell r="AG14" t="str">
            <v>절단공</v>
          </cell>
          <cell r="AI14">
            <v>61395</v>
          </cell>
        </row>
        <row r="15">
          <cell r="AE15">
            <v>11</v>
          </cell>
          <cell r="AG15" t="str">
            <v>석공</v>
          </cell>
          <cell r="AI15">
            <v>60879</v>
          </cell>
        </row>
        <row r="16">
          <cell r="AE16">
            <v>12</v>
          </cell>
          <cell r="AG16" t="str">
            <v>특수비계공</v>
          </cell>
          <cell r="AI16">
            <v>66312</v>
          </cell>
        </row>
        <row r="17">
          <cell r="AE17">
            <v>13</v>
          </cell>
          <cell r="AG17" t="str">
            <v>비계공</v>
          </cell>
          <cell r="AI17">
            <v>66149</v>
          </cell>
        </row>
        <row r="18">
          <cell r="AE18">
            <v>14</v>
          </cell>
          <cell r="AG18" t="str">
            <v>동발공(터널)</v>
          </cell>
          <cell r="AI18">
            <v>58938</v>
          </cell>
        </row>
        <row r="19">
          <cell r="AE19">
            <v>15</v>
          </cell>
          <cell r="AG19" t="str">
            <v>조적공</v>
          </cell>
          <cell r="AI19">
            <v>57968</v>
          </cell>
        </row>
        <row r="20">
          <cell r="AE20">
            <v>16</v>
          </cell>
          <cell r="AG20" t="str">
            <v>치장벽돌공</v>
          </cell>
          <cell r="AI20">
            <v>61553</v>
          </cell>
        </row>
        <row r="21">
          <cell r="AE21">
            <v>17</v>
          </cell>
          <cell r="AG21" t="str">
            <v>벽돌(블록)제작공</v>
          </cell>
          <cell r="AI21">
            <v>57286</v>
          </cell>
        </row>
        <row r="22">
          <cell r="AE22" t="str">
            <v>*</v>
          </cell>
          <cell r="AG22" t="str">
            <v>연돌공</v>
          </cell>
          <cell r="AI22">
            <v>57968</v>
          </cell>
        </row>
        <row r="23">
          <cell r="AE23">
            <v>18</v>
          </cell>
          <cell r="AG23" t="str">
            <v>미장공</v>
          </cell>
          <cell r="AI23">
            <v>54467</v>
          </cell>
        </row>
        <row r="24">
          <cell r="AE24">
            <v>19</v>
          </cell>
          <cell r="AG24" t="str">
            <v>방수공</v>
          </cell>
          <cell r="AI24">
            <v>49062</v>
          </cell>
        </row>
        <row r="25">
          <cell r="AE25">
            <v>20</v>
          </cell>
          <cell r="AG25" t="str">
            <v>타일공</v>
          </cell>
          <cell r="AI25">
            <v>56533</v>
          </cell>
        </row>
        <row r="26">
          <cell r="AE26">
            <v>21</v>
          </cell>
          <cell r="AG26" t="str">
            <v>줄눈공</v>
          </cell>
          <cell r="AI26">
            <v>52633</v>
          </cell>
        </row>
        <row r="27">
          <cell r="AE27">
            <v>22</v>
          </cell>
          <cell r="AG27" t="str">
            <v>연마공</v>
          </cell>
          <cell r="AI27">
            <v>56884</v>
          </cell>
        </row>
        <row r="28">
          <cell r="AE28">
            <v>23</v>
          </cell>
          <cell r="AG28" t="str">
            <v>콘크리트공</v>
          </cell>
          <cell r="AI28">
            <v>62281</v>
          </cell>
        </row>
        <row r="29">
          <cell r="AE29" t="str">
            <v>*</v>
          </cell>
          <cell r="AG29" t="str">
            <v>바이브레타공</v>
          </cell>
          <cell r="AI29">
            <v>62281</v>
          </cell>
        </row>
        <row r="30">
          <cell r="AE30" t="str">
            <v>*</v>
          </cell>
          <cell r="AG30" t="str">
            <v>콘크리트공(광의)</v>
          </cell>
          <cell r="AI30">
            <v>62281</v>
          </cell>
        </row>
        <row r="31">
          <cell r="AE31">
            <v>24</v>
          </cell>
          <cell r="AG31" t="str">
            <v>보일러공</v>
          </cell>
          <cell r="AI31">
            <v>46165</v>
          </cell>
        </row>
        <row r="32">
          <cell r="AE32">
            <v>25</v>
          </cell>
          <cell r="AG32" t="str">
            <v>배관공</v>
          </cell>
          <cell r="AI32">
            <v>47537</v>
          </cell>
        </row>
        <row r="33">
          <cell r="AE33" t="str">
            <v>*</v>
          </cell>
          <cell r="AG33" t="str">
            <v>온돌공</v>
          </cell>
          <cell r="AI33">
            <v>54467</v>
          </cell>
        </row>
        <row r="34">
          <cell r="AE34">
            <v>26</v>
          </cell>
          <cell r="AG34" t="str">
            <v>위생공</v>
          </cell>
          <cell r="AI34">
            <v>49691</v>
          </cell>
        </row>
        <row r="35">
          <cell r="AE35">
            <v>27</v>
          </cell>
          <cell r="AG35" t="str">
            <v>보온공</v>
          </cell>
          <cell r="AI35">
            <v>51700</v>
          </cell>
        </row>
        <row r="36">
          <cell r="AE36">
            <v>28</v>
          </cell>
          <cell r="AG36" t="str">
            <v>도장공</v>
          </cell>
          <cell r="AI36">
            <v>53370</v>
          </cell>
        </row>
        <row r="37">
          <cell r="AE37">
            <v>29</v>
          </cell>
          <cell r="AG37" t="str">
            <v>내장공</v>
          </cell>
          <cell r="AI37">
            <v>53250</v>
          </cell>
        </row>
        <row r="38">
          <cell r="AE38">
            <v>30</v>
          </cell>
          <cell r="AG38" t="str">
            <v>도배공</v>
          </cell>
          <cell r="AI38">
            <v>53277</v>
          </cell>
        </row>
        <row r="39">
          <cell r="AE39" t="str">
            <v>*</v>
          </cell>
          <cell r="AG39" t="str">
            <v>아스타일공</v>
          </cell>
          <cell r="AI39">
            <v>56533</v>
          </cell>
        </row>
        <row r="40">
          <cell r="AE40" t="str">
            <v>*</v>
          </cell>
          <cell r="AG40" t="str">
            <v>기와공</v>
          </cell>
          <cell r="AI40">
            <v>67057</v>
          </cell>
        </row>
        <row r="41">
          <cell r="AE41" t="str">
            <v>*</v>
          </cell>
          <cell r="AG41" t="str">
            <v>슬레이트공</v>
          </cell>
          <cell r="AI41">
            <v>67057</v>
          </cell>
        </row>
        <row r="42">
          <cell r="AE42">
            <v>31</v>
          </cell>
          <cell r="AG42" t="str">
            <v>지붕잇기공</v>
          </cell>
          <cell r="AI42">
            <v>67057</v>
          </cell>
        </row>
        <row r="43">
          <cell r="AE43">
            <v>32</v>
          </cell>
          <cell r="AG43" t="str">
            <v>견출공</v>
          </cell>
          <cell r="AI43">
            <v>55628</v>
          </cell>
        </row>
        <row r="44">
          <cell r="AE44">
            <v>33</v>
          </cell>
          <cell r="AG44" t="str">
            <v>판넬조립공</v>
          </cell>
          <cell r="AI44">
            <v>58823</v>
          </cell>
        </row>
        <row r="45">
          <cell r="AE45">
            <v>34</v>
          </cell>
          <cell r="AG45" t="str">
            <v>화약취급공</v>
          </cell>
          <cell r="AI45">
            <v>70920</v>
          </cell>
        </row>
        <row r="46">
          <cell r="AE46">
            <v>35</v>
          </cell>
          <cell r="AG46" t="str">
            <v>착암공</v>
          </cell>
          <cell r="AI46">
            <v>52818</v>
          </cell>
        </row>
        <row r="47">
          <cell r="AE47">
            <v>36</v>
          </cell>
          <cell r="AG47" t="str">
            <v>보안공</v>
          </cell>
          <cell r="AI47">
            <v>41597</v>
          </cell>
        </row>
        <row r="48">
          <cell r="AE48">
            <v>37</v>
          </cell>
          <cell r="AG48" t="str">
            <v>포장공</v>
          </cell>
          <cell r="AI48">
            <v>63929</v>
          </cell>
        </row>
        <row r="49">
          <cell r="AE49">
            <v>38</v>
          </cell>
          <cell r="AG49" t="str">
            <v>포설공</v>
          </cell>
          <cell r="AI49">
            <v>55613</v>
          </cell>
        </row>
        <row r="50">
          <cell r="AE50">
            <v>39</v>
          </cell>
          <cell r="AG50" t="str">
            <v>궤도공</v>
          </cell>
          <cell r="AI50">
            <v>58339</v>
          </cell>
        </row>
        <row r="51">
          <cell r="AE51">
            <v>40</v>
          </cell>
          <cell r="AG51" t="str">
            <v>용접공(철도)</v>
          </cell>
          <cell r="AI51">
            <v>58398</v>
          </cell>
        </row>
        <row r="52">
          <cell r="AE52">
            <v>41</v>
          </cell>
          <cell r="AG52" t="str">
            <v>잠수부</v>
          </cell>
          <cell r="AI52">
            <v>85405</v>
          </cell>
        </row>
        <row r="53">
          <cell r="AE53" t="str">
            <v>*</v>
          </cell>
          <cell r="AG53" t="str">
            <v>잠함공</v>
          </cell>
          <cell r="AI53" t="str">
            <v>-</v>
          </cell>
        </row>
        <row r="54">
          <cell r="AE54">
            <v>42</v>
          </cell>
          <cell r="AG54" t="str">
            <v>보링공(지질조사)</v>
          </cell>
          <cell r="AI54">
            <v>48651</v>
          </cell>
        </row>
        <row r="55">
          <cell r="AE55" t="str">
            <v>*</v>
          </cell>
          <cell r="AG55" t="str">
            <v>우물공</v>
          </cell>
          <cell r="AI55">
            <v>48651</v>
          </cell>
        </row>
        <row r="56">
          <cell r="AE56" t="str">
            <v>*</v>
          </cell>
          <cell r="AG56" t="str">
            <v>영림기사</v>
          </cell>
          <cell r="AI56" t="str">
            <v>-</v>
          </cell>
        </row>
        <row r="57">
          <cell r="AE57">
            <v>43</v>
          </cell>
          <cell r="AG57" t="str">
            <v>조경공</v>
          </cell>
          <cell r="AI57">
            <v>51756</v>
          </cell>
        </row>
        <row r="58">
          <cell r="AE58">
            <v>44</v>
          </cell>
          <cell r="AG58" t="str">
            <v>벌목부</v>
          </cell>
          <cell r="AI58">
            <v>60289</v>
          </cell>
        </row>
        <row r="59">
          <cell r="AE59">
            <v>45</v>
          </cell>
          <cell r="AG59" t="str">
            <v>조림인부</v>
          </cell>
          <cell r="AI59">
            <v>44577</v>
          </cell>
        </row>
        <row r="60">
          <cell r="AE60">
            <v>46</v>
          </cell>
          <cell r="AG60" t="str">
            <v>플랜트기계설치공</v>
          </cell>
          <cell r="AI60">
            <v>65612</v>
          </cell>
        </row>
        <row r="61">
          <cell r="AE61">
            <v>47</v>
          </cell>
          <cell r="AG61" t="str">
            <v>플랜트특수용접공</v>
          </cell>
          <cell r="AI61">
            <v>88272</v>
          </cell>
        </row>
        <row r="62">
          <cell r="AE62">
            <v>48</v>
          </cell>
          <cell r="AG62" t="str">
            <v>플랜트용접공</v>
          </cell>
          <cell r="AI62">
            <v>57021</v>
          </cell>
        </row>
        <row r="63">
          <cell r="AE63">
            <v>49</v>
          </cell>
          <cell r="AG63" t="str">
            <v>플랜트배관공</v>
          </cell>
          <cell r="AI63">
            <v>63995</v>
          </cell>
        </row>
        <row r="64">
          <cell r="AE64">
            <v>50</v>
          </cell>
          <cell r="AG64" t="str">
            <v>플랜트제관공</v>
          </cell>
          <cell r="AI64">
            <v>53914</v>
          </cell>
        </row>
        <row r="65">
          <cell r="AE65">
            <v>51</v>
          </cell>
          <cell r="AG65" t="str">
            <v>시공측량사</v>
          </cell>
          <cell r="AI65">
            <v>50453</v>
          </cell>
        </row>
        <row r="66">
          <cell r="AE66">
            <v>52</v>
          </cell>
          <cell r="AG66" t="str">
            <v>시공측량사조수</v>
          </cell>
          <cell r="AI66">
            <v>34386</v>
          </cell>
        </row>
        <row r="67">
          <cell r="AE67">
            <v>53</v>
          </cell>
          <cell r="AG67" t="str">
            <v>측부</v>
          </cell>
          <cell r="AI67">
            <v>29428</v>
          </cell>
        </row>
        <row r="68">
          <cell r="AE68" t="str">
            <v>*</v>
          </cell>
          <cell r="AG68" t="str">
            <v>검조부</v>
          </cell>
          <cell r="AI68">
            <v>34360</v>
          </cell>
        </row>
        <row r="69">
          <cell r="AE69">
            <v>54</v>
          </cell>
          <cell r="AG69" t="str">
            <v>송전전공</v>
          </cell>
          <cell r="AI69">
            <v>217032</v>
          </cell>
        </row>
        <row r="70">
          <cell r="AE70">
            <v>55</v>
          </cell>
          <cell r="AG70" t="str">
            <v>송전활선전공</v>
          </cell>
          <cell r="AI70">
            <v>238668</v>
          </cell>
        </row>
        <row r="71">
          <cell r="AE71">
            <v>56</v>
          </cell>
          <cell r="AG71" t="str">
            <v>배전전공</v>
          </cell>
          <cell r="AI71">
            <v>182333</v>
          </cell>
        </row>
        <row r="72">
          <cell r="AE72">
            <v>57</v>
          </cell>
          <cell r="AG72" t="str">
            <v>배전활선전공</v>
          </cell>
          <cell r="AI72">
            <v>189457</v>
          </cell>
        </row>
        <row r="73">
          <cell r="AE73">
            <v>58</v>
          </cell>
          <cell r="AG73" t="str">
            <v>플랜트전공</v>
          </cell>
          <cell r="AI73">
            <v>53292</v>
          </cell>
        </row>
        <row r="74">
          <cell r="AE74">
            <v>59</v>
          </cell>
          <cell r="AG74" t="str">
            <v>내선전공</v>
          </cell>
          <cell r="AI74">
            <v>49296</v>
          </cell>
        </row>
        <row r="75">
          <cell r="AE75">
            <v>60</v>
          </cell>
          <cell r="AG75" t="str">
            <v>특별고압케이블전공</v>
          </cell>
          <cell r="AI75">
            <v>111738</v>
          </cell>
        </row>
        <row r="76">
          <cell r="AE76">
            <v>61</v>
          </cell>
          <cell r="AG76" t="str">
            <v>고압케이블전공</v>
          </cell>
          <cell r="AI76">
            <v>70455</v>
          </cell>
        </row>
        <row r="77">
          <cell r="AE77">
            <v>62</v>
          </cell>
          <cell r="AG77" t="str">
            <v>저압케이블전공</v>
          </cell>
          <cell r="AI77">
            <v>62694</v>
          </cell>
        </row>
        <row r="78">
          <cell r="AE78">
            <v>63</v>
          </cell>
          <cell r="AG78" t="str">
            <v>철도신호공</v>
          </cell>
          <cell r="AI78">
            <v>86699</v>
          </cell>
        </row>
        <row r="79">
          <cell r="AE79">
            <v>64</v>
          </cell>
          <cell r="AG79" t="str">
            <v>계장공</v>
          </cell>
          <cell r="AI79">
            <v>56174</v>
          </cell>
        </row>
        <row r="80">
          <cell r="AE80">
            <v>65</v>
          </cell>
          <cell r="AG80" t="str">
            <v>통신외선공</v>
          </cell>
          <cell r="AI80">
            <v>80630</v>
          </cell>
        </row>
        <row r="81">
          <cell r="AE81">
            <v>66</v>
          </cell>
          <cell r="AG81" t="str">
            <v>통신설비공</v>
          </cell>
          <cell r="AI81">
            <v>68225</v>
          </cell>
        </row>
        <row r="82">
          <cell r="AE82">
            <v>67</v>
          </cell>
          <cell r="AG82" t="str">
            <v>통신내선공</v>
          </cell>
          <cell r="AI82">
            <v>56623</v>
          </cell>
        </row>
        <row r="83">
          <cell r="AE83">
            <v>68</v>
          </cell>
          <cell r="AG83" t="str">
            <v>통신케이블공</v>
          </cell>
          <cell r="AI83">
            <v>83279</v>
          </cell>
        </row>
        <row r="84">
          <cell r="AE84">
            <v>69</v>
          </cell>
          <cell r="AG84" t="str">
            <v>무선안테나공</v>
          </cell>
          <cell r="AI84">
            <v>96205</v>
          </cell>
        </row>
        <row r="85">
          <cell r="AE85" t="str">
            <v>*</v>
          </cell>
          <cell r="AG85" t="str">
            <v>수작업반장</v>
          </cell>
          <cell r="AI85">
            <v>57379</v>
          </cell>
        </row>
        <row r="86">
          <cell r="AE86">
            <v>70</v>
          </cell>
          <cell r="AG86" t="str">
            <v>작업반장</v>
          </cell>
          <cell r="AI86">
            <v>57379</v>
          </cell>
        </row>
        <row r="87">
          <cell r="AE87">
            <v>71</v>
          </cell>
          <cell r="AG87" t="str">
            <v>목도</v>
          </cell>
          <cell r="AI87">
            <v>61182</v>
          </cell>
        </row>
        <row r="88">
          <cell r="AE88">
            <v>72</v>
          </cell>
          <cell r="AG88" t="str">
            <v>조력공</v>
          </cell>
          <cell r="AI88">
            <v>39572</v>
          </cell>
        </row>
        <row r="89">
          <cell r="AE89">
            <v>73</v>
          </cell>
          <cell r="AG89" t="str">
            <v>특별인부</v>
          </cell>
          <cell r="AI89">
            <v>50160</v>
          </cell>
        </row>
        <row r="90">
          <cell r="AE90">
            <v>74</v>
          </cell>
          <cell r="AG90" t="str">
            <v>보통인부</v>
          </cell>
          <cell r="AI90">
            <v>34360</v>
          </cell>
        </row>
        <row r="91">
          <cell r="AE91">
            <v>75</v>
          </cell>
          <cell r="AG91" t="str">
            <v>건설기계운전기사</v>
          </cell>
          <cell r="AI91">
            <v>56517</v>
          </cell>
        </row>
        <row r="92">
          <cell r="AE92">
            <v>76</v>
          </cell>
          <cell r="AG92" t="str">
            <v>건설기계조장</v>
          </cell>
          <cell r="AI92">
            <v>63589</v>
          </cell>
        </row>
        <row r="93">
          <cell r="AE93">
            <v>77</v>
          </cell>
          <cell r="AG93" t="str">
            <v>운전사(운반차)</v>
          </cell>
          <cell r="AI93">
            <v>53633</v>
          </cell>
        </row>
        <row r="94">
          <cell r="AE94">
            <v>78</v>
          </cell>
          <cell r="AG94" t="str">
            <v>운전사(기계)</v>
          </cell>
          <cell r="AI94">
            <v>47972</v>
          </cell>
        </row>
        <row r="95">
          <cell r="AE95">
            <v>79</v>
          </cell>
          <cell r="AG95" t="str">
            <v>건설기계운전조수</v>
          </cell>
          <cell r="AI95">
            <v>42524</v>
          </cell>
        </row>
        <row r="96">
          <cell r="AE96">
            <v>80</v>
          </cell>
          <cell r="AG96" t="str">
            <v>고급선원</v>
          </cell>
          <cell r="AI96">
            <v>64343</v>
          </cell>
        </row>
        <row r="97">
          <cell r="AE97">
            <v>81</v>
          </cell>
          <cell r="AG97" t="str">
            <v>보통선원</v>
          </cell>
          <cell r="AI97">
            <v>49156</v>
          </cell>
        </row>
        <row r="98">
          <cell r="AE98">
            <v>82</v>
          </cell>
          <cell r="AG98" t="str">
            <v>선부</v>
          </cell>
          <cell r="AI98">
            <v>38787</v>
          </cell>
        </row>
        <row r="99">
          <cell r="AE99">
            <v>83</v>
          </cell>
          <cell r="AG99" t="str">
            <v>준설선선장</v>
          </cell>
          <cell r="AI99">
            <v>79639</v>
          </cell>
        </row>
        <row r="100">
          <cell r="AE100">
            <v>84</v>
          </cell>
          <cell r="AG100" t="str">
            <v>준설선기관장</v>
          </cell>
          <cell r="AI100">
            <v>78016</v>
          </cell>
        </row>
        <row r="101">
          <cell r="AE101">
            <v>85</v>
          </cell>
          <cell r="AG101" t="str">
            <v>준설선기관사</v>
          </cell>
          <cell r="AI101">
            <v>64781</v>
          </cell>
        </row>
        <row r="102">
          <cell r="AE102">
            <v>86</v>
          </cell>
          <cell r="AG102" t="str">
            <v>준설선운전사</v>
          </cell>
          <cell r="AI102">
            <v>61555</v>
          </cell>
        </row>
        <row r="103">
          <cell r="AE103">
            <v>87</v>
          </cell>
          <cell r="AG103" t="str">
            <v>준설선전기사</v>
          </cell>
          <cell r="AI103">
            <v>58341</v>
          </cell>
        </row>
        <row r="104">
          <cell r="AE104">
            <v>88</v>
          </cell>
          <cell r="AG104" t="str">
            <v>기계설치공</v>
          </cell>
          <cell r="AI104">
            <v>52839</v>
          </cell>
        </row>
        <row r="105">
          <cell r="AE105">
            <v>89</v>
          </cell>
          <cell r="AG105" t="str">
            <v>기계공</v>
          </cell>
          <cell r="AI105">
            <v>46967</v>
          </cell>
        </row>
        <row r="106">
          <cell r="AE106" t="str">
            <v>*</v>
          </cell>
          <cell r="AG106" t="str">
            <v>선반공</v>
          </cell>
          <cell r="AI106" t="str">
            <v>-</v>
          </cell>
        </row>
        <row r="107">
          <cell r="AE107" t="str">
            <v>*</v>
          </cell>
          <cell r="AG107" t="str">
            <v>정비공</v>
          </cell>
          <cell r="AI107" t="str">
            <v>-</v>
          </cell>
        </row>
        <row r="108">
          <cell r="AE108" t="str">
            <v>*</v>
          </cell>
          <cell r="AG108" t="str">
            <v>벨트콘베이어작업공</v>
          </cell>
          <cell r="AI108" t="str">
            <v>-</v>
          </cell>
        </row>
        <row r="109">
          <cell r="AE109">
            <v>90</v>
          </cell>
          <cell r="AG109" t="str">
            <v>현도사</v>
          </cell>
          <cell r="AI109" t="str">
            <v>-</v>
          </cell>
        </row>
        <row r="110">
          <cell r="AE110">
            <v>91</v>
          </cell>
          <cell r="AG110" t="str">
            <v>제도사</v>
          </cell>
          <cell r="AI110">
            <v>49792</v>
          </cell>
        </row>
        <row r="111">
          <cell r="AE111">
            <v>92</v>
          </cell>
          <cell r="AG111" t="str">
            <v>시험사1급</v>
          </cell>
          <cell r="AI111">
            <v>54542</v>
          </cell>
        </row>
        <row r="112">
          <cell r="AE112">
            <v>93</v>
          </cell>
          <cell r="AG112" t="str">
            <v>시험사2급</v>
          </cell>
          <cell r="AI112">
            <v>42241</v>
          </cell>
        </row>
        <row r="113">
          <cell r="AE113" t="str">
            <v>*</v>
          </cell>
          <cell r="AG113" t="str">
            <v>시험사3급</v>
          </cell>
          <cell r="AI113" t="str">
            <v>-</v>
          </cell>
        </row>
        <row r="114">
          <cell r="AE114" t="str">
            <v>*</v>
          </cell>
          <cell r="AG114" t="str">
            <v>시험사4급</v>
          </cell>
          <cell r="AI114" t="str">
            <v>-</v>
          </cell>
        </row>
        <row r="115">
          <cell r="AE115">
            <v>94</v>
          </cell>
          <cell r="AG115" t="str">
            <v>시험보조수</v>
          </cell>
          <cell r="AI115">
            <v>31443</v>
          </cell>
        </row>
        <row r="116">
          <cell r="AE116">
            <v>95</v>
          </cell>
          <cell r="AG116" t="str">
            <v>유리공</v>
          </cell>
          <cell r="AI116">
            <v>56548</v>
          </cell>
        </row>
        <row r="117">
          <cell r="AE117">
            <v>96</v>
          </cell>
          <cell r="AG117" t="str">
            <v>함석공</v>
          </cell>
          <cell r="AI117">
            <v>60537</v>
          </cell>
        </row>
        <row r="118">
          <cell r="AE118">
            <v>97</v>
          </cell>
          <cell r="AG118" t="str">
            <v>용접공(일반)</v>
          </cell>
          <cell r="AI118">
            <v>59048</v>
          </cell>
        </row>
        <row r="119">
          <cell r="AE119" t="str">
            <v>*</v>
          </cell>
          <cell r="AG119" t="str">
            <v>리벳공</v>
          </cell>
          <cell r="AI119">
            <v>64454</v>
          </cell>
        </row>
        <row r="120">
          <cell r="AE120" t="str">
            <v>*</v>
          </cell>
          <cell r="AG120" t="str">
            <v>루핑공</v>
          </cell>
          <cell r="AI120">
            <v>49062</v>
          </cell>
        </row>
        <row r="121">
          <cell r="AE121">
            <v>98</v>
          </cell>
          <cell r="AG121" t="str">
            <v>닥트공</v>
          </cell>
          <cell r="AI121">
            <v>47860</v>
          </cell>
        </row>
        <row r="122">
          <cell r="AE122" t="str">
            <v>*</v>
          </cell>
          <cell r="AG122" t="str">
            <v>대장공</v>
          </cell>
          <cell r="AI122" t="str">
            <v>-</v>
          </cell>
        </row>
        <row r="123">
          <cell r="AE123">
            <v>99</v>
          </cell>
          <cell r="AG123" t="str">
            <v>할석공</v>
          </cell>
          <cell r="AI123">
            <v>65634</v>
          </cell>
        </row>
        <row r="124">
          <cell r="AE124">
            <v>100</v>
          </cell>
          <cell r="AG124" t="str">
            <v>제철축로공</v>
          </cell>
          <cell r="AI124">
            <v>92241</v>
          </cell>
        </row>
        <row r="125">
          <cell r="AE125" t="str">
            <v>*</v>
          </cell>
          <cell r="AG125" t="str">
            <v>양생공</v>
          </cell>
          <cell r="AI125">
            <v>34360</v>
          </cell>
        </row>
        <row r="126">
          <cell r="AE126" t="str">
            <v>*</v>
          </cell>
          <cell r="AG126" t="str">
            <v>계령공</v>
          </cell>
          <cell r="AI126">
            <v>53370</v>
          </cell>
        </row>
        <row r="127">
          <cell r="AE127" t="str">
            <v>*</v>
          </cell>
          <cell r="AG127" t="str">
            <v>모래분사공</v>
          </cell>
          <cell r="AI127">
            <v>53370</v>
          </cell>
        </row>
        <row r="128">
          <cell r="AE128" t="str">
            <v>*</v>
          </cell>
          <cell r="AG128" t="str">
            <v>사공(배포함)</v>
          </cell>
          <cell r="AI128" t="str">
            <v>-</v>
          </cell>
        </row>
        <row r="129">
          <cell r="AE129" t="str">
            <v>*</v>
          </cell>
          <cell r="AG129" t="str">
            <v>마부(우마차포함)</v>
          </cell>
          <cell r="AI129" t="str">
            <v>-</v>
          </cell>
        </row>
        <row r="130">
          <cell r="AE130" t="str">
            <v>*</v>
          </cell>
          <cell r="AG130" t="str">
            <v>제재공</v>
          </cell>
          <cell r="AI130" t="str">
            <v>-</v>
          </cell>
        </row>
        <row r="131">
          <cell r="AE131" t="str">
            <v>*</v>
          </cell>
          <cell r="AG131" t="str">
            <v>철도궤도공</v>
          </cell>
          <cell r="AI131">
            <v>58339</v>
          </cell>
        </row>
        <row r="132">
          <cell r="AE132">
            <v>101</v>
          </cell>
          <cell r="AG132" t="str">
            <v>지적기사1급</v>
          </cell>
          <cell r="AI132">
            <v>88613</v>
          </cell>
        </row>
        <row r="133">
          <cell r="AE133">
            <v>102</v>
          </cell>
          <cell r="AG133" t="str">
            <v>지적기사2급</v>
          </cell>
          <cell r="AI133">
            <v>74075</v>
          </cell>
        </row>
        <row r="134">
          <cell r="AE134">
            <v>103</v>
          </cell>
          <cell r="AG134" t="str">
            <v>지적기능사1급</v>
          </cell>
          <cell r="AI134">
            <v>52771</v>
          </cell>
        </row>
        <row r="135">
          <cell r="AE135">
            <v>104</v>
          </cell>
          <cell r="AG135" t="str">
            <v>지적기능사2급</v>
          </cell>
          <cell r="AI135">
            <v>37466</v>
          </cell>
        </row>
        <row r="136">
          <cell r="AE136">
            <v>0</v>
          </cell>
          <cell r="AG136" t="str">
            <v>광전자통신직종</v>
          </cell>
          <cell r="AI136">
            <v>0</v>
          </cell>
        </row>
        <row r="137">
          <cell r="AE137">
            <v>105</v>
          </cell>
          <cell r="AG137" t="str">
            <v>H/W설치사</v>
          </cell>
          <cell r="AI137">
            <v>83297</v>
          </cell>
        </row>
        <row r="138">
          <cell r="AE138">
            <v>106</v>
          </cell>
          <cell r="AG138" t="str">
            <v>H/W시험사</v>
          </cell>
          <cell r="AI138">
            <v>85165</v>
          </cell>
        </row>
        <row r="139">
          <cell r="AE139">
            <v>107</v>
          </cell>
          <cell r="AG139" t="str">
            <v>S/W시험기사</v>
          </cell>
          <cell r="AI139">
            <v>86583</v>
          </cell>
        </row>
        <row r="140">
          <cell r="AE140">
            <v>108</v>
          </cell>
          <cell r="AG140" t="str">
            <v>CPU시험기사</v>
          </cell>
          <cell r="AI140">
            <v>81182</v>
          </cell>
        </row>
        <row r="141">
          <cell r="AE141">
            <v>109</v>
          </cell>
          <cell r="AG141" t="str">
            <v>광통신기사</v>
          </cell>
          <cell r="AI141">
            <v>108175</v>
          </cell>
        </row>
        <row r="142">
          <cell r="AE142">
            <v>110</v>
          </cell>
          <cell r="AG142" t="str">
            <v>광통신케이블</v>
          </cell>
          <cell r="AI142">
            <v>90147</v>
          </cell>
        </row>
        <row r="143">
          <cell r="AE143">
            <v>0</v>
          </cell>
          <cell r="AG143" t="str">
            <v>문화재공사직종</v>
          </cell>
          <cell r="AI143">
            <v>0</v>
          </cell>
        </row>
        <row r="144">
          <cell r="AE144">
            <v>111</v>
          </cell>
          <cell r="AG144" t="str">
            <v>도편공</v>
          </cell>
          <cell r="AI144">
            <v>120804</v>
          </cell>
        </row>
        <row r="145">
          <cell r="AE145">
            <v>112</v>
          </cell>
          <cell r="AG145" t="str">
            <v>목조조각공</v>
          </cell>
          <cell r="AI145">
            <v>109226</v>
          </cell>
        </row>
        <row r="146">
          <cell r="AE146">
            <v>113</v>
          </cell>
          <cell r="AG146" t="str">
            <v>한식목공</v>
          </cell>
          <cell r="AI146">
            <v>89987</v>
          </cell>
        </row>
        <row r="147">
          <cell r="AE147">
            <v>114</v>
          </cell>
          <cell r="AG147" t="str">
            <v>한식목조공</v>
          </cell>
          <cell r="AI147">
            <v>73861</v>
          </cell>
        </row>
        <row r="148">
          <cell r="AE148">
            <v>115</v>
          </cell>
          <cell r="AG148" t="str">
            <v>드잡이공</v>
          </cell>
          <cell r="AI148">
            <v>98743</v>
          </cell>
        </row>
        <row r="149">
          <cell r="AE149">
            <v>116</v>
          </cell>
          <cell r="AG149" t="str">
            <v>한식와공</v>
          </cell>
          <cell r="AI149">
            <v>144566</v>
          </cell>
        </row>
        <row r="150">
          <cell r="AE150">
            <v>117</v>
          </cell>
          <cell r="AG150" t="str">
            <v>한식와조공</v>
          </cell>
          <cell r="AI150">
            <v>98830</v>
          </cell>
        </row>
        <row r="151">
          <cell r="AE151">
            <v>118</v>
          </cell>
          <cell r="AG151" t="str">
            <v>석조각공</v>
          </cell>
          <cell r="AI151">
            <v>98323</v>
          </cell>
        </row>
        <row r="152">
          <cell r="AE152">
            <v>119</v>
          </cell>
          <cell r="AG152" t="str">
            <v>특수화공</v>
          </cell>
          <cell r="AI152">
            <v>130909</v>
          </cell>
        </row>
        <row r="153">
          <cell r="AE153">
            <v>120</v>
          </cell>
          <cell r="AG153" t="str">
            <v>화공</v>
          </cell>
          <cell r="AI153">
            <v>98506</v>
          </cell>
        </row>
        <row r="154">
          <cell r="AE154">
            <v>121</v>
          </cell>
          <cell r="AG154" t="str">
            <v>한식미장공</v>
          </cell>
          <cell r="AI154">
            <v>83400</v>
          </cell>
        </row>
        <row r="155">
          <cell r="AE155">
            <v>0</v>
          </cell>
          <cell r="AG155" t="str">
            <v>원자력직종</v>
          </cell>
          <cell r="AI155">
            <v>0</v>
          </cell>
        </row>
        <row r="156">
          <cell r="AE156">
            <v>122</v>
          </cell>
          <cell r="AG156" t="str">
            <v>원자력배관공</v>
          </cell>
          <cell r="AI156">
            <v>85504</v>
          </cell>
        </row>
        <row r="157">
          <cell r="AE157">
            <v>123</v>
          </cell>
          <cell r="AG157" t="str">
            <v>원자력용접공</v>
          </cell>
          <cell r="AI157">
            <v>91598</v>
          </cell>
        </row>
        <row r="158">
          <cell r="AE158">
            <v>124</v>
          </cell>
          <cell r="AG158" t="str">
            <v>원자력기계설치공</v>
          </cell>
          <cell r="AI158">
            <v>98966</v>
          </cell>
        </row>
        <row r="159">
          <cell r="AE159">
            <v>125</v>
          </cell>
          <cell r="AG159" t="str">
            <v>원자력덕트공</v>
          </cell>
          <cell r="AI159">
            <v>88404</v>
          </cell>
        </row>
        <row r="160">
          <cell r="AE160">
            <v>126</v>
          </cell>
          <cell r="AG160" t="str">
            <v>원자력제관공</v>
          </cell>
          <cell r="AI160">
            <v>76226</v>
          </cell>
        </row>
        <row r="161">
          <cell r="AE161">
            <v>127</v>
          </cell>
          <cell r="AG161" t="str">
            <v>원자력케이블공</v>
          </cell>
          <cell r="AI161">
            <v>61338</v>
          </cell>
        </row>
        <row r="162">
          <cell r="AE162">
            <v>128</v>
          </cell>
          <cell r="AG162" t="str">
            <v>원자력계장공</v>
          </cell>
          <cell r="AI162">
            <v>58478</v>
          </cell>
        </row>
        <row r="163">
          <cell r="AE163">
            <v>129</v>
          </cell>
          <cell r="AG163" t="str">
            <v>원자력기술자</v>
          </cell>
          <cell r="AI163">
            <v>71548</v>
          </cell>
        </row>
        <row r="164">
          <cell r="AE164">
            <v>130</v>
          </cell>
          <cell r="AG164" t="str">
            <v>중급원자력기술자</v>
          </cell>
          <cell r="AI164">
            <v>85398</v>
          </cell>
        </row>
        <row r="165">
          <cell r="AE165">
            <v>131</v>
          </cell>
          <cell r="AG165" t="str">
            <v>상급원자력기술자</v>
          </cell>
          <cell r="AI165">
            <v>109491</v>
          </cell>
        </row>
        <row r="166">
          <cell r="AE166">
            <v>132</v>
          </cell>
          <cell r="AG166" t="str">
            <v>원자력품질관리사</v>
          </cell>
          <cell r="AI166">
            <v>104799</v>
          </cell>
        </row>
        <row r="167">
          <cell r="AE167">
            <v>133</v>
          </cell>
          <cell r="AG167" t="str">
            <v>원자력특별인부</v>
          </cell>
          <cell r="AI167">
            <v>58187</v>
          </cell>
        </row>
        <row r="168">
          <cell r="AE168">
            <v>134</v>
          </cell>
          <cell r="AG168" t="str">
            <v>원자력보온공</v>
          </cell>
          <cell r="AI168">
            <v>65826</v>
          </cell>
        </row>
        <row r="169">
          <cell r="AE169">
            <v>135</v>
          </cell>
          <cell r="AG169" t="str">
            <v>원자력플랜트전공</v>
          </cell>
          <cell r="AI169">
            <v>84229</v>
          </cell>
        </row>
        <row r="170">
          <cell r="AE170">
            <v>136</v>
          </cell>
          <cell r="AG170" t="str">
            <v>고급원자력비파괴시험공</v>
          </cell>
          <cell r="AI170">
            <v>89172</v>
          </cell>
        </row>
        <row r="171">
          <cell r="AE171">
            <v>137</v>
          </cell>
          <cell r="AG171" t="str">
            <v>특별원자력비파괴시험공</v>
          </cell>
          <cell r="AI171">
            <v>94950</v>
          </cell>
        </row>
        <row r="172">
          <cell r="AE172">
            <v>0</v>
          </cell>
          <cell r="AG172" t="str">
            <v>기타직종</v>
          </cell>
          <cell r="AI172">
            <v>0</v>
          </cell>
        </row>
        <row r="173">
          <cell r="AE173">
            <v>138</v>
          </cell>
          <cell r="AG173" t="str">
            <v>통신기사1급</v>
          </cell>
          <cell r="AI173">
            <v>94229</v>
          </cell>
        </row>
        <row r="174">
          <cell r="AE174">
            <v>139</v>
          </cell>
          <cell r="AG174" t="str">
            <v>통신기사2급</v>
          </cell>
          <cell r="AI174">
            <v>79642</v>
          </cell>
        </row>
        <row r="175">
          <cell r="AE175">
            <v>140</v>
          </cell>
          <cell r="AG175" t="str">
            <v>통신기능사</v>
          </cell>
          <cell r="AI175">
            <v>67759</v>
          </cell>
        </row>
        <row r="176">
          <cell r="AE176" t="str">
            <v>*</v>
          </cell>
          <cell r="AG176" t="str">
            <v>안전관리기사1급</v>
          </cell>
          <cell r="AI176">
            <v>0</v>
          </cell>
        </row>
        <row r="177">
          <cell r="AE177" t="str">
            <v>*</v>
          </cell>
          <cell r="AG177" t="str">
            <v>안전관리기사2급</v>
          </cell>
          <cell r="AI177">
            <v>0</v>
          </cell>
        </row>
        <row r="178">
          <cell r="AE178">
            <v>141</v>
          </cell>
          <cell r="AG178" t="str">
            <v>노즐공</v>
          </cell>
          <cell r="AI178">
            <v>63577</v>
          </cell>
        </row>
        <row r="179">
          <cell r="AE179">
            <v>142</v>
          </cell>
          <cell r="AG179" t="str">
            <v>코킹공</v>
          </cell>
          <cell r="AI179">
            <v>57954</v>
          </cell>
        </row>
        <row r="180">
          <cell r="AE180">
            <v>143</v>
          </cell>
          <cell r="AG180" t="str">
            <v>전기공사기사1급</v>
          </cell>
          <cell r="AI180">
            <v>63956</v>
          </cell>
        </row>
        <row r="181">
          <cell r="AE181">
            <v>144</v>
          </cell>
          <cell r="AG181" t="str">
            <v>전기공사기사2급</v>
          </cell>
          <cell r="AI181">
            <v>56130</v>
          </cell>
        </row>
        <row r="182">
          <cell r="AE182">
            <v>145</v>
          </cell>
          <cell r="AG182" t="str">
            <v>변전전공</v>
          </cell>
          <cell r="AI182">
            <v>85699</v>
          </cell>
        </row>
        <row r="183">
          <cell r="AE183">
            <v>0</v>
          </cell>
          <cell r="AG183" t="str">
            <v>엔지니어링임금현황</v>
          </cell>
          <cell r="AI183">
            <v>0</v>
          </cell>
        </row>
        <row r="184">
          <cell r="AE184">
            <v>146</v>
          </cell>
          <cell r="AG184" t="str">
            <v>기술사</v>
          </cell>
          <cell r="AI184">
            <v>173852</v>
          </cell>
        </row>
        <row r="185">
          <cell r="AE185">
            <v>147</v>
          </cell>
          <cell r="AG185" t="str">
            <v>특급기술자</v>
          </cell>
          <cell r="AI185">
            <v>132166</v>
          </cell>
        </row>
        <row r="186">
          <cell r="AE186">
            <v>148</v>
          </cell>
          <cell r="AG186" t="str">
            <v>고급기술자</v>
          </cell>
          <cell r="AI186">
            <v>109695</v>
          </cell>
        </row>
        <row r="187">
          <cell r="AE187">
            <v>149</v>
          </cell>
          <cell r="AG187" t="str">
            <v>중급기술자</v>
          </cell>
          <cell r="AI187">
            <v>91947</v>
          </cell>
        </row>
        <row r="188">
          <cell r="AE188">
            <v>150</v>
          </cell>
          <cell r="AG188" t="str">
            <v>초급기술자</v>
          </cell>
          <cell r="AI188">
            <v>65947</v>
          </cell>
        </row>
        <row r="189">
          <cell r="AE189">
            <v>151</v>
          </cell>
          <cell r="AG189" t="str">
            <v>고급기능사</v>
          </cell>
          <cell r="AI189">
            <v>67006</v>
          </cell>
        </row>
        <row r="190">
          <cell r="AE190">
            <v>152</v>
          </cell>
          <cell r="AG190" t="str">
            <v>중급기능사</v>
          </cell>
          <cell r="AI190">
            <v>55830</v>
          </cell>
        </row>
        <row r="191">
          <cell r="AE191">
            <v>153</v>
          </cell>
          <cell r="AG191" t="str">
            <v>초급기능사</v>
          </cell>
          <cell r="AI191">
            <v>46933</v>
          </cell>
        </row>
        <row r="192">
          <cell r="AE192">
            <v>0</v>
          </cell>
          <cell r="AG192">
            <v>0</v>
          </cell>
          <cell r="AI192">
            <v>0</v>
          </cell>
        </row>
        <row r="193">
          <cell r="AE193">
            <v>0</v>
          </cell>
          <cell r="AG193" t="str">
            <v>기계기사1급</v>
          </cell>
          <cell r="AI193">
            <v>132166</v>
          </cell>
        </row>
        <row r="194">
          <cell r="AE194">
            <v>0</v>
          </cell>
          <cell r="AG194" t="str">
            <v>기계기사2급</v>
          </cell>
          <cell r="AI194">
            <v>109695</v>
          </cell>
        </row>
        <row r="195">
          <cell r="AE195">
            <v>0</v>
          </cell>
          <cell r="AG195" t="str">
            <v>중기운전공</v>
          </cell>
          <cell r="AI195">
            <v>56517</v>
          </cell>
        </row>
        <row r="196">
          <cell r="AE196">
            <v>0</v>
          </cell>
          <cell r="AG196" t="str">
            <v>중기운전조수</v>
          </cell>
          <cell r="AI196">
            <v>42524</v>
          </cell>
        </row>
        <row r="197">
          <cell r="AE197">
            <v>0</v>
          </cell>
          <cell r="AG197" t="str">
            <v>윈치운전공</v>
          </cell>
          <cell r="AI197">
            <v>56517</v>
          </cell>
        </row>
        <row r="198">
          <cell r="AE198">
            <v>0</v>
          </cell>
          <cell r="AG198" t="str">
            <v>플랜트전기설치공</v>
          </cell>
          <cell r="AI198">
            <v>65612</v>
          </cell>
        </row>
        <row r="199">
          <cell r="AE199">
            <v>0</v>
          </cell>
          <cell r="AG199">
            <v>0</v>
          </cell>
          <cell r="AI199">
            <v>0</v>
          </cell>
        </row>
        <row r="200">
          <cell r="AE200">
            <v>0</v>
          </cell>
          <cell r="AG200">
            <v>0</v>
          </cell>
          <cell r="AI200">
            <v>0</v>
          </cell>
        </row>
        <row r="201">
          <cell r="AE201">
            <v>0</v>
          </cell>
          <cell r="AG201">
            <v>0</v>
          </cell>
          <cell r="AI201">
            <v>0</v>
          </cell>
        </row>
        <row r="202">
          <cell r="AE202">
            <v>0</v>
          </cell>
          <cell r="AG202">
            <v>0</v>
          </cell>
          <cell r="AI202">
            <v>0</v>
          </cell>
        </row>
        <row r="203">
          <cell r="AE203">
            <v>0</v>
          </cell>
          <cell r="AG203">
            <v>0</v>
          </cell>
          <cell r="AI203">
            <v>0</v>
          </cell>
        </row>
        <row r="204">
          <cell r="AE204">
            <v>0</v>
          </cell>
          <cell r="AG204">
            <v>0</v>
          </cell>
          <cell r="AI204">
            <v>0</v>
          </cell>
        </row>
        <row r="205">
          <cell r="AE205">
            <v>0</v>
          </cell>
          <cell r="AG205">
            <v>0</v>
          </cell>
          <cell r="AI205">
            <v>0</v>
          </cell>
        </row>
        <row r="206">
          <cell r="AE206">
            <v>0</v>
          </cell>
          <cell r="AG206">
            <v>0</v>
          </cell>
          <cell r="AI206">
            <v>0</v>
          </cell>
        </row>
        <row r="207">
          <cell r="AE207">
            <v>0</v>
          </cell>
          <cell r="AG207">
            <v>0</v>
          </cell>
          <cell r="AI207">
            <v>0</v>
          </cell>
        </row>
        <row r="208">
          <cell r="AE208">
            <v>0</v>
          </cell>
          <cell r="AG208">
            <v>0</v>
          </cell>
          <cell r="AI208">
            <v>0</v>
          </cell>
        </row>
        <row r="209">
          <cell r="AE209">
            <v>0</v>
          </cell>
          <cell r="AG209">
            <v>0</v>
          </cell>
          <cell r="AI209">
            <v>0</v>
          </cell>
        </row>
        <row r="210">
          <cell r="AE210">
            <v>0</v>
          </cell>
          <cell r="AG210">
            <v>0</v>
          </cell>
          <cell r="AI210">
            <v>0</v>
          </cell>
        </row>
        <row r="211">
          <cell r="AE211">
            <v>0</v>
          </cell>
          <cell r="AG211">
            <v>0</v>
          </cell>
          <cell r="AI211">
            <v>0</v>
          </cell>
        </row>
        <row r="212">
          <cell r="AE212">
            <v>0</v>
          </cell>
          <cell r="AG212">
            <v>0</v>
          </cell>
          <cell r="AI212">
            <v>0</v>
          </cell>
        </row>
        <row r="213">
          <cell r="AE213">
            <v>0</v>
          </cell>
          <cell r="AG213">
            <v>0</v>
          </cell>
          <cell r="AI213">
            <v>0</v>
          </cell>
        </row>
        <row r="214">
          <cell r="AE214">
            <v>0</v>
          </cell>
          <cell r="AG214">
            <v>0</v>
          </cell>
          <cell r="AI214">
            <v>0</v>
          </cell>
        </row>
        <row r="215">
          <cell r="AE215">
            <v>0</v>
          </cell>
          <cell r="AG215">
            <v>0</v>
          </cell>
          <cell r="AI215">
            <v>0</v>
          </cell>
        </row>
        <row r="216">
          <cell r="AE216">
            <v>0</v>
          </cell>
          <cell r="AG216">
            <v>0</v>
          </cell>
          <cell r="AI216">
            <v>0</v>
          </cell>
        </row>
        <row r="217">
          <cell r="AE217">
            <v>0</v>
          </cell>
          <cell r="AG217">
            <v>0</v>
          </cell>
          <cell r="AI217">
            <v>0</v>
          </cell>
        </row>
        <row r="218">
          <cell r="AE218">
            <v>0</v>
          </cell>
          <cell r="AG218">
            <v>0</v>
          </cell>
          <cell r="AI218">
            <v>0</v>
          </cell>
        </row>
        <row r="219">
          <cell r="AE219">
            <v>0</v>
          </cell>
          <cell r="AG219">
            <v>0</v>
          </cell>
          <cell r="AI219">
            <v>0</v>
          </cell>
        </row>
        <row r="220">
          <cell r="AE220">
            <v>0</v>
          </cell>
          <cell r="AG220">
            <v>0</v>
          </cell>
          <cell r="AI220">
            <v>0</v>
          </cell>
        </row>
        <row r="221">
          <cell r="AE221">
            <v>0</v>
          </cell>
          <cell r="AG221">
            <v>0</v>
          </cell>
          <cell r="AI221">
            <v>0</v>
          </cell>
        </row>
        <row r="222">
          <cell r="AE222">
            <v>0</v>
          </cell>
          <cell r="AG222">
            <v>0</v>
          </cell>
          <cell r="AI222">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UMMARY SHEET"/>
      <sheetName val="간지"/>
      <sheetName val="COST OVERVIEW"/>
      <sheetName val="FORM3"/>
      <sheetName val="RESOURCES"/>
      <sheetName val="SUM"/>
      <sheetName val="SUM(SUB)"/>
      <sheetName val="MAM POWER"/>
      <sheetName val="PURGE GAS"/>
      <sheetName val="FACTOR"/>
      <sheetName val="operation"/>
      <sheetName val="SPARE PART"/>
      <sheetName val="현장관리비"/>
      <sheetName val="실행내역"/>
      <sheetName val="COA-17"/>
      <sheetName val="C-18"/>
      <sheetName val="노임단가"/>
      <sheetName val="단가조사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Table-3"/>
      <sheetName val="간접비총괄"/>
      <sheetName val="간접비내역-1"/>
      <sheetName val="직원"/>
      <sheetName val="기능공"/>
      <sheetName val="세금관련"/>
      <sheetName val="물가 상승"/>
      <sheetName val="간접비내역_1"/>
      <sheetName val="COA-17"/>
      <sheetName val="C-18"/>
      <sheetName val="FACTOR"/>
      <sheetName val="AILC004"/>
      <sheetName val="Basic Information"/>
      <sheetName val="K_2"/>
      <sheetName val="Summary Sheets"/>
      <sheetName val="F9804"/>
      <sheetName val="LABTOTAL"/>
      <sheetName val="간접 TOTAL REV0"/>
      <sheetName val="General"/>
      <sheetName val="Menus"/>
      <sheetName val="공사비 내역 (가)"/>
      <sheetName val="내역서"/>
      <sheetName val="CAT_5"/>
      <sheetName val="현장관리비"/>
      <sheetName val="실행내역"/>
      <sheetName val="PBS"/>
      <sheetName val="직공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4-1견적서"/>
      <sheetName val="노동부용"/>
      <sheetName val="Sheet2"/>
      <sheetName val="4-2"/>
      <sheetName val="간접비내역-1"/>
      <sheetName val="COA-17"/>
      <sheetName val="C-18"/>
      <sheetName val="FACTOR"/>
      <sheetName val="DATA"/>
      <sheetName val="일위대가표"/>
      <sheetName val="PBS"/>
      <sheetName val="General"/>
      <sheetName val="Menus"/>
      <sheetName val="Summary Sheets"/>
      <sheetName val="AILC004"/>
      <sheetName val="내역서"/>
    </sheetNames>
    <sheetDataSet>
      <sheetData sheetId="0" refreshError="1">
        <row r="1">
          <cell r="B1">
            <v>1.2</v>
          </cell>
        </row>
        <row r="2">
          <cell r="B2">
            <v>1.05</v>
          </cell>
        </row>
        <row r="3">
          <cell r="B3">
            <v>70000</v>
          </cell>
        </row>
        <row r="4">
          <cell r="B4">
            <v>17000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B COST"/>
      <sheetName val="Sheet1"/>
      <sheetName val="CAT_5"/>
      <sheetName val="간접비내역-1"/>
      <sheetName val="BA PIPE,TUBE"/>
      <sheetName val="Summary Sheets"/>
      <sheetName val="TG9504"/>
      <sheetName val="내역"/>
      <sheetName val="costing_CV"/>
      <sheetName val="costing_ESDV"/>
      <sheetName val="costing_FE"/>
      <sheetName val="costing_Misc"/>
      <sheetName val="costing_MOV"/>
      <sheetName val="costing_Press"/>
      <sheetName val="SILICATE"/>
      <sheetName val="2-2.매출분석"/>
      <sheetName val="NGL4 COST BREAKDOWN TMP REV5"/>
      <sheetName val="Condition"/>
      <sheetName val="COA-17"/>
      <sheetName val="C-18"/>
      <sheetName val="AILC004"/>
      <sheetName val="Piping Design Data"/>
      <sheetName val="95부서실"/>
      <sheetName val="원형1호맨홀토공수량"/>
      <sheetName val="공통가설"/>
      <sheetName val="단가"/>
      <sheetName val="MATRLDATA"/>
      <sheetName val="FACTOR"/>
    </sheetNames>
    <sheetDataSet>
      <sheetData sheetId="0" refreshError="1">
        <row r="2">
          <cell r="L2" t="str">
            <v>CYCLE &amp; LVL 1 DKADU PLANT</v>
          </cell>
          <cell r="M2" t="str">
            <v>WBS CODE</v>
          </cell>
          <cell r="N2" t="str">
            <v>DESCRIPTION</v>
          </cell>
          <cell r="O2" t="str">
            <v>QUANTITY</v>
          </cell>
          <cell r="P2" t="str">
            <v>UNITS</v>
          </cell>
          <cell r="Q2" t="str">
            <v>TOTAL MANHOURS</v>
          </cell>
          <cell r="R2" t="str">
            <v>TOTAL LABOR COST</v>
          </cell>
          <cell r="S2" t="str">
            <v>TOTAL MAT'L COST</v>
          </cell>
          <cell r="T2" t="str">
            <v>TOTAL S/C COST</v>
          </cell>
          <cell r="U2" t="str">
            <v>TOTAL COST</v>
          </cell>
          <cell r="W2" t="str">
            <v>LEVEL 2 DKADU PLANT PG.1</v>
          </cell>
          <cell r="X2" t="str">
            <v>WBS CODE</v>
          </cell>
          <cell r="Y2" t="str">
            <v>DESCRIPTION</v>
          </cell>
          <cell r="Z2" t="str">
            <v>QUANTITY</v>
          </cell>
          <cell r="AA2" t="str">
            <v>UNITS</v>
          </cell>
          <cell r="AB2" t="str">
            <v>TOTAL MANHOURS</v>
          </cell>
          <cell r="AC2" t="str">
            <v>TOTAL LABOR COST</v>
          </cell>
          <cell r="AD2" t="str">
            <v>TOTAL MAT'L COST</v>
          </cell>
          <cell r="AE2" t="str">
            <v>TOTAL S/C COST</v>
          </cell>
          <cell r="AF2" t="str">
            <v>TOTAL COST</v>
          </cell>
          <cell r="AG2">
            <v>0</v>
          </cell>
          <cell r="AH2" t="str">
            <v>LEVEL 3 DKADU PLANT PG 1</v>
          </cell>
          <cell r="AI2" t="str">
            <v>WBS CODE</v>
          </cell>
          <cell r="AJ2" t="str">
            <v>DESCRIPTION</v>
          </cell>
          <cell r="AK2" t="str">
            <v>QUANTITY</v>
          </cell>
          <cell r="AL2" t="str">
            <v>UNITS</v>
          </cell>
          <cell r="AM2" t="str">
            <v>TOTAL MANHOURS</v>
          </cell>
          <cell r="AN2" t="str">
            <v>TOTAL LABOR COST</v>
          </cell>
          <cell r="AO2" t="str">
            <v>TOTAL MAT'L COST</v>
          </cell>
          <cell r="AP2" t="str">
            <v>TOTAL S/C COST</v>
          </cell>
          <cell r="AQ2" t="str">
            <v>TOTAL COST</v>
          </cell>
          <cell r="AR2">
            <v>0</v>
          </cell>
        </row>
        <row r="3">
          <cell r="Q3">
            <v>10</v>
          </cell>
        </row>
        <row r="4">
          <cell r="M4" t="str">
            <v>1AAA-</v>
          </cell>
          <cell r="N4" t="str">
            <v>DKADU PLANT  - DIRECT ENGINEERING</v>
          </cell>
          <cell r="Q4">
            <v>6250</v>
          </cell>
          <cell r="R4">
            <v>153125</v>
          </cell>
          <cell r="S4">
            <v>0</v>
          </cell>
          <cell r="T4">
            <v>0</v>
          </cell>
          <cell r="U4">
            <v>153125</v>
          </cell>
          <cell r="X4" t="str">
            <v>1AAAA</v>
          </cell>
          <cell r="Y4" t="str">
            <v>DKADU PLANT  - DIR. ENG.  PROCESS</v>
          </cell>
          <cell r="AF4">
            <v>0</v>
          </cell>
          <cell r="AG4">
            <v>0</v>
          </cell>
          <cell r="AH4">
            <v>0</v>
          </cell>
          <cell r="AI4" t="str">
            <v>1ABAAA</v>
          </cell>
          <cell r="AJ4" t="str">
            <v>DEMETHANISER FEED DRUM</v>
          </cell>
          <cell r="AK4">
            <v>1</v>
          </cell>
          <cell r="AL4" t="str">
            <v>EA</v>
          </cell>
          <cell r="AM4">
            <v>0</v>
          </cell>
          <cell r="AN4">
            <v>0</v>
          </cell>
          <cell r="AO4">
            <v>530000</v>
          </cell>
          <cell r="AP4">
            <v>0</v>
          </cell>
          <cell r="AQ4">
            <v>530000</v>
          </cell>
          <cell r="AR4">
            <v>0</v>
          </cell>
        </row>
        <row r="5">
          <cell r="M5" t="str">
            <v>1AAI-</v>
          </cell>
          <cell r="N5" t="str">
            <v>DKADU PLANT  - ENGINEERING PROCUREMENT</v>
          </cell>
          <cell r="Q5">
            <v>0</v>
          </cell>
          <cell r="R5">
            <v>0</v>
          </cell>
          <cell r="S5">
            <v>0</v>
          </cell>
          <cell r="T5">
            <v>0</v>
          </cell>
          <cell r="U5">
            <v>0</v>
          </cell>
          <cell r="X5" t="str">
            <v>1AAAB</v>
          </cell>
          <cell r="Y5" t="str">
            <v>DKADU PLANT  - DIR. ENG.  PERMITS</v>
          </cell>
          <cell r="AF5">
            <v>0</v>
          </cell>
          <cell r="AG5">
            <v>0</v>
          </cell>
          <cell r="AH5">
            <v>0</v>
          </cell>
          <cell r="AI5" t="str">
            <v>1ABAAB</v>
          </cell>
          <cell r="AJ5" t="str">
            <v>RECYCLE EXPANDER OUTLET DRUM</v>
          </cell>
          <cell r="AK5">
            <v>1</v>
          </cell>
          <cell r="AL5" t="str">
            <v>EA</v>
          </cell>
          <cell r="AM5">
            <v>0</v>
          </cell>
          <cell r="AN5">
            <v>0</v>
          </cell>
          <cell r="AO5">
            <v>792000</v>
          </cell>
          <cell r="AP5">
            <v>0</v>
          </cell>
          <cell r="AQ5">
            <v>792000</v>
          </cell>
          <cell r="AR5">
            <v>0</v>
          </cell>
        </row>
        <row r="6">
          <cell r="M6" t="str">
            <v>1AAJ-</v>
          </cell>
          <cell r="N6" t="str">
            <v>DKADU PLANT  - INDIRECT ENGINEERING</v>
          </cell>
          <cell r="Q6">
            <v>0</v>
          </cell>
          <cell r="R6">
            <v>0</v>
          </cell>
          <cell r="S6">
            <v>0</v>
          </cell>
          <cell r="T6">
            <v>0</v>
          </cell>
          <cell r="U6">
            <v>0</v>
          </cell>
          <cell r="X6" t="str">
            <v>1AAAC</v>
          </cell>
          <cell r="Y6" t="str">
            <v>DKADU PLANT  - DIR. ENG.  CIVIL/STRUCTURAL</v>
          </cell>
          <cell r="AF6">
            <v>0</v>
          </cell>
          <cell r="AG6">
            <v>0</v>
          </cell>
          <cell r="AH6">
            <v>0</v>
          </cell>
          <cell r="AI6" t="str">
            <v>1ABAAC</v>
          </cell>
          <cell r="AJ6" t="str">
            <v>RECYCLE EXPANDER INLET DRUM</v>
          </cell>
          <cell r="AK6">
            <v>1</v>
          </cell>
          <cell r="AL6" t="str">
            <v>EA</v>
          </cell>
          <cell r="AM6">
            <v>0</v>
          </cell>
          <cell r="AN6">
            <v>0</v>
          </cell>
          <cell r="AO6">
            <v>781000</v>
          </cell>
          <cell r="AP6">
            <v>0</v>
          </cell>
          <cell r="AQ6">
            <v>781000</v>
          </cell>
          <cell r="AR6">
            <v>0</v>
          </cell>
        </row>
        <row r="7">
          <cell r="M7" t="str">
            <v>1AA--</v>
          </cell>
          <cell r="N7" t="str">
            <v>SUBTOTAL DKADU PLANT  - ENGINEERING/PROCUREMENT</v>
          </cell>
          <cell r="Q7">
            <v>6250</v>
          </cell>
          <cell r="R7">
            <v>153125</v>
          </cell>
          <cell r="S7">
            <v>0</v>
          </cell>
          <cell r="T7">
            <v>0</v>
          </cell>
          <cell r="U7">
            <v>153125</v>
          </cell>
          <cell r="X7" t="str">
            <v>1AAAD</v>
          </cell>
          <cell r="Y7" t="str">
            <v>DKADU PLANT  - DIR. ENG.  MECHANICAL</v>
          </cell>
          <cell r="Z7">
            <v>58</v>
          </cell>
          <cell r="AA7" t="str">
            <v>EA</v>
          </cell>
          <cell r="AB7">
            <v>6250</v>
          </cell>
          <cell r="AC7">
            <v>153125</v>
          </cell>
          <cell r="AF7">
            <v>153125</v>
          </cell>
          <cell r="AG7">
            <v>0</v>
          </cell>
          <cell r="AH7">
            <v>0</v>
          </cell>
          <cell r="AI7" t="str">
            <v>1ABAAD</v>
          </cell>
          <cell r="AJ7" t="str">
            <v>LP BOOSTER COMPRESSOR KNOCK-OUT DRUM</v>
          </cell>
          <cell r="AK7">
            <v>1</v>
          </cell>
          <cell r="AL7" t="str">
            <v>EA</v>
          </cell>
          <cell r="AM7">
            <v>0</v>
          </cell>
          <cell r="AN7">
            <v>0</v>
          </cell>
          <cell r="AO7">
            <v>45600</v>
          </cell>
          <cell r="AP7">
            <v>0</v>
          </cell>
          <cell r="AQ7">
            <v>45600</v>
          </cell>
          <cell r="AR7">
            <v>0</v>
          </cell>
        </row>
        <row r="8">
          <cell r="X8" t="str">
            <v>1AAAE</v>
          </cell>
          <cell r="Y8" t="str">
            <v>DKADU PLANT  - DIR. ENG.  PIPING</v>
          </cell>
          <cell r="AF8">
            <v>0</v>
          </cell>
          <cell r="AG8">
            <v>0</v>
          </cell>
          <cell r="AH8">
            <v>0</v>
          </cell>
          <cell r="AI8" t="str">
            <v>1ABAAE</v>
          </cell>
          <cell r="AJ8" t="str">
            <v>RAW NGL SURGE DRUM</v>
          </cell>
          <cell r="AK8">
            <v>1</v>
          </cell>
          <cell r="AL8" t="str">
            <v>EA</v>
          </cell>
          <cell r="AM8">
            <v>0</v>
          </cell>
          <cell r="AN8">
            <v>0</v>
          </cell>
          <cell r="AO8">
            <v>78100</v>
          </cell>
          <cell r="AP8">
            <v>0</v>
          </cell>
          <cell r="AQ8">
            <v>78100</v>
          </cell>
          <cell r="AR8">
            <v>0</v>
          </cell>
        </row>
        <row r="9">
          <cell r="M9" t="str">
            <v>1ABA-</v>
          </cell>
          <cell r="N9" t="str">
            <v>DKADU PLANT  - FAB/DELIVERY - MAJOR EQUIPMENT</v>
          </cell>
          <cell r="Q9">
            <v>0</v>
          </cell>
          <cell r="R9">
            <v>0</v>
          </cell>
          <cell r="S9">
            <v>58861800</v>
          </cell>
          <cell r="T9">
            <v>0</v>
          </cell>
          <cell r="U9">
            <v>58861800</v>
          </cell>
          <cell r="X9" t="str">
            <v>1AAAF</v>
          </cell>
          <cell r="Y9" t="str">
            <v>DKADU PLANT  - DIR. ENG.  ELECTRICAL</v>
          </cell>
          <cell r="AF9">
            <v>0</v>
          </cell>
          <cell r="AG9">
            <v>0</v>
          </cell>
          <cell r="AH9">
            <v>0</v>
          </cell>
          <cell r="AI9" t="str">
            <v>1ABAAF</v>
          </cell>
          <cell r="AJ9" t="str">
            <v>RECYCLE COMPRESSORS SUCTION SCRUBBERS</v>
          </cell>
          <cell r="AK9">
            <v>3</v>
          </cell>
          <cell r="AL9" t="str">
            <v>EA</v>
          </cell>
          <cell r="AM9">
            <v>0</v>
          </cell>
          <cell r="AN9">
            <v>0</v>
          </cell>
          <cell r="AO9">
            <v>191000</v>
          </cell>
          <cell r="AP9">
            <v>0</v>
          </cell>
          <cell r="AQ9">
            <v>191000</v>
          </cell>
          <cell r="AR9">
            <v>0</v>
          </cell>
        </row>
        <row r="10">
          <cell r="M10" t="str">
            <v>1ABB-</v>
          </cell>
          <cell r="N10" t="str">
            <v>DKADU PLANT  - FAB/DELIVERY - BULKS</v>
          </cell>
          <cell r="Q10">
            <v>0</v>
          </cell>
          <cell r="R10">
            <v>0</v>
          </cell>
          <cell r="S10">
            <v>0</v>
          </cell>
          <cell r="T10">
            <v>0</v>
          </cell>
          <cell r="U10">
            <v>0</v>
          </cell>
          <cell r="X10" t="str">
            <v>1AAAG</v>
          </cell>
          <cell r="Y10" t="str">
            <v>DKADU PLANT  - DIR. ENG.  INSTRUMENTATION</v>
          </cell>
          <cell r="AF10">
            <v>0</v>
          </cell>
          <cell r="AG10">
            <v>0</v>
          </cell>
          <cell r="AH10">
            <v>0</v>
          </cell>
          <cell r="AI10" t="str">
            <v>1ABAAG</v>
          </cell>
          <cell r="AJ10" t="str">
            <v>INJECTION BOOSTER SUCTION SCRUBBERS</v>
          </cell>
          <cell r="AK10">
            <v>2</v>
          </cell>
          <cell r="AL10" t="str">
            <v>EA</v>
          </cell>
          <cell r="AM10">
            <v>0</v>
          </cell>
          <cell r="AN10">
            <v>0</v>
          </cell>
          <cell r="AO10">
            <v>290000</v>
          </cell>
          <cell r="AP10">
            <v>0</v>
          </cell>
          <cell r="AQ10">
            <v>290000</v>
          </cell>
          <cell r="AR10">
            <v>0</v>
          </cell>
        </row>
        <row r="11">
          <cell r="M11" t="str">
            <v>1ABC-</v>
          </cell>
          <cell r="N11" t="str">
            <v>DKADU  - FAB/DELIVERY - ENGINEERING SPECIALTIES</v>
          </cell>
          <cell r="Q11">
            <v>0</v>
          </cell>
          <cell r="R11">
            <v>0</v>
          </cell>
          <cell r="S11">
            <v>0</v>
          </cell>
          <cell r="T11">
            <v>0</v>
          </cell>
          <cell r="U11">
            <v>0</v>
          </cell>
          <cell r="X11" t="str">
            <v>1AAAH</v>
          </cell>
          <cell r="Y11" t="str">
            <v>DKADU PLANT  - DIR. ENG.  ARCHITECTURAL</v>
          </cell>
          <cell r="AF11">
            <v>0</v>
          </cell>
          <cell r="AG11">
            <v>0</v>
          </cell>
          <cell r="AH11">
            <v>0</v>
          </cell>
          <cell r="AI11" t="str">
            <v>1ABAAX</v>
          </cell>
          <cell r="AJ11" t="str">
            <v>OTHER PRESSURE VESSELS</v>
          </cell>
          <cell r="AK11">
            <v>7</v>
          </cell>
          <cell r="AL11" t="str">
            <v>EA</v>
          </cell>
          <cell r="AM11">
            <v>0</v>
          </cell>
          <cell r="AN11">
            <v>0</v>
          </cell>
          <cell r="AO11">
            <v>170700</v>
          </cell>
          <cell r="AP11">
            <v>0</v>
          </cell>
          <cell r="AQ11">
            <v>170700</v>
          </cell>
          <cell r="AR11">
            <v>0</v>
          </cell>
        </row>
        <row r="12">
          <cell r="M12" t="str">
            <v>1AB--</v>
          </cell>
          <cell r="N12" t="str">
            <v>SUBTOTAL DKADU  - FABRICATION/DELIVERY</v>
          </cell>
          <cell r="Q12">
            <v>0</v>
          </cell>
          <cell r="R12">
            <v>0</v>
          </cell>
          <cell r="S12">
            <v>58861800</v>
          </cell>
          <cell r="T12">
            <v>0</v>
          </cell>
          <cell r="U12">
            <v>58861800</v>
          </cell>
          <cell r="X12" t="str">
            <v>1AAA-</v>
          </cell>
          <cell r="Y12" t="str">
            <v>SUBTOTAL - DKADU  - DIRECT ENGINEERING</v>
          </cell>
          <cell r="Z12">
            <v>58</v>
          </cell>
          <cell r="AA12" t="str">
            <v>N/A</v>
          </cell>
          <cell r="AB12">
            <v>6250</v>
          </cell>
          <cell r="AC12">
            <v>153125</v>
          </cell>
          <cell r="AD12">
            <v>0</v>
          </cell>
          <cell r="AE12">
            <v>0</v>
          </cell>
          <cell r="AF12">
            <v>153125</v>
          </cell>
          <cell r="AG12">
            <v>0</v>
          </cell>
          <cell r="AH12">
            <v>0</v>
          </cell>
          <cell r="AI12" t="str">
            <v>1ABAA-</v>
          </cell>
          <cell r="AJ12" t="str">
            <v>SUBTOTAL PRESSURE VESSELS</v>
          </cell>
          <cell r="AK12">
            <v>17</v>
          </cell>
          <cell r="AL12">
            <v>0</v>
          </cell>
          <cell r="AM12">
            <v>0</v>
          </cell>
          <cell r="AN12">
            <v>0</v>
          </cell>
          <cell r="AO12">
            <v>2878400</v>
          </cell>
          <cell r="AP12">
            <v>0</v>
          </cell>
          <cell r="AQ12">
            <v>2878400</v>
          </cell>
          <cell r="AR12">
            <v>0</v>
          </cell>
        </row>
        <row r="14">
          <cell r="M14" t="str">
            <v>1ACA-</v>
          </cell>
          <cell r="N14" t="str">
            <v>DKADU  - CONSTRUCTION - CIVIL</v>
          </cell>
          <cell r="Q14">
            <v>0</v>
          </cell>
          <cell r="R14">
            <v>0</v>
          </cell>
          <cell r="S14">
            <v>0</v>
          </cell>
          <cell r="T14">
            <v>0</v>
          </cell>
          <cell r="U14">
            <v>0</v>
          </cell>
          <cell r="X14" t="str">
            <v>1AAIA</v>
          </cell>
          <cell r="Y14" t="str">
            <v>DKADU PLANT  - PROCUREMENT PRESSURE VESSELS</v>
          </cell>
          <cell r="AF14">
            <v>0</v>
          </cell>
          <cell r="AG14">
            <v>0</v>
          </cell>
          <cell r="AH14">
            <v>0</v>
          </cell>
          <cell r="AI14" t="str">
            <v>1ABABA</v>
          </cell>
          <cell r="AJ14" t="str">
            <v>HP DEMETHANISER COLUMN</v>
          </cell>
          <cell r="AK14">
            <v>1</v>
          </cell>
          <cell r="AL14" t="str">
            <v>EA</v>
          </cell>
          <cell r="AM14">
            <v>0</v>
          </cell>
          <cell r="AN14">
            <v>0</v>
          </cell>
          <cell r="AO14">
            <v>2810000</v>
          </cell>
          <cell r="AP14">
            <v>0</v>
          </cell>
          <cell r="AQ14">
            <v>2810000</v>
          </cell>
          <cell r="AR14">
            <v>0</v>
          </cell>
        </row>
        <row r="15">
          <cell r="M15" t="str">
            <v>1ACB-</v>
          </cell>
          <cell r="N15" t="str">
            <v>DKADU  - CONSTRUCTION - MAJOR EQUIPMENT</v>
          </cell>
          <cell r="Q15">
            <v>375240</v>
          </cell>
          <cell r="R15">
            <v>3038300</v>
          </cell>
          <cell r="S15">
            <v>0</v>
          </cell>
          <cell r="T15">
            <v>0</v>
          </cell>
          <cell r="U15">
            <v>3038300</v>
          </cell>
          <cell r="X15" t="str">
            <v>1AAIB</v>
          </cell>
          <cell r="Y15" t="str">
            <v>DKADU PLANT  - PROCUREMENT   COLUMNS</v>
          </cell>
          <cell r="AF15">
            <v>0</v>
          </cell>
          <cell r="AG15">
            <v>0</v>
          </cell>
          <cell r="AH15">
            <v>0</v>
          </cell>
          <cell r="AI15" t="str">
            <v>1ABABB</v>
          </cell>
          <cell r="AJ15" t="str">
            <v>LP DEMETHANISER COLUMN</v>
          </cell>
          <cell r="AK15">
            <v>1</v>
          </cell>
          <cell r="AL15" t="str">
            <v>EA</v>
          </cell>
          <cell r="AM15">
            <v>0</v>
          </cell>
          <cell r="AN15">
            <v>0</v>
          </cell>
          <cell r="AO15">
            <v>1032000</v>
          </cell>
          <cell r="AP15">
            <v>0</v>
          </cell>
          <cell r="AQ15">
            <v>1032000</v>
          </cell>
          <cell r="AR15">
            <v>0</v>
          </cell>
        </row>
        <row r="16">
          <cell r="M16" t="str">
            <v>1ACC-</v>
          </cell>
          <cell r="N16" t="str">
            <v>DKADU  - CONSTRUCTION - BULKS</v>
          </cell>
          <cell r="Q16">
            <v>0</v>
          </cell>
          <cell r="R16">
            <v>0</v>
          </cell>
          <cell r="S16">
            <v>0</v>
          </cell>
          <cell r="T16">
            <v>0</v>
          </cell>
          <cell r="U16">
            <v>0</v>
          </cell>
          <cell r="X16" t="str">
            <v>1AAIE</v>
          </cell>
          <cell r="Y16" t="str">
            <v>DKADU PLANT  - PROCUREMENT   PUMPS &amp; MOTORS</v>
          </cell>
          <cell r="AF16">
            <v>0</v>
          </cell>
          <cell r="AG16">
            <v>0</v>
          </cell>
          <cell r="AH16">
            <v>0</v>
          </cell>
          <cell r="AI16" t="str">
            <v>1ABABC</v>
          </cell>
          <cell r="AJ16" t="str">
            <v>MODIFY EXISTING STRIPPER COLUMN - C-9501</v>
          </cell>
          <cell r="AK16">
            <v>1</v>
          </cell>
          <cell r="AL16" t="str">
            <v>EA</v>
          </cell>
          <cell r="AM16">
            <v>0</v>
          </cell>
          <cell r="AN16">
            <v>0</v>
          </cell>
          <cell r="AO16">
            <v>95000</v>
          </cell>
          <cell r="AP16">
            <v>0</v>
          </cell>
          <cell r="AQ16">
            <v>95000</v>
          </cell>
          <cell r="AR16">
            <v>0</v>
          </cell>
        </row>
        <row r="17">
          <cell r="M17" t="str">
            <v>1ACD-</v>
          </cell>
          <cell r="N17" t="str">
            <v>DKADU  - CONSTRUCTION - CONSTRUCTION SPECIALTIES</v>
          </cell>
          <cell r="Q17">
            <v>0</v>
          </cell>
          <cell r="R17">
            <v>0</v>
          </cell>
          <cell r="S17">
            <v>0</v>
          </cell>
          <cell r="T17">
            <v>0</v>
          </cell>
          <cell r="U17">
            <v>0</v>
          </cell>
          <cell r="X17" t="str">
            <v>1AAIF</v>
          </cell>
          <cell r="Y17" t="str">
            <v>DKADU PLANT  - PROCUREMENT   HEAT EXCHANGERS - S &amp; T</v>
          </cell>
          <cell r="AF17">
            <v>0</v>
          </cell>
          <cell r="AG17">
            <v>0</v>
          </cell>
          <cell r="AH17">
            <v>0</v>
          </cell>
          <cell r="AI17" t="str">
            <v>1ABABX</v>
          </cell>
          <cell r="AJ17" t="str">
            <v>OTHER COLUMNS</v>
          </cell>
          <cell r="AK17">
            <v>0</v>
          </cell>
          <cell r="AL17">
            <v>0</v>
          </cell>
          <cell r="AM17">
            <v>0</v>
          </cell>
          <cell r="AN17">
            <v>0</v>
          </cell>
          <cell r="AO17">
            <v>0</v>
          </cell>
          <cell r="AP17">
            <v>0</v>
          </cell>
          <cell r="AQ17">
            <v>0</v>
          </cell>
          <cell r="AR17">
            <v>0</v>
          </cell>
        </row>
        <row r="18">
          <cell r="M18" t="str">
            <v>1ACE-</v>
          </cell>
          <cell r="N18" t="str">
            <v>DKADU  - CONSTRUCTION - OTHER DIRECT WORK</v>
          </cell>
          <cell r="Q18">
            <v>0</v>
          </cell>
          <cell r="R18">
            <v>0</v>
          </cell>
          <cell r="S18">
            <v>0</v>
          </cell>
          <cell r="T18">
            <v>0</v>
          </cell>
          <cell r="U18">
            <v>0</v>
          </cell>
          <cell r="X18" t="str">
            <v>1AAIG</v>
          </cell>
          <cell r="Y18" t="str">
            <v>DKADU PLANT  - PROCUREMENT   HEAT EXCHANGERS - FINNED ALUMINUM</v>
          </cell>
          <cell r="AF18">
            <v>0</v>
          </cell>
          <cell r="AG18">
            <v>0</v>
          </cell>
          <cell r="AH18">
            <v>0</v>
          </cell>
          <cell r="AI18" t="str">
            <v>1ABAB</v>
          </cell>
          <cell r="AJ18" t="str">
            <v>SUBTOTAL COLUMNS</v>
          </cell>
          <cell r="AK18">
            <v>3</v>
          </cell>
          <cell r="AL18">
            <v>0</v>
          </cell>
          <cell r="AM18">
            <v>0</v>
          </cell>
          <cell r="AN18">
            <v>0</v>
          </cell>
          <cell r="AO18">
            <v>3937000</v>
          </cell>
          <cell r="AP18">
            <v>0</v>
          </cell>
          <cell r="AQ18">
            <v>3937000</v>
          </cell>
          <cell r="AR18">
            <v>0</v>
          </cell>
        </row>
        <row r="19">
          <cell r="M19" t="str">
            <v>1ACF-</v>
          </cell>
          <cell r="N19" t="str">
            <v>DKADU  - CONSTRUCTION - INDIRECTS</v>
          </cell>
          <cell r="Q19">
            <v>0</v>
          </cell>
          <cell r="R19">
            <v>0</v>
          </cell>
          <cell r="S19">
            <v>0</v>
          </cell>
          <cell r="T19">
            <v>0</v>
          </cell>
          <cell r="U19">
            <v>0</v>
          </cell>
          <cell r="X19" t="str">
            <v>1AAIH</v>
          </cell>
          <cell r="Y19" t="str">
            <v>DKADU PLANT  - PROCUREMENT   AIR COOLERS</v>
          </cell>
          <cell r="AF19">
            <v>0</v>
          </cell>
          <cell r="AG19">
            <v>0</v>
          </cell>
          <cell r="AH19">
            <v>0</v>
          </cell>
          <cell r="AI19">
            <v>0</v>
          </cell>
          <cell r="AJ19">
            <v>0</v>
          </cell>
          <cell r="AK19">
            <v>0</v>
          </cell>
          <cell r="AL19">
            <v>0</v>
          </cell>
          <cell r="AM19">
            <v>0</v>
          </cell>
          <cell r="AN19">
            <v>0</v>
          </cell>
          <cell r="AO19">
            <v>0</v>
          </cell>
          <cell r="AP19">
            <v>0</v>
          </cell>
          <cell r="AQ19">
            <v>0</v>
          </cell>
          <cell r="AR19">
            <v>0</v>
          </cell>
        </row>
        <row r="20">
          <cell r="M20" t="str">
            <v>1AC--</v>
          </cell>
          <cell r="N20" t="str">
            <v>SUBTOTAL DKADU PLANT  - CONSTRUCTION</v>
          </cell>
          <cell r="Q20">
            <v>375240</v>
          </cell>
          <cell r="R20">
            <v>3038300</v>
          </cell>
          <cell r="S20">
            <v>0</v>
          </cell>
          <cell r="T20">
            <v>0</v>
          </cell>
          <cell r="U20">
            <v>3038300</v>
          </cell>
          <cell r="X20" t="str">
            <v>1AAII</v>
          </cell>
          <cell r="Y20" t="str">
            <v>DKADU PLANT  - PROCUREMENT   COMPRESSORS &amp; DRIVERS</v>
          </cell>
          <cell r="AF20">
            <v>0</v>
          </cell>
          <cell r="AG20">
            <v>0</v>
          </cell>
          <cell r="AH20">
            <v>0</v>
          </cell>
          <cell r="AI20" t="str">
            <v>1ABAEA</v>
          </cell>
          <cell r="AJ20" t="str">
            <v>DEMETHANIZER BOTTOM BOOSTER PUMP W/ DRIVERS</v>
          </cell>
          <cell r="AK20">
            <v>3</v>
          </cell>
          <cell r="AL20" t="str">
            <v>EA</v>
          </cell>
          <cell r="AM20">
            <v>0</v>
          </cell>
          <cell r="AN20">
            <v>0</v>
          </cell>
          <cell r="AO20">
            <v>319000</v>
          </cell>
          <cell r="AP20">
            <v>0</v>
          </cell>
          <cell r="AQ20">
            <v>319000</v>
          </cell>
          <cell r="AR20">
            <v>0</v>
          </cell>
        </row>
        <row r="21">
          <cell r="X21" t="str">
            <v>1AAIJ</v>
          </cell>
          <cell r="Y21" t="str">
            <v>DKADU PLANT  - PROCUREMENT   EMERGENCY DIESEL GENERATOR</v>
          </cell>
          <cell r="AF21">
            <v>0</v>
          </cell>
          <cell r="AG21">
            <v>0</v>
          </cell>
          <cell r="AH21">
            <v>0</v>
          </cell>
          <cell r="AI21" t="str">
            <v>1ABAEB</v>
          </cell>
          <cell r="AJ21" t="str">
            <v>NGL PIPELINE PUMP W/ DRIVERS</v>
          </cell>
          <cell r="AK21">
            <v>3</v>
          </cell>
          <cell r="AL21" t="str">
            <v>EA</v>
          </cell>
          <cell r="AM21">
            <v>0</v>
          </cell>
          <cell r="AN21">
            <v>0</v>
          </cell>
          <cell r="AO21">
            <v>461000</v>
          </cell>
          <cell r="AP21">
            <v>0</v>
          </cell>
          <cell r="AQ21">
            <v>461000</v>
          </cell>
          <cell r="AR21">
            <v>0</v>
          </cell>
        </row>
        <row r="22">
          <cell r="M22" t="str">
            <v>1ADA-</v>
          </cell>
          <cell r="N22" t="str">
            <v>DKADU PLANT  - COMMISSIONING</v>
          </cell>
          <cell r="Q22">
            <v>0</v>
          </cell>
          <cell r="R22">
            <v>0</v>
          </cell>
          <cell r="S22">
            <v>0</v>
          </cell>
          <cell r="T22">
            <v>0</v>
          </cell>
          <cell r="U22">
            <v>0</v>
          </cell>
          <cell r="X22" t="str">
            <v>1AAIQ</v>
          </cell>
          <cell r="Y22" t="str">
            <v>DKADU PLANT  - PROCUREMENT   PACKAGED EQUIPMENT</v>
          </cell>
          <cell r="AF22">
            <v>0</v>
          </cell>
          <cell r="AG22">
            <v>0</v>
          </cell>
          <cell r="AH22">
            <v>0</v>
          </cell>
          <cell r="AI22" t="str">
            <v>1ABAEX</v>
          </cell>
          <cell r="AJ22" t="str">
            <v>OTHER PUMPS &amp; MOTORS</v>
          </cell>
          <cell r="AK22">
            <v>3</v>
          </cell>
          <cell r="AL22" t="str">
            <v>EA</v>
          </cell>
          <cell r="AM22">
            <v>0</v>
          </cell>
          <cell r="AN22">
            <v>0</v>
          </cell>
          <cell r="AO22">
            <v>380000</v>
          </cell>
          <cell r="AP22">
            <v>0</v>
          </cell>
          <cell r="AQ22">
            <v>380000</v>
          </cell>
          <cell r="AR22">
            <v>0</v>
          </cell>
        </row>
        <row r="23">
          <cell r="M23" t="str">
            <v>1ADB-</v>
          </cell>
          <cell r="N23" t="str">
            <v>DKADU PLANT  -PERFORMANCE TEST</v>
          </cell>
          <cell r="Q23">
            <v>0</v>
          </cell>
          <cell r="R23">
            <v>0</v>
          </cell>
          <cell r="S23">
            <v>0</v>
          </cell>
          <cell r="T23">
            <v>0</v>
          </cell>
          <cell r="U23">
            <v>0</v>
          </cell>
          <cell r="X23" t="str">
            <v>1AAIR</v>
          </cell>
          <cell r="Y23" t="str">
            <v>DKADU PLANT  - PROCUREMENT   ELECTRICAL EQUIPMENT</v>
          </cell>
          <cell r="AF23">
            <v>0</v>
          </cell>
          <cell r="AG23">
            <v>0</v>
          </cell>
          <cell r="AH23">
            <v>0</v>
          </cell>
          <cell r="AI23" t="str">
            <v>1ABAE-</v>
          </cell>
          <cell r="AJ23" t="str">
            <v>SUBTOTAL PUMPS &amp; MOTORS</v>
          </cell>
          <cell r="AK23">
            <v>9</v>
          </cell>
          <cell r="AL23">
            <v>0</v>
          </cell>
          <cell r="AM23">
            <v>0</v>
          </cell>
          <cell r="AN23">
            <v>0</v>
          </cell>
          <cell r="AO23">
            <v>1160000</v>
          </cell>
          <cell r="AP23">
            <v>0</v>
          </cell>
          <cell r="AQ23">
            <v>1160000</v>
          </cell>
          <cell r="AR23">
            <v>0</v>
          </cell>
        </row>
        <row r="24">
          <cell r="M24" t="str">
            <v>1AD--</v>
          </cell>
          <cell r="N24" t="str">
            <v>SUBTOTAL DKADU PLANT  - COMMISSIONING, PERFORMANCE TEST &amp; TRAINING</v>
          </cell>
          <cell r="Q24">
            <v>0</v>
          </cell>
          <cell r="R24">
            <v>0</v>
          </cell>
          <cell r="S24">
            <v>0</v>
          </cell>
          <cell r="T24">
            <v>0</v>
          </cell>
          <cell r="U24">
            <v>0</v>
          </cell>
          <cell r="X24" t="str">
            <v>1AAIS</v>
          </cell>
          <cell r="Y24" t="str">
            <v>DKADU PLANT  - PROCUREMENT INSTRUMENTATION EQUIPMENT</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X25" t="str">
            <v>1AAIT</v>
          </cell>
          <cell r="Y25" t="str">
            <v>DKADU PLANT  - PROCUREMENT   BULKS</v>
          </cell>
          <cell r="AF25">
            <v>0</v>
          </cell>
          <cell r="AG25">
            <v>0</v>
          </cell>
          <cell r="AH25">
            <v>0</v>
          </cell>
          <cell r="AI25" t="str">
            <v>1ABAFA</v>
          </cell>
          <cell r="AJ25" t="str">
            <v>RECYCLE GAS/GAS EXCHANGERS</v>
          </cell>
          <cell r="AK25">
            <v>2</v>
          </cell>
          <cell r="AL25" t="str">
            <v>EA</v>
          </cell>
          <cell r="AM25">
            <v>0</v>
          </cell>
          <cell r="AN25">
            <v>0</v>
          </cell>
          <cell r="AO25">
            <v>389000</v>
          </cell>
          <cell r="AP25">
            <v>0</v>
          </cell>
          <cell r="AQ25">
            <v>389000</v>
          </cell>
          <cell r="AR25">
            <v>0</v>
          </cell>
        </row>
        <row r="26">
          <cell r="X26" t="str">
            <v>1AAIX</v>
          </cell>
          <cell r="Y26" t="str">
            <v>DKADU PLANT  - PROCUREMENT   OTHER</v>
          </cell>
          <cell r="AF26">
            <v>0</v>
          </cell>
          <cell r="AG26">
            <v>0</v>
          </cell>
          <cell r="AH26">
            <v>0</v>
          </cell>
          <cell r="AI26" t="str">
            <v>1ABAFB</v>
          </cell>
          <cell r="AJ26" t="str">
            <v>LP GAS/GAS EXCHANGERS</v>
          </cell>
          <cell r="AK26">
            <v>4</v>
          </cell>
          <cell r="AL26" t="str">
            <v>EA</v>
          </cell>
          <cell r="AM26">
            <v>0</v>
          </cell>
          <cell r="AN26">
            <v>0</v>
          </cell>
          <cell r="AO26">
            <v>1910000</v>
          </cell>
          <cell r="AP26">
            <v>0</v>
          </cell>
          <cell r="AQ26">
            <v>1910000</v>
          </cell>
          <cell r="AR26">
            <v>0</v>
          </cell>
        </row>
        <row r="27">
          <cell r="X27" t="str">
            <v>1AAI-</v>
          </cell>
          <cell r="Y27" t="str">
            <v>SUBTOTAL - DKADU PLANT  - PROCUREMENT</v>
          </cell>
          <cell r="Z27">
            <v>0</v>
          </cell>
          <cell r="AA27" t="str">
            <v>N/A</v>
          </cell>
          <cell r="AB27">
            <v>0</v>
          </cell>
          <cell r="AC27">
            <v>0</v>
          </cell>
          <cell r="AD27">
            <v>0</v>
          </cell>
          <cell r="AE27">
            <v>0</v>
          </cell>
          <cell r="AF27">
            <v>0</v>
          </cell>
          <cell r="AI27" t="str">
            <v>1ABAFC</v>
          </cell>
          <cell r="AJ27" t="str">
            <v>LP DEMETHANIZER REBOILER</v>
          </cell>
          <cell r="AK27">
            <v>1</v>
          </cell>
          <cell r="AL27" t="str">
            <v>EA</v>
          </cell>
          <cell r="AO27">
            <v>591000</v>
          </cell>
          <cell r="AQ27">
            <v>591000</v>
          </cell>
        </row>
        <row r="28">
          <cell r="AI28" t="str">
            <v>1ABAFD</v>
          </cell>
          <cell r="AJ28" t="str">
            <v>UPPER SIDE REBOILER</v>
          </cell>
          <cell r="AK28">
            <v>1</v>
          </cell>
          <cell r="AL28" t="str">
            <v>EA</v>
          </cell>
          <cell r="AO28">
            <v>780000</v>
          </cell>
          <cell r="AQ28">
            <v>780000</v>
          </cell>
        </row>
        <row r="29">
          <cell r="X29" t="str">
            <v>1AAJA</v>
          </cell>
          <cell r="Y29" t="str">
            <v>DKADU PLANT  - INDIRECT ENG'G CONTRACTS</v>
          </cell>
          <cell r="AF29">
            <v>0</v>
          </cell>
          <cell r="AG29">
            <v>0</v>
          </cell>
          <cell r="AH29">
            <v>0</v>
          </cell>
          <cell r="AI29" t="str">
            <v>1ABAFE</v>
          </cell>
          <cell r="AJ29" t="str">
            <v>LOWER SIDE REBOILER</v>
          </cell>
          <cell r="AK29">
            <v>1</v>
          </cell>
          <cell r="AL29" t="str">
            <v>EA</v>
          </cell>
          <cell r="AM29">
            <v>0</v>
          </cell>
          <cell r="AN29">
            <v>0</v>
          </cell>
          <cell r="AO29">
            <v>416000</v>
          </cell>
          <cell r="AP29">
            <v>0</v>
          </cell>
          <cell r="AQ29">
            <v>416000</v>
          </cell>
          <cell r="AR29">
            <v>0</v>
          </cell>
        </row>
        <row r="30">
          <cell r="X30" t="str">
            <v>1AAJB</v>
          </cell>
          <cell r="Y30" t="str">
            <v>DKADU PLANT  - INDIRECT ENG'G PROJECT MANAGEMENT</v>
          </cell>
          <cell r="AF30">
            <v>0</v>
          </cell>
          <cell r="AG30">
            <v>0</v>
          </cell>
          <cell r="AH30">
            <v>0</v>
          </cell>
          <cell r="AI30" t="str">
            <v>1ABAFF</v>
          </cell>
          <cell r="AJ30" t="str">
            <v>RECYCLE COMPRESSOR AFTER COOLER</v>
          </cell>
          <cell r="AK30">
            <v>3</v>
          </cell>
          <cell r="AL30" t="str">
            <v>EA</v>
          </cell>
          <cell r="AM30">
            <v>0</v>
          </cell>
          <cell r="AN30">
            <v>0</v>
          </cell>
          <cell r="AO30">
            <v>1664000</v>
          </cell>
          <cell r="AP30">
            <v>0</v>
          </cell>
          <cell r="AQ30">
            <v>1664000</v>
          </cell>
          <cell r="AR30">
            <v>0</v>
          </cell>
        </row>
        <row r="31">
          <cell r="X31" t="str">
            <v>1AAJC</v>
          </cell>
          <cell r="Y31" t="str">
            <v>DKADU PLANT  - INDIRECT ENG'G ENGINEERING/NON-TECH</v>
          </cell>
          <cell r="AF31">
            <v>0</v>
          </cell>
          <cell r="AG31">
            <v>0</v>
          </cell>
          <cell r="AH31">
            <v>0</v>
          </cell>
          <cell r="AI31" t="str">
            <v>1ABAFX</v>
          </cell>
          <cell r="AJ31" t="str">
            <v>OTHER SHELL &amp; TUBE EXCHANGERS</v>
          </cell>
          <cell r="AK31">
            <v>0</v>
          </cell>
          <cell r="AL31">
            <v>0</v>
          </cell>
          <cell r="AM31">
            <v>0</v>
          </cell>
          <cell r="AN31">
            <v>0</v>
          </cell>
          <cell r="AO31">
            <v>0</v>
          </cell>
          <cell r="AP31">
            <v>0</v>
          </cell>
          <cell r="AQ31">
            <v>0</v>
          </cell>
          <cell r="AR31">
            <v>0</v>
          </cell>
        </row>
        <row r="32">
          <cell r="X32" t="str">
            <v>1AAJX</v>
          </cell>
          <cell r="Y32" t="str">
            <v>DKADU PLANT  - INDIRECT ENG'G OTHER</v>
          </cell>
          <cell r="AF32">
            <v>0</v>
          </cell>
          <cell r="AG32">
            <v>0</v>
          </cell>
          <cell r="AH32">
            <v>0</v>
          </cell>
          <cell r="AI32" t="str">
            <v>1ABAF-</v>
          </cell>
          <cell r="AJ32" t="str">
            <v>SUBTOTAL HEAT EXCHANGERS - SHELL &amp; TUBE</v>
          </cell>
          <cell r="AK32">
            <v>12</v>
          </cell>
          <cell r="AL32">
            <v>0</v>
          </cell>
          <cell r="AM32">
            <v>0</v>
          </cell>
          <cell r="AN32">
            <v>0</v>
          </cell>
          <cell r="AO32">
            <v>5750000</v>
          </cell>
          <cell r="AP32">
            <v>0</v>
          </cell>
          <cell r="AQ32">
            <v>5750000</v>
          </cell>
          <cell r="AR32">
            <v>0</v>
          </cell>
        </row>
        <row r="33">
          <cell r="X33" t="str">
            <v>1AAJ-</v>
          </cell>
          <cell r="Y33" t="str">
            <v>SUBTOTAL - DKADU PLANT  - INDIRECT ENGINEERING</v>
          </cell>
          <cell r="Z33">
            <v>0</v>
          </cell>
          <cell r="AA33" t="str">
            <v>N/A</v>
          </cell>
          <cell r="AB33">
            <v>0</v>
          </cell>
          <cell r="AC33">
            <v>0</v>
          </cell>
          <cell r="AD33">
            <v>0</v>
          </cell>
          <cell r="AE33">
            <v>0</v>
          </cell>
          <cell r="AF33">
            <v>0</v>
          </cell>
        </row>
        <row r="34">
          <cell r="AI34" t="str">
            <v>1ABAGX</v>
          </cell>
          <cell r="AJ34" t="str">
            <v>OTHER EXCHANGERS - FINNED ALUMINUM</v>
          </cell>
          <cell r="AQ34">
            <v>0</v>
          </cell>
        </row>
        <row r="35">
          <cell r="AI35" t="str">
            <v>1ABAG-</v>
          </cell>
          <cell r="AJ35" t="str">
            <v>SUBTOTAL - HEAT EXCHANGERS - FINNED ALUMINUM</v>
          </cell>
          <cell r="AK35">
            <v>0</v>
          </cell>
          <cell r="AL35">
            <v>0</v>
          </cell>
          <cell r="AM35">
            <v>0</v>
          </cell>
          <cell r="AN35">
            <v>0</v>
          </cell>
          <cell r="AO35">
            <v>0</v>
          </cell>
          <cell r="AP35">
            <v>0</v>
          </cell>
          <cell r="AQ35">
            <v>0</v>
          </cell>
        </row>
        <row r="46">
          <cell r="W46" t="str">
            <v>LEVEL 2 DKADU PLANT PG.2</v>
          </cell>
          <cell r="X46" t="str">
            <v>WBS CODE</v>
          </cell>
          <cell r="Y46" t="str">
            <v>DESCRIPTION</v>
          </cell>
          <cell r="Z46" t="str">
            <v>QUANTITY</v>
          </cell>
          <cell r="AA46" t="str">
            <v>UNITS</v>
          </cell>
          <cell r="AB46" t="str">
            <v>TOTAL MANHOURS</v>
          </cell>
          <cell r="AC46" t="str">
            <v>TOTAL LABOR COST</v>
          </cell>
          <cell r="AD46" t="str">
            <v>TOTAL MAT'L COST</v>
          </cell>
          <cell r="AE46" t="str">
            <v>TOTAL S/C COST</v>
          </cell>
          <cell r="AF46" t="str">
            <v>TOTAL COST</v>
          </cell>
          <cell r="AH46" t="str">
            <v>LEVEL 3 DKADU PLANT PG 2</v>
          </cell>
          <cell r="AI46" t="str">
            <v>WBS CODE</v>
          </cell>
          <cell r="AJ46" t="str">
            <v>DESCRIPTION</v>
          </cell>
          <cell r="AK46" t="str">
            <v>QUANTITY</v>
          </cell>
          <cell r="AL46" t="str">
            <v>UNITS</v>
          </cell>
          <cell r="AM46" t="str">
            <v>TOTAL MANHOURS</v>
          </cell>
          <cell r="AN46" t="str">
            <v>TOTAL LABOR COST</v>
          </cell>
          <cell r="AO46" t="str">
            <v>TOTAL MAT'L COST</v>
          </cell>
          <cell r="AP46" t="str">
            <v>TOTAL S/C COST</v>
          </cell>
          <cell r="AQ46" t="str">
            <v>TOTAL COST</v>
          </cell>
        </row>
        <row r="48">
          <cell r="X48" t="str">
            <v>1ABAA</v>
          </cell>
          <cell r="Y48" t="str">
            <v>DKADU PLANT  - FAB/DELIVERY MAJOR EQUIP PRESSURE VESSELS</v>
          </cell>
          <cell r="Z48">
            <v>17</v>
          </cell>
          <cell r="AA48">
            <v>0</v>
          </cell>
          <cell r="AB48">
            <v>0</v>
          </cell>
          <cell r="AC48">
            <v>0</v>
          </cell>
          <cell r="AD48">
            <v>2878400</v>
          </cell>
          <cell r="AE48">
            <v>0</v>
          </cell>
          <cell r="AF48">
            <v>2878400</v>
          </cell>
          <cell r="AI48" t="str">
            <v>1ABAHA</v>
          </cell>
          <cell r="AJ48" t="str">
            <v>DEMETHANIZER FEED CHILLER W/ OH REFLUX COOLER</v>
          </cell>
          <cell r="AK48">
            <v>2</v>
          </cell>
          <cell r="AL48" t="str">
            <v>EA</v>
          </cell>
          <cell r="AO48">
            <v>2193000</v>
          </cell>
          <cell r="AQ48">
            <v>2193000</v>
          </cell>
        </row>
        <row r="49">
          <cell r="X49" t="str">
            <v>1ABAB</v>
          </cell>
          <cell r="Y49" t="str">
            <v>DKADU PLANT  - FAB/DELIVERY MAJOR EQUIP COLUMNS</v>
          </cell>
          <cell r="Z49">
            <v>3</v>
          </cell>
          <cell r="AA49">
            <v>0</v>
          </cell>
          <cell r="AB49">
            <v>0</v>
          </cell>
          <cell r="AC49">
            <v>0</v>
          </cell>
          <cell r="AD49">
            <v>3937000</v>
          </cell>
          <cell r="AE49">
            <v>0</v>
          </cell>
          <cell r="AF49">
            <v>3937000</v>
          </cell>
          <cell r="AI49" t="str">
            <v>1ABAHB</v>
          </cell>
          <cell r="AJ49" t="str">
            <v>RECYCLE GAS PREHEATER</v>
          </cell>
          <cell r="AK49">
            <v>1</v>
          </cell>
          <cell r="AL49" t="str">
            <v>EA</v>
          </cell>
          <cell r="AO49">
            <v>1527000</v>
          </cell>
          <cell r="AQ49">
            <v>1527000</v>
          </cell>
        </row>
        <row r="50">
          <cell r="X50" t="str">
            <v>1ABAE</v>
          </cell>
          <cell r="Y50" t="str">
            <v>DKADU PLANT  - FAB/DELIVERY MAJOR EQUIP PUMPS &amp; MOTORS</v>
          </cell>
          <cell r="Z50">
            <v>9</v>
          </cell>
          <cell r="AA50">
            <v>0</v>
          </cell>
          <cell r="AB50">
            <v>0</v>
          </cell>
          <cell r="AC50">
            <v>0</v>
          </cell>
          <cell r="AD50">
            <v>1160000</v>
          </cell>
          <cell r="AE50">
            <v>0</v>
          </cell>
          <cell r="AF50">
            <v>1160000</v>
          </cell>
          <cell r="AI50" t="str">
            <v>1ABAHC</v>
          </cell>
          <cell r="AJ50" t="str">
            <v>LP BOOSTER COMPRESSOR AFTERCOOLER</v>
          </cell>
          <cell r="AK50">
            <v>1</v>
          </cell>
          <cell r="AL50" t="str">
            <v>EA</v>
          </cell>
          <cell r="AO50">
            <v>128000</v>
          </cell>
          <cell r="AQ50">
            <v>128000</v>
          </cell>
        </row>
        <row r="51">
          <cell r="X51" t="str">
            <v>1ABAF</v>
          </cell>
          <cell r="Y51" t="str">
            <v>DKADU PLANT  - FAB/DELIVERY MAJOR EQUIP HEAT EXCHANGERS S&amp;T</v>
          </cell>
          <cell r="Z51">
            <v>12</v>
          </cell>
          <cell r="AA51">
            <v>0</v>
          </cell>
          <cell r="AB51">
            <v>0</v>
          </cell>
          <cell r="AC51">
            <v>0</v>
          </cell>
          <cell r="AD51">
            <v>5750000</v>
          </cell>
          <cell r="AE51">
            <v>0</v>
          </cell>
          <cell r="AF51">
            <v>5750000</v>
          </cell>
          <cell r="AI51" t="str">
            <v>1ABAHD</v>
          </cell>
          <cell r="AJ51" t="str">
            <v>BOOSTER COMPRESSOR AFTERCOOLER</v>
          </cell>
          <cell r="AK51">
            <v>2</v>
          </cell>
          <cell r="AL51" t="str">
            <v>EA</v>
          </cell>
          <cell r="AO51">
            <v>548000</v>
          </cell>
          <cell r="AQ51">
            <v>548000</v>
          </cell>
        </row>
        <row r="52">
          <cell r="X52" t="str">
            <v>1ABAG</v>
          </cell>
          <cell r="Y52" t="str">
            <v>DKADU PLANT  - FAB/DELIVERY MAJOR EQUIP HEAT EXCHANGERS FINNED ALUMINUM</v>
          </cell>
          <cell r="Z52">
            <v>0</v>
          </cell>
          <cell r="AA52">
            <v>0</v>
          </cell>
          <cell r="AB52">
            <v>0</v>
          </cell>
          <cell r="AC52">
            <v>0</v>
          </cell>
          <cell r="AD52">
            <v>0</v>
          </cell>
          <cell r="AE52">
            <v>0</v>
          </cell>
          <cell r="AF52">
            <v>0</v>
          </cell>
          <cell r="AI52" t="str">
            <v>1ABAHX</v>
          </cell>
          <cell r="AJ52" t="str">
            <v>OTHER AIR COOLERS</v>
          </cell>
          <cell r="AQ52">
            <v>0</v>
          </cell>
        </row>
        <row r="53">
          <cell r="X53" t="str">
            <v>1ABAH</v>
          </cell>
          <cell r="Y53" t="str">
            <v>DKADU PLANT  - FAB/DELIVERY MAJOR EQUIP AIR COOLERS</v>
          </cell>
          <cell r="Z53">
            <v>6</v>
          </cell>
          <cell r="AA53">
            <v>0</v>
          </cell>
          <cell r="AB53">
            <v>0</v>
          </cell>
          <cell r="AC53">
            <v>0</v>
          </cell>
          <cell r="AD53">
            <v>4396000</v>
          </cell>
          <cell r="AE53">
            <v>0</v>
          </cell>
          <cell r="AF53">
            <v>4396000</v>
          </cell>
          <cell r="AI53" t="str">
            <v>1ABAH-</v>
          </cell>
          <cell r="AJ53" t="str">
            <v>SUBTOTAL - AIR COOLERS</v>
          </cell>
          <cell r="AK53">
            <v>6</v>
          </cell>
          <cell r="AL53">
            <v>0</v>
          </cell>
          <cell r="AM53">
            <v>0</v>
          </cell>
          <cell r="AN53">
            <v>0</v>
          </cell>
          <cell r="AO53">
            <v>4396000</v>
          </cell>
          <cell r="AP53">
            <v>0</v>
          </cell>
          <cell r="AQ53">
            <v>4396000</v>
          </cell>
        </row>
        <row r="54">
          <cell r="X54" t="str">
            <v>1ABAI</v>
          </cell>
          <cell r="Y54" t="str">
            <v>DKADU PLANT  - FAB/DELIVERY MAJOR EQUIP COMPRESSORS &amp; DRIVERS</v>
          </cell>
          <cell r="Z54">
            <v>7</v>
          </cell>
          <cell r="AA54">
            <v>0</v>
          </cell>
          <cell r="AB54">
            <v>0</v>
          </cell>
          <cell r="AC54">
            <v>0</v>
          </cell>
          <cell r="AD54">
            <v>40205000</v>
          </cell>
          <cell r="AE54">
            <v>0</v>
          </cell>
          <cell r="AF54">
            <v>40205000</v>
          </cell>
        </row>
        <row r="55">
          <cell r="X55" t="str">
            <v>1ABAJ</v>
          </cell>
          <cell r="Y55" t="str">
            <v>DKADU PLANT  - FAB/DELIVERY MAJOR EQUIP EMEGENCY DIESEL GENERATOR</v>
          </cell>
          <cell r="AF55">
            <v>0</v>
          </cell>
          <cell r="AG55">
            <v>0</v>
          </cell>
          <cell r="AH55">
            <v>0</v>
          </cell>
          <cell r="AI55" t="str">
            <v>1ABAIA</v>
          </cell>
          <cell r="AJ55" t="str">
            <v>GAS RECYCLE COMPRESSORS W/TURBINES</v>
          </cell>
          <cell r="AK55">
            <v>3</v>
          </cell>
          <cell r="AL55" t="str">
            <v>EA</v>
          </cell>
          <cell r="AM55">
            <v>0</v>
          </cell>
          <cell r="AN55">
            <v>0</v>
          </cell>
          <cell r="AO55">
            <v>25295000</v>
          </cell>
          <cell r="AP55">
            <v>0</v>
          </cell>
          <cell r="AQ55">
            <v>25295000</v>
          </cell>
          <cell r="AR55">
            <v>0</v>
          </cell>
        </row>
        <row r="56">
          <cell r="X56" t="str">
            <v>1ABAQ</v>
          </cell>
          <cell r="Y56" t="str">
            <v>DKADU PLANT  - FAB/DELIVERY MAJOR EQUIP PACKAGED EQUIPMENT</v>
          </cell>
          <cell r="Z56">
            <v>4</v>
          </cell>
          <cell r="AA56">
            <v>0</v>
          </cell>
          <cell r="AB56">
            <v>0</v>
          </cell>
          <cell r="AC56">
            <v>0</v>
          </cell>
          <cell r="AD56">
            <v>535400</v>
          </cell>
          <cell r="AE56">
            <v>0</v>
          </cell>
          <cell r="AF56">
            <v>535400</v>
          </cell>
          <cell r="AI56" t="str">
            <v>1ABAIB</v>
          </cell>
          <cell r="AJ56" t="str">
            <v>RECYCLE EXPANDER COMP. W/DRIVERS</v>
          </cell>
          <cell r="AK56">
            <v>1</v>
          </cell>
          <cell r="AL56" t="str">
            <v>EA</v>
          </cell>
          <cell r="AO56">
            <v>1446000</v>
          </cell>
          <cell r="AQ56">
            <v>1446000</v>
          </cell>
        </row>
        <row r="57">
          <cell r="X57" t="str">
            <v>1ABAR</v>
          </cell>
          <cell r="Y57" t="str">
            <v>DKADU PLANT  - FAB/DELIVERY MAJOR EQUIP ELECTRICAL EQUIPMENT</v>
          </cell>
          <cell r="Z57">
            <v>0</v>
          </cell>
          <cell r="AA57">
            <v>0</v>
          </cell>
          <cell r="AB57">
            <v>0</v>
          </cell>
          <cell r="AC57">
            <v>0</v>
          </cell>
          <cell r="AD57">
            <v>0</v>
          </cell>
          <cell r="AE57">
            <v>0</v>
          </cell>
          <cell r="AF57">
            <v>0</v>
          </cell>
          <cell r="AI57" t="str">
            <v>1ABAIC</v>
          </cell>
          <cell r="AJ57" t="str">
            <v>INJECTION BOOSTER COMPRESSORS &amp; DRIVERS</v>
          </cell>
          <cell r="AK57">
            <v>2</v>
          </cell>
          <cell r="AL57" t="str">
            <v>EA</v>
          </cell>
          <cell r="AO57">
            <v>10035000</v>
          </cell>
          <cell r="AQ57">
            <v>10035000</v>
          </cell>
        </row>
        <row r="58">
          <cell r="X58" t="str">
            <v>1ABAS</v>
          </cell>
          <cell r="Y58" t="str">
            <v>DKADU PLANT  - FAB/DELIVERY MAJOR EQUIP INSTRUMENTATION EQUIPMENT</v>
          </cell>
          <cell r="Z58">
            <v>0</v>
          </cell>
          <cell r="AA58">
            <v>0</v>
          </cell>
          <cell r="AB58">
            <v>0</v>
          </cell>
          <cell r="AC58">
            <v>0</v>
          </cell>
          <cell r="AD58">
            <v>0</v>
          </cell>
          <cell r="AE58">
            <v>0</v>
          </cell>
          <cell r="AF58">
            <v>0</v>
          </cell>
          <cell r="AI58" t="str">
            <v>1ABAID</v>
          </cell>
          <cell r="AJ58" t="str">
            <v>LP BOOSTER COMPRESSORS &amp; DRIVERS</v>
          </cell>
          <cell r="AK58">
            <v>1</v>
          </cell>
          <cell r="AL58" t="str">
            <v>EA</v>
          </cell>
          <cell r="AO58">
            <v>3429000</v>
          </cell>
          <cell r="AQ58">
            <v>3429000</v>
          </cell>
        </row>
        <row r="59">
          <cell r="X59" t="str">
            <v>1ABAX</v>
          </cell>
          <cell r="Y59" t="str">
            <v>DKADU PLANT  - FAB/DELIVERY MAJOR EQUIP OTHER</v>
          </cell>
          <cell r="Z59">
            <v>0</v>
          </cell>
          <cell r="AA59">
            <v>0</v>
          </cell>
          <cell r="AB59">
            <v>0</v>
          </cell>
          <cell r="AC59">
            <v>0</v>
          </cell>
          <cell r="AD59">
            <v>0</v>
          </cell>
          <cell r="AE59">
            <v>0</v>
          </cell>
          <cell r="AF59">
            <v>0</v>
          </cell>
          <cell r="AI59" t="str">
            <v>1ABAIE</v>
          </cell>
          <cell r="AJ59" t="str">
            <v>MODIFICATION OF EXPANDERS COMPRESSORS</v>
          </cell>
          <cell r="AQ59">
            <v>0</v>
          </cell>
        </row>
        <row r="60">
          <cell r="X60" t="str">
            <v>1ABA-</v>
          </cell>
          <cell r="Y60" t="str">
            <v>SUBTOTAL - DKADU PLANT  - FAB/DELIVERY MAJOR EQUIP.</v>
          </cell>
          <cell r="Z60">
            <v>58</v>
          </cell>
          <cell r="AA60" t="str">
            <v>N/A</v>
          </cell>
          <cell r="AB60">
            <v>0</v>
          </cell>
          <cell r="AC60">
            <v>0</v>
          </cell>
          <cell r="AD60">
            <v>58861800</v>
          </cell>
          <cell r="AE60">
            <v>0</v>
          </cell>
          <cell r="AF60">
            <v>58861800</v>
          </cell>
          <cell r="AI60" t="str">
            <v>1ABAIX</v>
          </cell>
          <cell r="AJ60" t="str">
            <v>OTHER COMPRESSORS &amp; DRIVERS</v>
          </cell>
          <cell r="AQ60">
            <v>0</v>
          </cell>
        </row>
        <row r="61">
          <cell r="AI61" t="str">
            <v>1ABAI</v>
          </cell>
          <cell r="AJ61" t="str">
            <v>SUBTOTAL - COMPRESSORS &amp; DRIVERS</v>
          </cell>
          <cell r="AK61">
            <v>7</v>
          </cell>
          <cell r="AL61">
            <v>0</v>
          </cell>
          <cell r="AM61">
            <v>0</v>
          </cell>
          <cell r="AN61">
            <v>0</v>
          </cell>
          <cell r="AO61">
            <v>40205000</v>
          </cell>
          <cell r="AP61">
            <v>0</v>
          </cell>
          <cell r="AQ61">
            <v>40205000</v>
          </cell>
        </row>
        <row r="62">
          <cell r="X62" t="str">
            <v>1ABBA</v>
          </cell>
          <cell r="Y62" t="str">
            <v>DKADU PLANT  - FAB/DELIVERY BULKS - IMBEDS</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X63" t="str">
            <v>1ABBB</v>
          </cell>
          <cell r="Y63" t="str">
            <v>DKADU PLANT  - FAB/DELIVERY BULKS - STRUCTURAL</v>
          </cell>
          <cell r="AF63">
            <v>0</v>
          </cell>
          <cell r="AG63">
            <v>0</v>
          </cell>
          <cell r="AH63">
            <v>0</v>
          </cell>
          <cell r="AI63" t="str">
            <v>1ABAQA</v>
          </cell>
          <cell r="AJ63" t="str">
            <v>AIR COMPRESSOR PACKAGE W/ IA DRYER AND RECEIVER</v>
          </cell>
          <cell r="AK63">
            <v>1</v>
          </cell>
          <cell r="AL63" t="str">
            <v>SET</v>
          </cell>
          <cell r="AM63">
            <v>0</v>
          </cell>
          <cell r="AN63">
            <v>0</v>
          </cell>
          <cell r="AO63">
            <v>173000</v>
          </cell>
          <cell r="AP63">
            <v>0</v>
          </cell>
          <cell r="AQ63">
            <v>173000</v>
          </cell>
          <cell r="AR63">
            <v>0</v>
          </cell>
        </row>
        <row r="64">
          <cell r="X64" t="str">
            <v>1ABBC</v>
          </cell>
          <cell r="Y64" t="str">
            <v>DKADU PLANT  - FAB/DELIVERY BULKS - PIPING</v>
          </cell>
          <cell r="Z64">
            <v>0</v>
          </cell>
          <cell r="AA64">
            <v>0</v>
          </cell>
          <cell r="AB64">
            <v>0</v>
          </cell>
          <cell r="AC64">
            <v>0</v>
          </cell>
          <cell r="AD64">
            <v>0</v>
          </cell>
          <cell r="AE64">
            <v>0</v>
          </cell>
          <cell r="AF64">
            <v>0</v>
          </cell>
          <cell r="AI64" t="str">
            <v>1ABAQB</v>
          </cell>
          <cell r="AJ64" t="str">
            <v>METHANOL INJECTION SKID</v>
          </cell>
          <cell r="AK64">
            <v>1</v>
          </cell>
          <cell r="AL64" t="str">
            <v>SET</v>
          </cell>
          <cell r="AO64">
            <v>185000</v>
          </cell>
          <cell r="AQ64">
            <v>185000</v>
          </cell>
        </row>
        <row r="65">
          <cell r="X65" t="str">
            <v>1ABBD</v>
          </cell>
          <cell r="Y65" t="str">
            <v>DKADU PLANT  - FAB/DELIVERY BULKS - ELECTRICAL</v>
          </cell>
          <cell r="Z65">
            <v>0</v>
          </cell>
          <cell r="AA65">
            <v>0</v>
          </cell>
          <cell r="AB65">
            <v>0</v>
          </cell>
          <cell r="AC65">
            <v>0</v>
          </cell>
          <cell r="AD65">
            <v>0</v>
          </cell>
          <cell r="AE65">
            <v>0</v>
          </cell>
          <cell r="AF65">
            <v>0</v>
          </cell>
          <cell r="AI65" t="str">
            <v>1ABAQC</v>
          </cell>
          <cell r="AJ65" t="str">
            <v>NITROGEN EQUIPMENT PACKAGE</v>
          </cell>
          <cell r="AQ65">
            <v>0</v>
          </cell>
        </row>
        <row r="66">
          <cell r="X66" t="str">
            <v>1ABBE</v>
          </cell>
          <cell r="Y66" t="str">
            <v>DKADU PLANT  - FAB/DELIVERY BULKS - INSTRUMENTATION</v>
          </cell>
          <cell r="Z66">
            <v>0</v>
          </cell>
          <cell r="AA66">
            <v>0</v>
          </cell>
          <cell r="AB66">
            <v>0</v>
          </cell>
          <cell r="AC66">
            <v>0</v>
          </cell>
          <cell r="AD66">
            <v>0</v>
          </cell>
          <cell r="AE66">
            <v>0</v>
          </cell>
          <cell r="AF66">
            <v>0</v>
          </cell>
          <cell r="AI66" t="str">
            <v>1ABAQX</v>
          </cell>
          <cell r="AJ66" t="str">
            <v>OTHER PACKAGED EQUIPMENT</v>
          </cell>
          <cell r="AK66">
            <v>2</v>
          </cell>
          <cell r="AL66" t="str">
            <v>SET</v>
          </cell>
          <cell r="AO66">
            <v>177400</v>
          </cell>
          <cell r="AQ66">
            <v>177400</v>
          </cell>
        </row>
        <row r="67">
          <cell r="X67" t="str">
            <v>1ABB-</v>
          </cell>
          <cell r="Y67" t="str">
            <v>SUBTOTAL - DKADU PLANT  - FAB/DELIVERY BULKS</v>
          </cell>
          <cell r="Z67">
            <v>0</v>
          </cell>
          <cell r="AA67" t="str">
            <v>N/A</v>
          </cell>
          <cell r="AB67">
            <v>0</v>
          </cell>
          <cell r="AC67">
            <v>0</v>
          </cell>
          <cell r="AD67">
            <v>0</v>
          </cell>
          <cell r="AE67">
            <v>0</v>
          </cell>
          <cell r="AF67">
            <v>0</v>
          </cell>
          <cell r="AI67" t="str">
            <v>1ABAQ-</v>
          </cell>
          <cell r="AJ67" t="str">
            <v>SUBTOTAL PACKAGED EQUIPMENT</v>
          </cell>
          <cell r="AK67">
            <v>4</v>
          </cell>
          <cell r="AL67">
            <v>0</v>
          </cell>
          <cell r="AM67">
            <v>0</v>
          </cell>
          <cell r="AN67">
            <v>0</v>
          </cell>
          <cell r="AO67">
            <v>535400</v>
          </cell>
          <cell r="AP67">
            <v>0</v>
          </cell>
          <cell r="AQ67">
            <v>535400</v>
          </cell>
        </row>
        <row r="69">
          <cell r="X69" t="str">
            <v>1ABCA</v>
          </cell>
          <cell r="Y69" t="str">
            <v>DKADU PLANT  - FAB/DELIVERY ENG. SPECIALTIES - BUILDINGS</v>
          </cell>
          <cell r="AF69">
            <v>0</v>
          </cell>
          <cell r="AG69">
            <v>0</v>
          </cell>
          <cell r="AH69">
            <v>0</v>
          </cell>
          <cell r="AI69" t="str">
            <v>1ABARA</v>
          </cell>
          <cell r="AJ69" t="str">
            <v>SWITCHGEAR</v>
          </cell>
          <cell r="AK69">
            <v>0</v>
          </cell>
          <cell r="AL69">
            <v>0</v>
          </cell>
          <cell r="AM69">
            <v>0</v>
          </cell>
          <cell r="AN69">
            <v>0</v>
          </cell>
          <cell r="AO69">
            <v>0</v>
          </cell>
          <cell r="AP69">
            <v>0</v>
          </cell>
          <cell r="AQ69">
            <v>0</v>
          </cell>
          <cell r="AR69">
            <v>0</v>
          </cell>
        </row>
        <row r="70">
          <cell r="X70" t="str">
            <v>1ABCB</v>
          </cell>
          <cell r="Y70" t="str">
            <v>DKADU PLANT  - FAB/DELIVERY ENG. SPECIALTIES - GENERAL</v>
          </cell>
          <cell r="AF70">
            <v>0</v>
          </cell>
          <cell r="AG70">
            <v>0</v>
          </cell>
          <cell r="AH70">
            <v>0</v>
          </cell>
          <cell r="AI70" t="str">
            <v>1ABARB</v>
          </cell>
          <cell r="AJ70" t="str">
            <v>TRANSFORMERS</v>
          </cell>
          <cell r="AK70">
            <v>0</v>
          </cell>
          <cell r="AL70">
            <v>0</v>
          </cell>
          <cell r="AM70">
            <v>0</v>
          </cell>
          <cell r="AN70">
            <v>0</v>
          </cell>
          <cell r="AO70">
            <v>0</v>
          </cell>
          <cell r="AP70">
            <v>0</v>
          </cell>
          <cell r="AQ70">
            <v>0</v>
          </cell>
          <cell r="AR70">
            <v>0</v>
          </cell>
        </row>
        <row r="71">
          <cell r="X71" t="str">
            <v>1ABC-</v>
          </cell>
          <cell r="Y71" t="str">
            <v>SUBTOTAL - DKADU PLANT  - FAB/DELIVERY ENGINEERING SPECIALTIES</v>
          </cell>
          <cell r="Z71">
            <v>0</v>
          </cell>
          <cell r="AA71" t="str">
            <v>N/A</v>
          </cell>
          <cell r="AB71">
            <v>0</v>
          </cell>
          <cell r="AC71">
            <v>0</v>
          </cell>
          <cell r="AD71">
            <v>0</v>
          </cell>
          <cell r="AE71">
            <v>0</v>
          </cell>
          <cell r="AF71">
            <v>0</v>
          </cell>
          <cell r="AI71" t="str">
            <v>1ABARC</v>
          </cell>
          <cell r="AJ71" t="str">
            <v>MCC'S</v>
          </cell>
          <cell r="AQ71">
            <v>0</v>
          </cell>
        </row>
        <row r="72">
          <cell r="AI72" t="str">
            <v>1ABARD</v>
          </cell>
          <cell r="AJ72" t="str">
            <v>UPS</v>
          </cell>
          <cell r="AQ72">
            <v>0</v>
          </cell>
        </row>
        <row r="73">
          <cell r="AI73" t="str">
            <v>1ABARX</v>
          </cell>
          <cell r="AJ73" t="str">
            <v>OTHER ELECTRICAL EQUIPMENT</v>
          </cell>
          <cell r="AQ73">
            <v>0</v>
          </cell>
        </row>
        <row r="74">
          <cell r="AI74" t="str">
            <v>1ABAR-</v>
          </cell>
          <cell r="AJ74" t="str">
            <v>SUBTOTAL ELECTRICAL EQUIPMENT</v>
          </cell>
          <cell r="AK74">
            <v>0</v>
          </cell>
          <cell r="AL74">
            <v>0</v>
          </cell>
          <cell r="AM74">
            <v>0</v>
          </cell>
          <cell r="AN74">
            <v>0</v>
          </cell>
          <cell r="AO74">
            <v>0</v>
          </cell>
          <cell r="AP74">
            <v>0</v>
          </cell>
          <cell r="AQ74">
            <v>0</v>
          </cell>
        </row>
        <row r="76">
          <cell r="AI76" t="str">
            <v>1ABASA</v>
          </cell>
          <cell r="AJ76" t="str">
            <v>DCS, ESD, AND F&amp;G</v>
          </cell>
          <cell r="AQ76">
            <v>0</v>
          </cell>
        </row>
        <row r="77">
          <cell r="AI77" t="str">
            <v>1ABASB</v>
          </cell>
          <cell r="AJ77" t="str">
            <v>FIELD INSTRUMENTATION</v>
          </cell>
          <cell r="AQ77">
            <v>0</v>
          </cell>
        </row>
        <row r="78">
          <cell r="AI78" t="str">
            <v>1ABASC</v>
          </cell>
          <cell r="AJ78" t="str">
            <v>CONTROL VALVES, RELIEF VALVES</v>
          </cell>
          <cell r="AQ78">
            <v>0</v>
          </cell>
        </row>
        <row r="79">
          <cell r="AI79" t="str">
            <v>1ABASD</v>
          </cell>
          <cell r="AJ79" t="str">
            <v>SHUTDOWN/BLOWDOWN VALVES</v>
          </cell>
          <cell r="AQ79">
            <v>0</v>
          </cell>
        </row>
        <row r="80">
          <cell r="AI80" t="str">
            <v>1ABASE</v>
          </cell>
          <cell r="AJ80" t="str">
            <v>CCTV AND TELECOMMUNICATION SYSTEM</v>
          </cell>
          <cell r="AQ80">
            <v>0</v>
          </cell>
        </row>
        <row r="81">
          <cell r="AI81" t="str">
            <v>1ABASF</v>
          </cell>
          <cell r="AJ81" t="str">
            <v>ANTI-SURGE VALVES FOR COMPRESSORS</v>
          </cell>
          <cell r="AQ81">
            <v>0</v>
          </cell>
        </row>
        <row r="82">
          <cell r="AI82" t="str">
            <v>1ABASX</v>
          </cell>
          <cell r="AJ82" t="str">
            <v>OTHER INSTRUMENTATION EQUIPMENT</v>
          </cell>
          <cell r="AQ82">
            <v>0</v>
          </cell>
        </row>
        <row r="83">
          <cell r="AI83" t="str">
            <v>1ABAS-</v>
          </cell>
          <cell r="AJ83" t="str">
            <v>SUBTOTAL INSTRUMENTATION EQUIPMENT</v>
          </cell>
          <cell r="AK83">
            <v>0</v>
          </cell>
          <cell r="AL83">
            <v>0</v>
          </cell>
          <cell r="AM83">
            <v>0</v>
          </cell>
          <cell r="AN83">
            <v>0</v>
          </cell>
          <cell r="AO83">
            <v>0</v>
          </cell>
          <cell r="AP83">
            <v>0</v>
          </cell>
          <cell r="AQ83">
            <v>0</v>
          </cell>
        </row>
        <row r="90">
          <cell r="W90" t="str">
            <v>LEVEL 2 DKADU PLANT PG.3</v>
          </cell>
          <cell r="X90" t="str">
            <v>WBS CODE</v>
          </cell>
          <cell r="Y90" t="str">
            <v>DESCRIPTION</v>
          </cell>
          <cell r="Z90" t="str">
            <v>QUANTITY</v>
          </cell>
          <cell r="AA90" t="str">
            <v>UNITS</v>
          </cell>
          <cell r="AB90" t="str">
            <v>TOTAL MANHOURS</v>
          </cell>
          <cell r="AC90" t="str">
            <v>TOTAL LABOR COST</v>
          </cell>
          <cell r="AD90" t="str">
            <v>TOTAL MAT'L COST</v>
          </cell>
          <cell r="AE90" t="str">
            <v>TOTAL S/C COST</v>
          </cell>
          <cell r="AF90" t="str">
            <v>TOTAL COST</v>
          </cell>
          <cell r="AH90" t="str">
            <v>LEVEL 3 DKADU PLANT PG 3</v>
          </cell>
          <cell r="AI90" t="str">
            <v>WBS CODE</v>
          </cell>
          <cell r="AJ90" t="str">
            <v>DESCRIPTION</v>
          </cell>
          <cell r="AK90" t="str">
            <v>QUANTITY</v>
          </cell>
          <cell r="AL90" t="str">
            <v>UNITS</v>
          </cell>
          <cell r="AM90" t="str">
            <v>TOTAL MANHOURS</v>
          </cell>
          <cell r="AN90" t="str">
            <v>TOTAL LABOR COST</v>
          </cell>
          <cell r="AO90" t="str">
            <v>TOTAL MAT'L COST</v>
          </cell>
          <cell r="AP90" t="str">
            <v>TOTAL S/C COST</v>
          </cell>
          <cell r="AQ90" t="str">
            <v>TOTAL COST</v>
          </cell>
        </row>
        <row r="92">
          <cell r="X92" t="str">
            <v>1ACAA</v>
          </cell>
          <cell r="Y92" t="str">
            <v>DKADU PLANT  - CONSTRUCTION, CIVIL - SITE WORK</v>
          </cell>
          <cell r="AF92">
            <v>0</v>
          </cell>
          <cell r="AG92">
            <v>0</v>
          </cell>
          <cell r="AH92">
            <v>0</v>
          </cell>
          <cell r="AI92" t="str">
            <v>1ABAXX</v>
          </cell>
          <cell r="AJ92" t="str">
            <v>OTHER EQUIPMENT</v>
          </cell>
          <cell r="AK92">
            <v>0</v>
          </cell>
          <cell r="AL92">
            <v>0</v>
          </cell>
          <cell r="AM92">
            <v>0</v>
          </cell>
          <cell r="AN92">
            <v>0</v>
          </cell>
          <cell r="AO92">
            <v>0</v>
          </cell>
          <cell r="AP92">
            <v>0</v>
          </cell>
          <cell r="AQ92">
            <v>0</v>
          </cell>
          <cell r="AR92">
            <v>0</v>
          </cell>
        </row>
        <row r="93">
          <cell r="X93" t="str">
            <v>1ACAB</v>
          </cell>
          <cell r="Y93" t="str">
            <v>DKADU PLANT  - CONSTRUCTION, CIVIL - FOUNDATIONS</v>
          </cell>
          <cell r="AF93">
            <v>0</v>
          </cell>
          <cell r="AG93">
            <v>0</v>
          </cell>
          <cell r="AH93">
            <v>0</v>
          </cell>
          <cell r="AI93" t="str">
            <v>1ABAX-</v>
          </cell>
          <cell r="AJ93" t="str">
            <v>SUBTOTAL OTHER EQUIPMENT</v>
          </cell>
          <cell r="AK93">
            <v>0</v>
          </cell>
          <cell r="AL93">
            <v>0</v>
          </cell>
          <cell r="AM93">
            <v>0</v>
          </cell>
          <cell r="AN93">
            <v>0</v>
          </cell>
          <cell r="AO93">
            <v>0</v>
          </cell>
          <cell r="AP93">
            <v>0</v>
          </cell>
          <cell r="AQ93">
            <v>0</v>
          </cell>
          <cell r="AR93">
            <v>0</v>
          </cell>
        </row>
        <row r="94">
          <cell r="X94" t="str">
            <v>1ACA</v>
          </cell>
          <cell r="Y94" t="str">
            <v>SUBTOTAL - DKADU PLANT  - CONSTRUCTION, CIVIL</v>
          </cell>
          <cell r="Z94">
            <v>0</v>
          </cell>
          <cell r="AA94" t="str">
            <v>N/A</v>
          </cell>
          <cell r="AB94">
            <v>0</v>
          </cell>
          <cell r="AC94">
            <v>0</v>
          </cell>
          <cell r="AD94">
            <v>0</v>
          </cell>
          <cell r="AE94">
            <v>0</v>
          </cell>
          <cell r="AF94">
            <v>0</v>
          </cell>
        </row>
        <row r="95">
          <cell r="AI95" t="str">
            <v>1ABBCA</v>
          </cell>
          <cell r="AJ95" t="str">
            <v>PIPING &amp; FITTING MATERIAL - CARBON STEEL</v>
          </cell>
          <cell r="AQ95">
            <v>0</v>
          </cell>
        </row>
        <row r="96">
          <cell r="X96" t="str">
            <v>1ACBA</v>
          </cell>
          <cell r="Y96" t="str">
            <v>DKADU PLANT  - CONSTRUCTION, MAJOR EQUIPMENT - PRESSURE VESSELS</v>
          </cell>
          <cell r="Z96">
            <v>452.8</v>
          </cell>
          <cell r="AA96" t="str">
            <v>TON</v>
          </cell>
          <cell r="AB96">
            <v>41920</v>
          </cell>
          <cell r="AC96">
            <v>314200</v>
          </cell>
          <cell r="AF96">
            <v>314200</v>
          </cell>
          <cell r="AG96">
            <v>0</v>
          </cell>
          <cell r="AH96">
            <v>0</v>
          </cell>
          <cell r="AI96" t="str">
            <v>1ABBCB</v>
          </cell>
          <cell r="AJ96" t="str">
            <v>PIPING VALVES - CARBON STEEL</v>
          </cell>
          <cell r="AK96">
            <v>0</v>
          </cell>
          <cell r="AL96">
            <v>0</v>
          </cell>
          <cell r="AM96">
            <v>0</v>
          </cell>
          <cell r="AN96">
            <v>0</v>
          </cell>
          <cell r="AO96">
            <v>0</v>
          </cell>
          <cell r="AP96">
            <v>0</v>
          </cell>
          <cell r="AQ96">
            <v>0</v>
          </cell>
          <cell r="AR96">
            <v>0</v>
          </cell>
        </row>
        <row r="97">
          <cell r="X97" t="str">
            <v>1ACBB</v>
          </cell>
          <cell r="Y97" t="str">
            <v>DKADU PLANT  - CONSTRUCTION, MAJOR EQUIPMENT - COLUMNS</v>
          </cell>
          <cell r="Z97">
            <v>842.1</v>
          </cell>
          <cell r="AA97" t="str">
            <v>TON</v>
          </cell>
          <cell r="AB97">
            <v>53980</v>
          </cell>
          <cell r="AC97">
            <v>606400</v>
          </cell>
          <cell r="AF97">
            <v>606400</v>
          </cell>
          <cell r="AG97">
            <v>0</v>
          </cell>
          <cell r="AH97">
            <v>0</v>
          </cell>
          <cell r="AI97" t="str">
            <v>1ABBCC</v>
          </cell>
          <cell r="AJ97" t="str">
            <v>PIPING &amp; FITTING MATERIAL - LOW TEMERATURE CARBON STEEL</v>
          </cell>
          <cell r="AK97">
            <v>0</v>
          </cell>
          <cell r="AL97">
            <v>0</v>
          </cell>
          <cell r="AM97">
            <v>0</v>
          </cell>
          <cell r="AN97">
            <v>0</v>
          </cell>
          <cell r="AO97">
            <v>0</v>
          </cell>
          <cell r="AP97">
            <v>0</v>
          </cell>
          <cell r="AQ97">
            <v>0</v>
          </cell>
          <cell r="AR97">
            <v>0</v>
          </cell>
        </row>
        <row r="98">
          <cell r="X98" t="str">
            <v>1ACBE</v>
          </cell>
          <cell r="Y98" t="str">
            <v>DKADU PLANT  - CONSTRUCTION, MAJOR EQUIPMENT - PUMPS &amp; MOTORS</v>
          </cell>
          <cell r="Z98">
            <v>58.2</v>
          </cell>
          <cell r="AA98" t="str">
            <v>TON</v>
          </cell>
          <cell r="AB98">
            <v>5850</v>
          </cell>
          <cell r="AC98">
            <v>45700</v>
          </cell>
          <cell r="AF98">
            <v>45700</v>
          </cell>
          <cell r="AG98">
            <v>0</v>
          </cell>
          <cell r="AH98">
            <v>0</v>
          </cell>
          <cell r="AI98" t="str">
            <v>1ABBCD</v>
          </cell>
          <cell r="AJ98" t="str">
            <v>PIPING VALVES - LOW TEMERATURE CARBON STEEL</v>
          </cell>
          <cell r="AK98">
            <v>0</v>
          </cell>
          <cell r="AL98">
            <v>0</v>
          </cell>
          <cell r="AM98">
            <v>0</v>
          </cell>
          <cell r="AN98">
            <v>0</v>
          </cell>
          <cell r="AO98">
            <v>0</v>
          </cell>
          <cell r="AP98">
            <v>0</v>
          </cell>
          <cell r="AQ98">
            <v>0</v>
          </cell>
          <cell r="AR98">
            <v>0</v>
          </cell>
        </row>
        <row r="99">
          <cell r="X99" t="str">
            <v>1ACBF</v>
          </cell>
          <cell r="Y99" t="str">
            <v>DKADU PLANT  - CONSTRUCTION, MAJOR EQUIPMENT - HEAT EXCHANGERS S&amp;T</v>
          </cell>
          <cell r="Z99">
            <v>808.9</v>
          </cell>
          <cell r="AA99" t="str">
            <v>TON</v>
          </cell>
          <cell r="AB99">
            <v>72460</v>
          </cell>
          <cell r="AC99">
            <v>572300</v>
          </cell>
          <cell r="AF99">
            <v>572300</v>
          </cell>
          <cell r="AG99">
            <v>0</v>
          </cell>
          <cell r="AH99">
            <v>0</v>
          </cell>
          <cell r="AI99" t="str">
            <v>1ABBCE</v>
          </cell>
          <cell r="AJ99" t="str">
            <v>PIPELINE FOR FLARE</v>
          </cell>
          <cell r="AK99">
            <v>0</v>
          </cell>
          <cell r="AL99">
            <v>0</v>
          </cell>
          <cell r="AM99">
            <v>0</v>
          </cell>
          <cell r="AN99">
            <v>0</v>
          </cell>
          <cell r="AO99">
            <v>0</v>
          </cell>
          <cell r="AP99">
            <v>0</v>
          </cell>
          <cell r="AQ99">
            <v>0</v>
          </cell>
          <cell r="AR99">
            <v>0</v>
          </cell>
        </row>
        <row r="100">
          <cell r="X100" t="str">
            <v>1ACBG</v>
          </cell>
          <cell r="Y100" t="str">
            <v>DKADU PLANT  - CONSTRUCTION, MAJOR EQUIPMENT - HEAT EXCHANGERS FINNED ALUMINUM</v>
          </cell>
          <cell r="AF100">
            <v>0</v>
          </cell>
          <cell r="AG100">
            <v>0</v>
          </cell>
          <cell r="AH100">
            <v>0</v>
          </cell>
          <cell r="AI100" t="str">
            <v>1ABBCF</v>
          </cell>
          <cell r="AJ100" t="str">
            <v>PIPELINE OTHERS</v>
          </cell>
          <cell r="AK100">
            <v>0</v>
          </cell>
          <cell r="AL100">
            <v>0</v>
          </cell>
          <cell r="AM100">
            <v>0</v>
          </cell>
          <cell r="AN100">
            <v>0</v>
          </cell>
          <cell r="AO100">
            <v>0</v>
          </cell>
          <cell r="AP100">
            <v>0</v>
          </cell>
          <cell r="AQ100">
            <v>0</v>
          </cell>
          <cell r="AR100">
            <v>0</v>
          </cell>
        </row>
        <row r="101">
          <cell r="X101" t="str">
            <v>1ACBH</v>
          </cell>
          <cell r="Y101" t="str">
            <v>DKADU PLANT  - CONSTRUCTION, MAJOR EQUIPMENT - AIR COOLERS</v>
          </cell>
          <cell r="Z101">
            <v>529.6</v>
          </cell>
          <cell r="AA101" t="str">
            <v>TON</v>
          </cell>
          <cell r="AB101">
            <v>52570</v>
          </cell>
          <cell r="AC101">
            <v>376300</v>
          </cell>
          <cell r="AF101">
            <v>376300</v>
          </cell>
          <cell r="AG101">
            <v>0</v>
          </cell>
          <cell r="AH101">
            <v>0</v>
          </cell>
          <cell r="AI101" t="str">
            <v>1ABBCG</v>
          </cell>
          <cell r="AJ101" t="str">
            <v>PIPING &amp; FITTING MATERIAL - STAINLESS STEEL</v>
          </cell>
          <cell r="AK101">
            <v>0</v>
          </cell>
          <cell r="AL101">
            <v>0</v>
          </cell>
          <cell r="AM101">
            <v>0</v>
          </cell>
          <cell r="AN101">
            <v>0</v>
          </cell>
          <cell r="AO101">
            <v>0</v>
          </cell>
          <cell r="AP101">
            <v>0</v>
          </cell>
          <cell r="AQ101">
            <v>0</v>
          </cell>
          <cell r="AR101">
            <v>0</v>
          </cell>
        </row>
        <row r="102">
          <cell r="X102" t="str">
            <v>1ACBI</v>
          </cell>
          <cell r="Y102" t="str">
            <v>DKADU PLANT  - CONSTRUCTION, MAJOR EQUIPMENT - COMPRESSORS &amp; DRIVERS</v>
          </cell>
          <cell r="Z102">
            <v>1380.5</v>
          </cell>
          <cell r="AA102" t="str">
            <v>TON</v>
          </cell>
          <cell r="AB102">
            <v>130080</v>
          </cell>
          <cell r="AC102">
            <v>976700</v>
          </cell>
          <cell r="AF102">
            <v>976700</v>
          </cell>
          <cell r="AG102">
            <v>0</v>
          </cell>
          <cell r="AH102">
            <v>0</v>
          </cell>
          <cell r="AI102" t="str">
            <v>1ABBCH</v>
          </cell>
          <cell r="AJ102" t="str">
            <v>PIPING VALVES - STAINLESS STEEL</v>
          </cell>
          <cell r="AK102">
            <v>0</v>
          </cell>
          <cell r="AL102">
            <v>0</v>
          </cell>
          <cell r="AM102">
            <v>0</v>
          </cell>
          <cell r="AN102">
            <v>0</v>
          </cell>
          <cell r="AO102">
            <v>0</v>
          </cell>
          <cell r="AP102">
            <v>0</v>
          </cell>
          <cell r="AQ102">
            <v>0</v>
          </cell>
          <cell r="AR102">
            <v>0</v>
          </cell>
        </row>
        <row r="103">
          <cell r="X103" t="str">
            <v>1ACBJ</v>
          </cell>
          <cell r="Y103" t="str">
            <v>DKADU PLANT  - CONSTRUCTION, MAJOR EQUIPMENT - EMERG. DIESEL GENERATOR</v>
          </cell>
          <cell r="AF103">
            <v>0</v>
          </cell>
          <cell r="AG103">
            <v>0</v>
          </cell>
          <cell r="AH103">
            <v>0</v>
          </cell>
          <cell r="AI103" t="str">
            <v>1ABBCI</v>
          </cell>
          <cell r="AJ103" t="str">
            <v>PIPING &amp; FITTING MATERIAL - NON-METALLIC</v>
          </cell>
          <cell r="AK103">
            <v>0</v>
          </cell>
          <cell r="AL103">
            <v>0</v>
          </cell>
          <cell r="AM103">
            <v>0</v>
          </cell>
          <cell r="AN103">
            <v>0</v>
          </cell>
          <cell r="AO103">
            <v>0</v>
          </cell>
          <cell r="AP103">
            <v>0</v>
          </cell>
          <cell r="AQ103">
            <v>0</v>
          </cell>
          <cell r="AR103">
            <v>0</v>
          </cell>
        </row>
        <row r="104">
          <cell r="X104" t="str">
            <v>1ACBQ</v>
          </cell>
          <cell r="Y104" t="str">
            <v>DKADU PLANT  - CONSTRUCTION, MAJOR EQUIPMENT - PACKAGED EQUIPMENT</v>
          </cell>
          <cell r="Z104">
            <v>119.2</v>
          </cell>
          <cell r="AA104" t="str">
            <v>TON</v>
          </cell>
          <cell r="AB104">
            <v>18380</v>
          </cell>
          <cell r="AC104">
            <v>146700</v>
          </cell>
          <cell r="AF104">
            <v>146700</v>
          </cell>
          <cell r="AG104">
            <v>0</v>
          </cell>
          <cell r="AH104">
            <v>0</v>
          </cell>
          <cell r="AI104" t="str">
            <v>1ABBCJ</v>
          </cell>
          <cell r="AJ104" t="str">
            <v>PIPING VALVES - NON-METALLIC</v>
          </cell>
          <cell r="AK104">
            <v>0</v>
          </cell>
          <cell r="AL104">
            <v>0</v>
          </cell>
          <cell r="AM104">
            <v>0</v>
          </cell>
          <cell r="AN104">
            <v>0</v>
          </cell>
          <cell r="AO104">
            <v>0</v>
          </cell>
          <cell r="AP104">
            <v>0</v>
          </cell>
          <cell r="AQ104">
            <v>0</v>
          </cell>
          <cell r="AR104">
            <v>0</v>
          </cell>
        </row>
        <row r="105">
          <cell r="X105" t="str">
            <v>1ACBR</v>
          </cell>
          <cell r="Y105" t="str">
            <v>DKADU PLANT  - CONSTRUCTION, MAJOR EQUIPMENT - ELECTRICAL EQUIPMENT</v>
          </cell>
          <cell r="AF105">
            <v>0</v>
          </cell>
          <cell r="AG105">
            <v>0</v>
          </cell>
          <cell r="AH105">
            <v>0</v>
          </cell>
          <cell r="AI105" t="str">
            <v>1ABBCX</v>
          </cell>
          <cell r="AJ105" t="str">
            <v>PIPING MATERIALS - OTHER</v>
          </cell>
          <cell r="AK105">
            <v>0</v>
          </cell>
          <cell r="AL105">
            <v>0</v>
          </cell>
          <cell r="AM105">
            <v>0</v>
          </cell>
          <cell r="AN105">
            <v>0</v>
          </cell>
          <cell r="AO105">
            <v>0</v>
          </cell>
          <cell r="AP105">
            <v>0</v>
          </cell>
          <cell r="AQ105">
            <v>0</v>
          </cell>
          <cell r="AR105">
            <v>0</v>
          </cell>
        </row>
        <row r="106">
          <cell r="X106" t="str">
            <v>1ACBS</v>
          </cell>
          <cell r="Y106" t="str">
            <v>DKADU PLANT  - CONSTRUCTION, MAJOR EQUIPMENT - INSTRUMENT EQUIPMENT</v>
          </cell>
          <cell r="AF106">
            <v>0</v>
          </cell>
          <cell r="AG106">
            <v>0</v>
          </cell>
          <cell r="AH106">
            <v>0</v>
          </cell>
          <cell r="AI106" t="str">
            <v>1ABBC-</v>
          </cell>
          <cell r="AJ106" t="str">
            <v>SUBTOTAL PIPING &amp; VALVES BULKS</v>
          </cell>
          <cell r="AK106">
            <v>0</v>
          </cell>
          <cell r="AL106">
            <v>0</v>
          </cell>
          <cell r="AM106">
            <v>0</v>
          </cell>
          <cell r="AN106">
            <v>0</v>
          </cell>
          <cell r="AO106">
            <v>0</v>
          </cell>
          <cell r="AP106">
            <v>0</v>
          </cell>
          <cell r="AQ106">
            <v>0</v>
          </cell>
          <cell r="AR106">
            <v>0</v>
          </cell>
        </row>
        <row r="107">
          <cell r="X107" t="str">
            <v>1ACBX</v>
          </cell>
          <cell r="Y107" t="str">
            <v>DKADU PLANT  - CONSTRUCTION, MAJOR EQUIPMENT - OTHERS</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X108" t="str">
            <v>1ACB-</v>
          </cell>
          <cell r="Y108" t="str">
            <v>SUBTOTAL - DKADU PLANT  - CONSTRUCTION, MAJOR EQUIPMENT</v>
          </cell>
          <cell r="Z108">
            <v>4191.3</v>
          </cell>
          <cell r="AA108" t="str">
            <v>N/A</v>
          </cell>
          <cell r="AB108">
            <v>375240</v>
          </cell>
          <cell r="AC108">
            <v>3038300</v>
          </cell>
          <cell r="AD108">
            <v>0</v>
          </cell>
          <cell r="AE108">
            <v>0</v>
          </cell>
          <cell r="AF108">
            <v>3038300</v>
          </cell>
          <cell r="AI108" t="str">
            <v>1ABBDA</v>
          </cell>
          <cell r="AJ108" t="str">
            <v>LV CABLE</v>
          </cell>
          <cell r="AQ108">
            <v>0</v>
          </cell>
        </row>
        <row r="109">
          <cell r="AI109" t="str">
            <v>1ABBDB</v>
          </cell>
          <cell r="AJ109" t="str">
            <v>HV CABLE</v>
          </cell>
          <cell r="AQ109">
            <v>0</v>
          </cell>
        </row>
        <row r="110">
          <cell r="X110" t="str">
            <v>1ACCA</v>
          </cell>
          <cell r="Y110" t="str">
            <v>DKADU PLANT  - CONSTRUCTION, BULKS - STRUCTURAL</v>
          </cell>
          <cell r="AF110">
            <v>0</v>
          </cell>
          <cell r="AG110">
            <v>0</v>
          </cell>
          <cell r="AH110">
            <v>0</v>
          </cell>
          <cell r="AI110" t="str">
            <v>1ABBDC</v>
          </cell>
          <cell r="AJ110" t="str">
            <v>CABLE TRAY / CABLE LADDERS</v>
          </cell>
          <cell r="AK110">
            <v>0</v>
          </cell>
          <cell r="AL110">
            <v>0</v>
          </cell>
          <cell r="AM110">
            <v>0</v>
          </cell>
          <cell r="AN110">
            <v>0</v>
          </cell>
          <cell r="AO110">
            <v>0</v>
          </cell>
          <cell r="AP110">
            <v>0</v>
          </cell>
          <cell r="AQ110">
            <v>0</v>
          </cell>
          <cell r="AR110">
            <v>0</v>
          </cell>
        </row>
        <row r="111">
          <cell r="X111" t="str">
            <v>1ACCB</v>
          </cell>
          <cell r="Y111" t="str">
            <v>DKADU PLANT  - CONSTRUCTION, BULKS - PIPING &amp; VALVES</v>
          </cell>
          <cell r="AF111">
            <v>0</v>
          </cell>
          <cell r="AG111">
            <v>0</v>
          </cell>
          <cell r="AH111">
            <v>0</v>
          </cell>
          <cell r="AI111" t="str">
            <v>1ABBDD</v>
          </cell>
          <cell r="AJ111" t="str">
            <v>CABLE FITTINGS &amp; JUNCTION BOXES</v>
          </cell>
          <cell r="AK111">
            <v>0</v>
          </cell>
          <cell r="AL111">
            <v>0</v>
          </cell>
          <cell r="AM111">
            <v>0</v>
          </cell>
          <cell r="AN111">
            <v>0</v>
          </cell>
          <cell r="AO111">
            <v>0</v>
          </cell>
          <cell r="AP111">
            <v>0</v>
          </cell>
          <cell r="AQ111">
            <v>0</v>
          </cell>
          <cell r="AR111">
            <v>0</v>
          </cell>
        </row>
        <row r="112">
          <cell r="X112" t="str">
            <v>1ACCC</v>
          </cell>
          <cell r="Y112" t="str">
            <v>DKADU PLANT  - CONSTRUCTION, BULKS - ELECTRICAL</v>
          </cell>
          <cell r="AF112">
            <v>0</v>
          </cell>
          <cell r="AG112">
            <v>0</v>
          </cell>
          <cell r="AH112">
            <v>0</v>
          </cell>
          <cell r="AI112" t="str">
            <v>1ABBDE</v>
          </cell>
          <cell r="AJ112" t="str">
            <v>EARTHING MATERIALS</v>
          </cell>
          <cell r="AK112">
            <v>0</v>
          </cell>
          <cell r="AL112">
            <v>0</v>
          </cell>
          <cell r="AM112">
            <v>0</v>
          </cell>
          <cell r="AN112">
            <v>0</v>
          </cell>
          <cell r="AO112">
            <v>0</v>
          </cell>
          <cell r="AP112">
            <v>0</v>
          </cell>
          <cell r="AQ112">
            <v>0</v>
          </cell>
          <cell r="AR112">
            <v>0</v>
          </cell>
        </row>
        <row r="113">
          <cell r="X113" t="str">
            <v>1ACCD</v>
          </cell>
          <cell r="Y113" t="str">
            <v>DKADU PLANT  - CONSTRUCTION, BULKS - INSTRUMENTATION</v>
          </cell>
          <cell r="AF113">
            <v>0</v>
          </cell>
          <cell r="AG113">
            <v>0</v>
          </cell>
          <cell r="AH113">
            <v>0</v>
          </cell>
          <cell r="AI113" t="str">
            <v>1ABBDF</v>
          </cell>
          <cell r="AJ113" t="str">
            <v>LIGHTING AND OTHER ACCESSORIES</v>
          </cell>
          <cell r="AK113">
            <v>0</v>
          </cell>
          <cell r="AL113">
            <v>0</v>
          </cell>
          <cell r="AM113">
            <v>0</v>
          </cell>
          <cell r="AN113">
            <v>0</v>
          </cell>
          <cell r="AO113">
            <v>0</v>
          </cell>
          <cell r="AP113">
            <v>0</v>
          </cell>
          <cell r="AQ113">
            <v>0</v>
          </cell>
          <cell r="AR113">
            <v>0</v>
          </cell>
        </row>
        <row r="114">
          <cell r="X114" t="str">
            <v>1ACC-</v>
          </cell>
          <cell r="Y114" t="str">
            <v xml:space="preserve">SUBTOTAL - DKADU PLANT  - CONSTRUCTION, BULKS </v>
          </cell>
          <cell r="Z114">
            <v>0</v>
          </cell>
          <cell r="AA114" t="str">
            <v>N/A</v>
          </cell>
          <cell r="AB114">
            <v>0</v>
          </cell>
          <cell r="AC114">
            <v>0</v>
          </cell>
          <cell r="AD114">
            <v>0</v>
          </cell>
          <cell r="AE114">
            <v>0</v>
          </cell>
          <cell r="AF114">
            <v>0</v>
          </cell>
          <cell r="AI114" t="str">
            <v>1ABBDG</v>
          </cell>
          <cell r="AJ114" t="str">
            <v>CATHODIC PROTECTION SYSTEM(S)</v>
          </cell>
          <cell r="AQ114">
            <v>0</v>
          </cell>
        </row>
        <row r="115">
          <cell r="AI115" t="str">
            <v>1ABBDX</v>
          </cell>
          <cell r="AJ115" t="str">
            <v>OTHER ELECTRICAL BULKS</v>
          </cell>
          <cell r="AQ115">
            <v>0</v>
          </cell>
        </row>
        <row r="116">
          <cell r="X116" t="str">
            <v>1ACDA</v>
          </cell>
          <cell r="Y116" t="str">
            <v>DKADU PLANT  - CONSTRUCTION SPECIALTIES - BUILDINGS</v>
          </cell>
          <cell r="AF116">
            <v>0</v>
          </cell>
          <cell r="AG116">
            <v>0</v>
          </cell>
          <cell r="AH116">
            <v>0</v>
          </cell>
          <cell r="AI116" t="str">
            <v>1ABBD-</v>
          </cell>
          <cell r="AJ116" t="str">
            <v>SUBTOTAL ELECTRICAL BULKS</v>
          </cell>
          <cell r="AK116">
            <v>0</v>
          </cell>
          <cell r="AL116">
            <v>0</v>
          </cell>
          <cell r="AM116">
            <v>0</v>
          </cell>
          <cell r="AN116">
            <v>0</v>
          </cell>
          <cell r="AO116">
            <v>0</v>
          </cell>
          <cell r="AP116">
            <v>0</v>
          </cell>
          <cell r="AQ116">
            <v>0</v>
          </cell>
          <cell r="AR116">
            <v>0</v>
          </cell>
        </row>
        <row r="117">
          <cell r="X117" t="str">
            <v>1ACDB</v>
          </cell>
          <cell r="Y117" t="str">
            <v>DKADU PLANT  - CONSTRUCTION SPECIALTIES - GENERAL</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X118" t="str">
            <v>1ACD-</v>
          </cell>
          <cell r="Y118" t="str">
            <v>SUBTOTAL - DKADU PLANT  - CONSTRUCTION SPECIALTIES</v>
          </cell>
          <cell r="Z118">
            <v>0</v>
          </cell>
          <cell r="AA118" t="str">
            <v>N/A</v>
          </cell>
          <cell r="AB118">
            <v>0</v>
          </cell>
          <cell r="AC118">
            <v>0</v>
          </cell>
          <cell r="AD118">
            <v>0</v>
          </cell>
          <cell r="AE118">
            <v>0</v>
          </cell>
          <cell r="AF118">
            <v>0</v>
          </cell>
          <cell r="AI118" t="str">
            <v>1ABBEA</v>
          </cell>
          <cell r="AJ118" t="str">
            <v>CABLE AND CABLE FITTINGS</v>
          </cell>
          <cell r="AQ118">
            <v>0</v>
          </cell>
        </row>
        <row r="119">
          <cell r="AI119" t="str">
            <v>1ABBEB</v>
          </cell>
          <cell r="AJ119" t="str">
            <v>CABLE TRAY / CABLE LADDERS</v>
          </cell>
          <cell r="AQ119">
            <v>0</v>
          </cell>
        </row>
        <row r="120">
          <cell r="X120" t="str">
            <v>1ACEA</v>
          </cell>
          <cell r="Y120" t="str">
            <v>DKADU PLANT  - CONSTRUCTION, OTHER DIRECT WORK - FIRE PROTECTION</v>
          </cell>
          <cell r="AF120">
            <v>0</v>
          </cell>
          <cell r="AG120">
            <v>0</v>
          </cell>
          <cell r="AH120">
            <v>0</v>
          </cell>
          <cell r="AI120" t="str">
            <v>1ABBEC</v>
          </cell>
          <cell r="AJ120" t="str">
            <v>INSTRUMENT TUBING AND FITTINGS</v>
          </cell>
          <cell r="AK120">
            <v>0</v>
          </cell>
          <cell r="AL120">
            <v>0</v>
          </cell>
          <cell r="AM120">
            <v>0</v>
          </cell>
          <cell r="AN120">
            <v>0</v>
          </cell>
          <cell r="AO120">
            <v>0</v>
          </cell>
          <cell r="AP120">
            <v>0</v>
          </cell>
          <cell r="AQ120">
            <v>0</v>
          </cell>
          <cell r="AR120">
            <v>0</v>
          </cell>
        </row>
        <row r="121">
          <cell r="X121" t="str">
            <v>1ACEB</v>
          </cell>
          <cell r="Y121" t="str">
            <v>DKADU PLANT  - CONSTRUCTION, OTHER DIRECT WORK - FIREPROOFING</v>
          </cell>
          <cell r="AF121">
            <v>0</v>
          </cell>
          <cell r="AG121">
            <v>0</v>
          </cell>
          <cell r="AH121">
            <v>0</v>
          </cell>
          <cell r="AI121" t="str">
            <v>1ABBED</v>
          </cell>
          <cell r="AJ121" t="str">
            <v>MOUNTING ACCESSORIES</v>
          </cell>
          <cell r="AK121">
            <v>0</v>
          </cell>
          <cell r="AL121">
            <v>0</v>
          </cell>
          <cell r="AM121">
            <v>0</v>
          </cell>
          <cell r="AN121">
            <v>0</v>
          </cell>
          <cell r="AO121">
            <v>0</v>
          </cell>
          <cell r="AP121">
            <v>0</v>
          </cell>
          <cell r="AQ121">
            <v>0</v>
          </cell>
          <cell r="AR121">
            <v>0</v>
          </cell>
        </row>
        <row r="122">
          <cell r="X122" t="str">
            <v>1ACEC</v>
          </cell>
          <cell r="Y122" t="str">
            <v>DKADU PLANT  - CONSTRUCTION, OTHER DIRECT WORK - INSULATION</v>
          </cell>
          <cell r="AF122">
            <v>0</v>
          </cell>
          <cell r="AG122">
            <v>0</v>
          </cell>
          <cell r="AH122">
            <v>0</v>
          </cell>
          <cell r="AI122" t="str">
            <v>1ABBEE</v>
          </cell>
          <cell r="AJ122" t="str">
            <v>EARTHING MATERIALS</v>
          </cell>
          <cell r="AK122">
            <v>0</v>
          </cell>
          <cell r="AL122">
            <v>0</v>
          </cell>
          <cell r="AM122">
            <v>0</v>
          </cell>
          <cell r="AN122">
            <v>0</v>
          </cell>
          <cell r="AO122">
            <v>0</v>
          </cell>
          <cell r="AP122">
            <v>0</v>
          </cell>
          <cell r="AQ122">
            <v>0</v>
          </cell>
          <cell r="AR122">
            <v>0</v>
          </cell>
        </row>
        <row r="123">
          <cell r="X123" t="str">
            <v>1ACED</v>
          </cell>
          <cell r="Y123" t="str">
            <v>DKADU PLANT  - CONSTRUCTION, OTHER DIRECT WORK - PAINTING</v>
          </cell>
          <cell r="AF123">
            <v>0</v>
          </cell>
          <cell r="AG123">
            <v>0</v>
          </cell>
          <cell r="AH123">
            <v>0</v>
          </cell>
          <cell r="AI123" t="str">
            <v>1ABBEF</v>
          </cell>
          <cell r="AJ123" t="str">
            <v>FIRE AND GAS DETECTION EQUIPMENT</v>
          </cell>
          <cell r="AK123">
            <v>0</v>
          </cell>
          <cell r="AL123">
            <v>0</v>
          </cell>
          <cell r="AM123">
            <v>0</v>
          </cell>
          <cell r="AN123">
            <v>0</v>
          </cell>
          <cell r="AO123">
            <v>0</v>
          </cell>
          <cell r="AP123">
            <v>0</v>
          </cell>
          <cell r="AQ123">
            <v>0</v>
          </cell>
          <cell r="AR123">
            <v>0</v>
          </cell>
        </row>
        <row r="124">
          <cell r="X124" t="str">
            <v>1ACEE</v>
          </cell>
          <cell r="Y124" t="str">
            <v>DKADU PLANT  - CONSTRUCTION, OTHER DIRECT WORK - SHUTDOWN</v>
          </cell>
          <cell r="AF124">
            <v>0</v>
          </cell>
          <cell r="AG124">
            <v>0</v>
          </cell>
          <cell r="AH124">
            <v>0</v>
          </cell>
          <cell r="AI124" t="str">
            <v>1ABBEX</v>
          </cell>
          <cell r="AJ124" t="str">
            <v>OTHER INSTRUMENTATION BULKS</v>
          </cell>
          <cell r="AK124">
            <v>0</v>
          </cell>
          <cell r="AL124">
            <v>0</v>
          </cell>
          <cell r="AM124">
            <v>0</v>
          </cell>
          <cell r="AN124">
            <v>0</v>
          </cell>
          <cell r="AO124">
            <v>0</v>
          </cell>
          <cell r="AP124">
            <v>0</v>
          </cell>
          <cell r="AQ124">
            <v>0</v>
          </cell>
          <cell r="AR124">
            <v>0</v>
          </cell>
        </row>
        <row r="125">
          <cell r="X125" t="str">
            <v>1ACEF</v>
          </cell>
          <cell r="Y125" t="str">
            <v>DKADU PLANT  - CONSTRUCTION, OTHER DIRECT WORK - PRE-COMMISSIONING</v>
          </cell>
          <cell r="AF125">
            <v>0</v>
          </cell>
          <cell r="AG125">
            <v>0</v>
          </cell>
          <cell r="AH125">
            <v>0</v>
          </cell>
          <cell r="AI125" t="str">
            <v>1ABBE-</v>
          </cell>
          <cell r="AJ125" t="str">
            <v>SUBTOTAL INSTRUMENTATION BULKS</v>
          </cell>
          <cell r="AK125">
            <v>0</v>
          </cell>
          <cell r="AL125">
            <v>0</v>
          </cell>
          <cell r="AM125">
            <v>0</v>
          </cell>
          <cell r="AN125">
            <v>0</v>
          </cell>
          <cell r="AO125">
            <v>0</v>
          </cell>
          <cell r="AP125">
            <v>0</v>
          </cell>
          <cell r="AQ125">
            <v>0</v>
          </cell>
          <cell r="AR125">
            <v>0</v>
          </cell>
        </row>
        <row r="126">
          <cell r="X126" t="str">
            <v>1ACEG</v>
          </cell>
          <cell r="Y126" t="str">
            <v>DKADU PLANT  - CONSTRUCTION, OTHER DIRECT WORK - ENVIRONMENTAL</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X127" t="str">
            <v>1ACEX</v>
          </cell>
          <cell r="Y127" t="str">
            <v>DKADU PLANT  - CONSTRUCTION, OTHER DIRECT WORK - OTHER</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X128" t="str">
            <v>1ACE</v>
          </cell>
          <cell r="Y128" t="str">
            <v xml:space="preserve">SUBTOTAL - DKADU PLANT  - CONSTRUCTION, OTHER DIRECT WORK - </v>
          </cell>
          <cell r="Z128">
            <v>0</v>
          </cell>
          <cell r="AA128" t="str">
            <v>N/A</v>
          </cell>
          <cell r="AB128">
            <v>0</v>
          </cell>
          <cell r="AC128">
            <v>0</v>
          </cell>
          <cell r="AD128">
            <v>0</v>
          </cell>
          <cell r="AE128">
            <v>0</v>
          </cell>
          <cell r="AF128">
            <v>0</v>
          </cell>
        </row>
        <row r="134">
          <cell r="W134" t="str">
            <v>LEVEL 2 DKADU PLANT PG.4</v>
          </cell>
          <cell r="X134" t="str">
            <v>WBS CODE</v>
          </cell>
          <cell r="Y134" t="str">
            <v>DESCRIPTION</v>
          </cell>
          <cell r="Z134" t="str">
            <v>QUANTITY</v>
          </cell>
          <cell r="AA134" t="str">
            <v>UNITS</v>
          </cell>
          <cell r="AB134" t="str">
            <v>TOTAL MANHOURS</v>
          </cell>
          <cell r="AC134" t="str">
            <v>TOTAL LABOR COST</v>
          </cell>
          <cell r="AD134" t="str">
            <v>TOTAL MAT'L COST</v>
          </cell>
          <cell r="AE134" t="str">
            <v>TOTAL S/C COST</v>
          </cell>
          <cell r="AF134" t="str">
            <v>TOTAL COST</v>
          </cell>
        </row>
        <row r="136">
          <cell r="X136" t="str">
            <v>1ACFA</v>
          </cell>
          <cell r="Y136" t="str">
            <v>DKADU PLANT  - CONSTRUCTION INDIRECTS</v>
          </cell>
          <cell r="AF136">
            <v>0</v>
          </cell>
          <cell r="AG136">
            <v>0</v>
          </cell>
        </row>
        <row r="137">
          <cell r="X137" t="str">
            <v>1ACF</v>
          </cell>
          <cell r="Y137" t="str">
            <v>SUBTOTAL - DKADU PLANT  - CONSTRUCTION INDIRECTS</v>
          </cell>
          <cell r="Z137">
            <v>0</v>
          </cell>
          <cell r="AA137" t="str">
            <v>N/A</v>
          </cell>
          <cell r="AB137">
            <v>0</v>
          </cell>
          <cell r="AC137">
            <v>0</v>
          </cell>
          <cell r="AD137">
            <v>0</v>
          </cell>
          <cell r="AE137">
            <v>0</v>
          </cell>
          <cell r="AF137">
            <v>0</v>
          </cell>
        </row>
        <row r="139">
          <cell r="X139" t="str">
            <v>1ADAA</v>
          </cell>
          <cell r="Y139" t="str">
            <v>DKADU PLANT  - COMMISSIONING - PROCESS</v>
          </cell>
          <cell r="AF139">
            <v>0</v>
          </cell>
          <cell r="AG139">
            <v>0</v>
          </cell>
        </row>
        <row r="140">
          <cell r="X140" t="str">
            <v>1ADAB</v>
          </cell>
          <cell r="Y140" t="str">
            <v>DKADU PLANT  - COMMISSIONING - UTILITIES</v>
          </cell>
          <cell r="AF140">
            <v>0</v>
          </cell>
          <cell r="AG140">
            <v>0</v>
          </cell>
        </row>
        <row r="141">
          <cell r="X141" t="str">
            <v>1ADA-</v>
          </cell>
          <cell r="Y141" t="str">
            <v>SUBTOTAL - DKADU PLANT  - COMMISSIONING</v>
          </cell>
          <cell r="Z141">
            <v>0</v>
          </cell>
          <cell r="AA141" t="str">
            <v>N/A</v>
          </cell>
          <cell r="AB141">
            <v>0</v>
          </cell>
          <cell r="AC141">
            <v>0</v>
          </cell>
          <cell r="AD141">
            <v>0</v>
          </cell>
          <cell r="AE141">
            <v>0</v>
          </cell>
          <cell r="AF141">
            <v>0</v>
          </cell>
        </row>
        <row r="143">
          <cell r="X143" t="str">
            <v>1ADBA</v>
          </cell>
          <cell r="Y143" t="str">
            <v>DKADU PLANT  - PERFORMANCE TEST - PROCESS</v>
          </cell>
          <cell r="AF143">
            <v>0</v>
          </cell>
          <cell r="AG143">
            <v>0</v>
          </cell>
        </row>
        <row r="144">
          <cell r="X144" t="str">
            <v>1ADBB</v>
          </cell>
          <cell r="Y144" t="str">
            <v>DKADU PLANT  - PERFORMANCE TEST - UTILITIES</v>
          </cell>
          <cell r="AF144">
            <v>0</v>
          </cell>
          <cell r="AG144">
            <v>0</v>
          </cell>
        </row>
        <row r="145">
          <cell r="X145" t="str">
            <v>1ADB-</v>
          </cell>
          <cell r="Y145" t="str">
            <v>SUBTOTAL - DKADU PLANT  - PERFORMANCE TEST</v>
          </cell>
          <cell r="Z145">
            <v>0</v>
          </cell>
          <cell r="AA145" t="str">
            <v>N/A</v>
          </cell>
          <cell r="AB145">
            <v>0</v>
          </cell>
          <cell r="AC145">
            <v>0</v>
          </cell>
          <cell r="AD145">
            <v>0</v>
          </cell>
          <cell r="AE145">
            <v>0</v>
          </cell>
          <cell r="AF145">
            <v>0</v>
          </cell>
        </row>
        <row r="178">
          <cell r="L178" t="str">
            <v>CYCLE &amp; LVL 1 NGL-4 PLANT</v>
          </cell>
          <cell r="M178" t="str">
            <v>WBS CODE</v>
          </cell>
          <cell r="N178" t="str">
            <v>DESCRIPTION</v>
          </cell>
          <cell r="O178" t="str">
            <v>QUANTITY</v>
          </cell>
          <cell r="P178" t="str">
            <v>UNITS</v>
          </cell>
          <cell r="Q178" t="str">
            <v>TOTAL MANHOURS</v>
          </cell>
          <cell r="R178" t="str">
            <v>TOTAL LABOR COST</v>
          </cell>
          <cell r="S178" t="str">
            <v>TOTAL MAT'L COST</v>
          </cell>
          <cell r="T178" t="str">
            <v>TOTAL S/C COST</v>
          </cell>
          <cell r="U178" t="str">
            <v>TOTAL COST</v>
          </cell>
          <cell r="W178" t="str">
            <v>LEVEL 2 NGL-4 PLANT PG.1</v>
          </cell>
          <cell r="X178" t="str">
            <v>WBS CODE</v>
          </cell>
          <cell r="Y178" t="str">
            <v>DESCRIPTION</v>
          </cell>
          <cell r="Z178" t="str">
            <v>QUANTITY</v>
          </cell>
          <cell r="AA178" t="str">
            <v>UNITS</v>
          </cell>
          <cell r="AB178" t="str">
            <v>TOTAL MANHOURS</v>
          </cell>
          <cell r="AC178" t="str">
            <v>TOTAL LABOR COST</v>
          </cell>
          <cell r="AD178" t="str">
            <v>TOTAL MAT'L COST</v>
          </cell>
          <cell r="AE178" t="str">
            <v>TOTAL S/C COST</v>
          </cell>
          <cell r="AF178" t="str">
            <v>TOTAL COST</v>
          </cell>
          <cell r="AG178">
            <v>0</v>
          </cell>
          <cell r="AH178" t="str">
            <v>LEVEL 3 NGL-4 PLANT PG 1</v>
          </cell>
          <cell r="AI178" t="str">
            <v>WBS CODE</v>
          </cell>
          <cell r="AJ178" t="str">
            <v>DESCRIPTION</v>
          </cell>
          <cell r="AK178" t="str">
            <v>QUANTITY</v>
          </cell>
          <cell r="AL178" t="str">
            <v>UNITS</v>
          </cell>
          <cell r="AM178" t="str">
            <v>TOTAL MANHOURS</v>
          </cell>
          <cell r="AN178" t="str">
            <v>TOTAL LABOR COST</v>
          </cell>
          <cell r="AO178" t="str">
            <v>TOTAL MAT'L COST</v>
          </cell>
          <cell r="AP178" t="str">
            <v>TOTAL S/C COST</v>
          </cell>
          <cell r="AQ178" t="str">
            <v>TOTAL COST</v>
          </cell>
          <cell r="AR178">
            <v>0</v>
          </cell>
        </row>
        <row r="180">
          <cell r="M180" t="str">
            <v>1BAA-</v>
          </cell>
          <cell r="N180" t="str">
            <v>NGL-4 PLANT  - DIRECT ENGINEERING</v>
          </cell>
          <cell r="Q180">
            <v>0</v>
          </cell>
          <cell r="R180">
            <v>0</v>
          </cell>
          <cell r="S180">
            <v>0</v>
          </cell>
          <cell r="T180">
            <v>0</v>
          </cell>
          <cell r="U180">
            <v>0</v>
          </cell>
          <cell r="X180" t="str">
            <v>1BAAA</v>
          </cell>
          <cell r="Y180" t="str">
            <v>NGL-4 PLANT  - DIR. ENG.  PROCESS</v>
          </cell>
          <cell r="AF180">
            <v>0</v>
          </cell>
          <cell r="AG180">
            <v>0</v>
          </cell>
          <cell r="AH180">
            <v>0</v>
          </cell>
          <cell r="AI180" t="str">
            <v>1BBAAA</v>
          </cell>
          <cell r="AJ180" t="str">
            <v>DEETHANIZER OVERHEAD ACCUMULATOR DRUM</v>
          </cell>
          <cell r="AK180">
            <v>0</v>
          </cell>
          <cell r="AL180">
            <v>0</v>
          </cell>
          <cell r="AM180">
            <v>0</v>
          </cell>
          <cell r="AN180">
            <v>0</v>
          </cell>
          <cell r="AO180">
            <v>0</v>
          </cell>
          <cell r="AP180">
            <v>0</v>
          </cell>
          <cell r="AQ180">
            <v>0</v>
          </cell>
          <cell r="AR180">
            <v>0</v>
          </cell>
        </row>
        <row r="181">
          <cell r="M181" t="str">
            <v>1BAI-</v>
          </cell>
          <cell r="N181" t="str">
            <v>NGL-4 PLANT  - ENGINEERING PROCUREMENT</v>
          </cell>
          <cell r="Q181">
            <v>0</v>
          </cell>
          <cell r="R181">
            <v>0</v>
          </cell>
          <cell r="S181">
            <v>0</v>
          </cell>
          <cell r="T181">
            <v>0</v>
          </cell>
          <cell r="U181">
            <v>0</v>
          </cell>
          <cell r="X181" t="str">
            <v>1BAAB</v>
          </cell>
          <cell r="Y181" t="str">
            <v>NGL-4 PLANT  - DIR. ENG.  PERMITS</v>
          </cell>
          <cell r="AF181">
            <v>0</v>
          </cell>
          <cell r="AG181">
            <v>0</v>
          </cell>
          <cell r="AH181">
            <v>0</v>
          </cell>
          <cell r="AI181" t="str">
            <v>1BBAAB</v>
          </cell>
          <cell r="AJ181" t="str">
            <v>PROPANE REFRIGERANT SURGE DRUMS</v>
          </cell>
          <cell r="AK181">
            <v>0</v>
          </cell>
          <cell r="AL181">
            <v>0</v>
          </cell>
          <cell r="AM181">
            <v>0</v>
          </cell>
          <cell r="AN181">
            <v>0</v>
          </cell>
          <cell r="AO181">
            <v>0</v>
          </cell>
          <cell r="AP181">
            <v>0</v>
          </cell>
          <cell r="AQ181">
            <v>0</v>
          </cell>
          <cell r="AR181">
            <v>0</v>
          </cell>
        </row>
        <row r="182">
          <cell r="M182" t="str">
            <v>1BAJ-</v>
          </cell>
          <cell r="N182" t="str">
            <v>NGL-4 PLANT  - INDIRECT ENGINEERING</v>
          </cell>
          <cell r="Q182">
            <v>0</v>
          </cell>
          <cell r="R182">
            <v>0</v>
          </cell>
          <cell r="S182">
            <v>0</v>
          </cell>
          <cell r="T182">
            <v>0</v>
          </cell>
          <cell r="U182">
            <v>0</v>
          </cell>
          <cell r="X182" t="str">
            <v>1BAAC</v>
          </cell>
          <cell r="Y182" t="str">
            <v>NGL-4 PLANT  - DIR. ENG.  CIVIL/STRUCTURAL</v>
          </cell>
          <cell r="AF182">
            <v>0</v>
          </cell>
          <cell r="AG182">
            <v>0</v>
          </cell>
          <cell r="AH182">
            <v>0</v>
          </cell>
          <cell r="AI182" t="str">
            <v>1BBAAC</v>
          </cell>
          <cell r="AJ182" t="str">
            <v>PROPANE REFRIGERANT 1ST STAGE SUCTION DRUMS</v>
          </cell>
          <cell r="AK182">
            <v>0</v>
          </cell>
          <cell r="AL182">
            <v>0</v>
          </cell>
          <cell r="AM182">
            <v>0</v>
          </cell>
          <cell r="AN182">
            <v>0</v>
          </cell>
          <cell r="AO182">
            <v>0</v>
          </cell>
          <cell r="AP182">
            <v>0</v>
          </cell>
          <cell r="AQ182">
            <v>0</v>
          </cell>
          <cell r="AR182">
            <v>0</v>
          </cell>
        </row>
        <row r="183">
          <cell r="M183" t="str">
            <v>1BA--</v>
          </cell>
          <cell r="N183" t="str">
            <v>SUBTOTAL NGL-4 PLANT  - ENGINEERING/PROCUREMENT</v>
          </cell>
          <cell r="Q183">
            <v>0</v>
          </cell>
          <cell r="R183">
            <v>0</v>
          </cell>
          <cell r="S183">
            <v>0</v>
          </cell>
          <cell r="T183">
            <v>0</v>
          </cell>
          <cell r="U183">
            <v>0</v>
          </cell>
          <cell r="X183" t="str">
            <v>1BAAD</v>
          </cell>
          <cell r="Y183" t="str">
            <v>NGL-4 PLANT  - DIR. ENG.  MECHANICAL</v>
          </cell>
          <cell r="AF183">
            <v>0</v>
          </cell>
          <cell r="AG183">
            <v>0</v>
          </cell>
          <cell r="AH183">
            <v>0</v>
          </cell>
          <cell r="AI183" t="str">
            <v>1BBAAD</v>
          </cell>
          <cell r="AJ183" t="str">
            <v>PROPANE REFRIGERANT 3RD STAGE SUCTION DRUMS</v>
          </cell>
          <cell r="AK183">
            <v>0</v>
          </cell>
          <cell r="AL183">
            <v>0</v>
          </cell>
          <cell r="AM183">
            <v>0</v>
          </cell>
          <cell r="AN183">
            <v>0</v>
          </cell>
          <cell r="AO183">
            <v>0</v>
          </cell>
          <cell r="AP183">
            <v>0</v>
          </cell>
          <cell r="AQ183">
            <v>0</v>
          </cell>
          <cell r="AR183">
            <v>0</v>
          </cell>
        </row>
        <row r="184">
          <cell r="X184" t="str">
            <v>1BAAE</v>
          </cell>
          <cell r="Y184" t="str">
            <v>NGL-4 PLANT  - DIR. ENG.  PIPING</v>
          </cell>
          <cell r="AF184">
            <v>0</v>
          </cell>
          <cell r="AG184">
            <v>0</v>
          </cell>
          <cell r="AH184">
            <v>0</v>
          </cell>
          <cell r="AI184" t="str">
            <v>1BBAAE</v>
          </cell>
          <cell r="AJ184" t="str">
            <v>PROPANE REFRIGERANT 4TH STAGE SUCTION DRUMS</v>
          </cell>
          <cell r="AK184">
            <v>0</v>
          </cell>
          <cell r="AL184">
            <v>0</v>
          </cell>
          <cell r="AM184">
            <v>0</v>
          </cell>
          <cell r="AN184">
            <v>0</v>
          </cell>
          <cell r="AO184">
            <v>0</v>
          </cell>
          <cell r="AP184">
            <v>0</v>
          </cell>
          <cell r="AQ184">
            <v>0</v>
          </cell>
          <cell r="AR184">
            <v>0</v>
          </cell>
        </row>
        <row r="185">
          <cell r="M185" t="str">
            <v>1BBA-</v>
          </cell>
          <cell r="N185" t="str">
            <v>NGL-4 PLANT  - FAB/DELIVERY - MAJOR EQUIPMENT</v>
          </cell>
          <cell r="Q185">
            <v>0</v>
          </cell>
          <cell r="R185">
            <v>0</v>
          </cell>
          <cell r="S185">
            <v>0</v>
          </cell>
          <cell r="T185">
            <v>0</v>
          </cell>
          <cell r="U185">
            <v>0</v>
          </cell>
          <cell r="X185" t="str">
            <v>1BAAF</v>
          </cell>
          <cell r="Y185" t="str">
            <v>NGL-4 PLANT  - DIR. ENG.  ELECTRICAL</v>
          </cell>
          <cell r="AF185">
            <v>0</v>
          </cell>
          <cell r="AG185">
            <v>0</v>
          </cell>
          <cell r="AH185">
            <v>0</v>
          </cell>
          <cell r="AI185" t="str">
            <v>1BBAAF</v>
          </cell>
          <cell r="AJ185" t="str">
            <v>NFGP FEED DRUM</v>
          </cell>
          <cell r="AK185">
            <v>0</v>
          </cell>
          <cell r="AL185">
            <v>0</v>
          </cell>
          <cell r="AM185">
            <v>0</v>
          </cell>
          <cell r="AN185">
            <v>0</v>
          </cell>
          <cell r="AO185">
            <v>0</v>
          </cell>
          <cell r="AP185">
            <v>0</v>
          </cell>
          <cell r="AQ185">
            <v>0</v>
          </cell>
          <cell r="AR185">
            <v>0</v>
          </cell>
        </row>
        <row r="186">
          <cell r="M186" t="str">
            <v>1BBB-</v>
          </cell>
          <cell r="N186" t="str">
            <v>NGL-4 PLANT  - FAB/DELIVERY - BULKS</v>
          </cell>
          <cell r="Q186">
            <v>0</v>
          </cell>
          <cell r="R186">
            <v>0</v>
          </cell>
          <cell r="S186">
            <v>0</v>
          </cell>
          <cell r="T186">
            <v>0</v>
          </cell>
          <cell r="U186">
            <v>0</v>
          </cell>
          <cell r="X186" t="str">
            <v>1BAAG</v>
          </cell>
          <cell r="Y186" t="str">
            <v>NGL-4 PLANT  - DIR. ENG.  INSTRUMENTATION</v>
          </cell>
          <cell r="AF186">
            <v>0</v>
          </cell>
          <cell r="AG186">
            <v>0</v>
          </cell>
          <cell r="AH186">
            <v>0</v>
          </cell>
          <cell r="AI186" t="str">
            <v>1BBAAG</v>
          </cell>
          <cell r="AJ186" t="str">
            <v>ADIP VESSELS / DRUMS / SETTLERS / TANKS</v>
          </cell>
          <cell r="AK186">
            <v>0</v>
          </cell>
          <cell r="AL186">
            <v>0</v>
          </cell>
          <cell r="AM186">
            <v>0</v>
          </cell>
          <cell r="AN186">
            <v>0</v>
          </cell>
          <cell r="AO186">
            <v>0</v>
          </cell>
          <cell r="AP186">
            <v>0</v>
          </cell>
          <cell r="AQ186">
            <v>0</v>
          </cell>
          <cell r="AR186">
            <v>0</v>
          </cell>
        </row>
        <row r="187">
          <cell r="M187" t="str">
            <v>1BBC-</v>
          </cell>
          <cell r="N187" t="str">
            <v>NGL-4 PLANT  - FAB/DELIVERY - ENGINEERING SPECIALTIES</v>
          </cell>
          <cell r="Q187">
            <v>0</v>
          </cell>
          <cell r="R187">
            <v>0</v>
          </cell>
          <cell r="S187">
            <v>0</v>
          </cell>
          <cell r="T187">
            <v>0</v>
          </cell>
          <cell r="U187">
            <v>0</v>
          </cell>
          <cell r="X187" t="str">
            <v>1BAAH</v>
          </cell>
          <cell r="Y187" t="str">
            <v>NGL-4 PLANT  - DIR. ENG.  ARCHITECTURAL</v>
          </cell>
          <cell r="AF187">
            <v>0</v>
          </cell>
          <cell r="AG187">
            <v>0</v>
          </cell>
          <cell r="AH187">
            <v>0</v>
          </cell>
          <cell r="AI187" t="str">
            <v>1BBAAH</v>
          </cell>
          <cell r="AJ187" t="str">
            <v>MEROX VESSELS / DRUMS / TANKS - REACTOR VESSEL</v>
          </cell>
          <cell r="AK187">
            <v>0</v>
          </cell>
          <cell r="AL187">
            <v>0</v>
          </cell>
          <cell r="AM187">
            <v>0</v>
          </cell>
          <cell r="AN187">
            <v>0</v>
          </cell>
          <cell r="AO187">
            <v>0</v>
          </cell>
          <cell r="AP187">
            <v>0</v>
          </cell>
          <cell r="AQ187">
            <v>0</v>
          </cell>
          <cell r="AR187">
            <v>0</v>
          </cell>
        </row>
        <row r="188">
          <cell r="M188" t="str">
            <v>1BB--</v>
          </cell>
          <cell r="N188" t="str">
            <v>SUBTOTAL NGL-4 PLANT  - FABRICATION/DELIVERY</v>
          </cell>
          <cell r="Q188">
            <v>0</v>
          </cell>
          <cell r="R188">
            <v>0</v>
          </cell>
          <cell r="S188">
            <v>0</v>
          </cell>
          <cell r="T188">
            <v>0</v>
          </cell>
          <cell r="U188">
            <v>0</v>
          </cell>
          <cell r="X188" t="str">
            <v>1BAA-</v>
          </cell>
          <cell r="Y188" t="str">
            <v>SUBTOTAL - NGL-4 PLANT  - DIRECT ENGINEERING</v>
          </cell>
          <cell r="Z188">
            <v>0</v>
          </cell>
          <cell r="AA188" t="str">
            <v>N/A</v>
          </cell>
          <cell r="AB188">
            <v>0</v>
          </cell>
          <cell r="AC188">
            <v>0</v>
          </cell>
          <cell r="AD188">
            <v>0</v>
          </cell>
          <cell r="AE188">
            <v>0</v>
          </cell>
          <cell r="AF188">
            <v>0</v>
          </cell>
          <cell r="AG188">
            <v>0</v>
          </cell>
          <cell r="AH188">
            <v>0</v>
          </cell>
          <cell r="AI188" t="str">
            <v>1BBAAI</v>
          </cell>
          <cell r="AJ188" t="str">
            <v>PROPANE PRODUCT DEHYDRATION  VESSELS / DRUMS</v>
          </cell>
          <cell r="AK188">
            <v>0</v>
          </cell>
          <cell r="AL188">
            <v>0</v>
          </cell>
          <cell r="AM188">
            <v>0</v>
          </cell>
          <cell r="AN188">
            <v>0</v>
          </cell>
          <cell r="AO188">
            <v>0</v>
          </cell>
          <cell r="AP188">
            <v>0</v>
          </cell>
          <cell r="AQ188">
            <v>0</v>
          </cell>
          <cell r="AR188">
            <v>0</v>
          </cell>
        </row>
        <row r="189">
          <cell r="AI189" t="str">
            <v>1BBAAJ</v>
          </cell>
          <cell r="AJ189" t="str">
            <v>BUTANE PRODUCT DEHYDRATION  VESSELS / DRUMS</v>
          </cell>
          <cell r="AQ189">
            <v>0</v>
          </cell>
        </row>
        <row r="190">
          <cell r="M190" t="str">
            <v>1BCA-</v>
          </cell>
          <cell r="N190" t="str">
            <v>NGL-4 PLANT  - CONSTRUCTION - CIVIL</v>
          </cell>
          <cell r="Q190">
            <v>0</v>
          </cell>
          <cell r="R190">
            <v>0</v>
          </cell>
          <cell r="S190">
            <v>0</v>
          </cell>
          <cell r="T190">
            <v>0</v>
          </cell>
          <cell r="U190">
            <v>0</v>
          </cell>
          <cell r="X190" t="str">
            <v>1BAIA</v>
          </cell>
          <cell r="Y190" t="str">
            <v>NGL-4 PLANT  - PROCUREMENT PRESSURE VESSELS</v>
          </cell>
          <cell r="AF190">
            <v>0</v>
          </cell>
          <cell r="AG190">
            <v>0</v>
          </cell>
          <cell r="AH190">
            <v>0</v>
          </cell>
          <cell r="AI190" t="str">
            <v>1BBAAK</v>
          </cell>
          <cell r="AJ190" t="str">
            <v>REGENERATION GAS DRYING VESSELS / DRUMS</v>
          </cell>
          <cell r="AK190">
            <v>0</v>
          </cell>
          <cell r="AL190">
            <v>0</v>
          </cell>
          <cell r="AM190">
            <v>0</v>
          </cell>
          <cell r="AN190">
            <v>0</v>
          </cell>
          <cell r="AO190">
            <v>0</v>
          </cell>
          <cell r="AP190">
            <v>0</v>
          </cell>
          <cell r="AQ190">
            <v>0</v>
          </cell>
          <cell r="AR190">
            <v>0</v>
          </cell>
        </row>
        <row r="191">
          <cell r="M191" t="str">
            <v>1BCB-</v>
          </cell>
          <cell r="N191" t="str">
            <v>NGL-4 PLANT  - CONSTRUCTION - MAJOR EQUIPMENT</v>
          </cell>
          <cell r="Q191">
            <v>708854</v>
          </cell>
          <cell r="R191">
            <v>5949900</v>
          </cell>
          <cell r="S191">
            <v>0</v>
          </cell>
          <cell r="T191">
            <v>0</v>
          </cell>
          <cell r="U191">
            <v>5949900</v>
          </cell>
          <cell r="X191" t="str">
            <v>1BAIB</v>
          </cell>
          <cell r="Y191" t="str">
            <v>NGL-4 PLANT  - PROCUREMENT   COLUMNS</v>
          </cell>
          <cell r="AF191">
            <v>0</v>
          </cell>
          <cell r="AG191">
            <v>0</v>
          </cell>
          <cell r="AH191">
            <v>0</v>
          </cell>
          <cell r="AI191" t="str">
            <v>1BBAAL</v>
          </cell>
          <cell r="AJ191" t="str">
            <v>HOT OIL TANK</v>
          </cell>
          <cell r="AK191">
            <v>0</v>
          </cell>
          <cell r="AL191">
            <v>0</v>
          </cell>
          <cell r="AM191">
            <v>0</v>
          </cell>
          <cell r="AN191">
            <v>0</v>
          </cell>
          <cell r="AO191">
            <v>0</v>
          </cell>
          <cell r="AP191">
            <v>0</v>
          </cell>
          <cell r="AQ191">
            <v>0</v>
          </cell>
          <cell r="AR191">
            <v>0</v>
          </cell>
        </row>
        <row r="192">
          <cell r="M192" t="str">
            <v>1BCC-</v>
          </cell>
          <cell r="N192" t="str">
            <v>NGL-4 PLANT  - CONSTRUCTION - BULKS</v>
          </cell>
          <cell r="Q192">
            <v>0</v>
          </cell>
          <cell r="R192">
            <v>0</v>
          </cell>
          <cell r="S192">
            <v>0</v>
          </cell>
          <cell r="T192">
            <v>0</v>
          </cell>
          <cell r="U192">
            <v>0</v>
          </cell>
          <cell r="X192" t="str">
            <v>1BAIE</v>
          </cell>
          <cell r="Y192" t="str">
            <v>NGL-4 PLANT  - PROCUREMENT   PUMPS &amp; MOTORS</v>
          </cell>
          <cell r="AF192">
            <v>0</v>
          </cell>
          <cell r="AG192">
            <v>0</v>
          </cell>
          <cell r="AH192">
            <v>0</v>
          </cell>
          <cell r="AI192" t="str">
            <v>1BBAAM</v>
          </cell>
          <cell r="AJ192" t="str">
            <v>FLARE HYDROCARBON COLLECTION DRUM</v>
          </cell>
          <cell r="AK192">
            <v>0</v>
          </cell>
          <cell r="AL192">
            <v>0</v>
          </cell>
          <cell r="AM192">
            <v>0</v>
          </cell>
          <cell r="AN192">
            <v>0</v>
          </cell>
          <cell r="AO192">
            <v>0</v>
          </cell>
          <cell r="AP192">
            <v>0</v>
          </cell>
          <cell r="AQ192">
            <v>0</v>
          </cell>
          <cell r="AR192">
            <v>0</v>
          </cell>
        </row>
        <row r="193">
          <cell r="M193" t="str">
            <v>1BCD-</v>
          </cell>
          <cell r="N193" t="str">
            <v>NGL-4 PLANT  - CONSTRUCTION - CONSTRUCTION SPECIALTIES</v>
          </cell>
          <cell r="Q193">
            <v>0</v>
          </cell>
          <cell r="R193">
            <v>0</v>
          </cell>
          <cell r="S193">
            <v>0</v>
          </cell>
          <cell r="T193">
            <v>0</v>
          </cell>
          <cell r="U193">
            <v>0</v>
          </cell>
          <cell r="X193" t="str">
            <v>1BAIF</v>
          </cell>
          <cell r="Y193" t="str">
            <v>NGL-4 PLANT  - PROCUREMENT   HEAT EXCHANGERS - S &amp; T</v>
          </cell>
          <cell r="AF193">
            <v>0</v>
          </cell>
          <cell r="AG193">
            <v>0</v>
          </cell>
          <cell r="AH193">
            <v>0</v>
          </cell>
          <cell r="AI193" t="str">
            <v>1BBAAN</v>
          </cell>
          <cell r="AJ193" t="str">
            <v>DEPROPANISER OVERHEAD ACCUMULATOR DRUM</v>
          </cell>
          <cell r="AK193">
            <v>0</v>
          </cell>
          <cell r="AL193">
            <v>0</v>
          </cell>
          <cell r="AM193">
            <v>0</v>
          </cell>
          <cell r="AN193">
            <v>0</v>
          </cell>
          <cell r="AO193">
            <v>0</v>
          </cell>
          <cell r="AP193">
            <v>0</v>
          </cell>
          <cell r="AQ193">
            <v>0</v>
          </cell>
          <cell r="AR193">
            <v>0</v>
          </cell>
        </row>
        <row r="194">
          <cell r="M194" t="str">
            <v>1BCE-</v>
          </cell>
          <cell r="N194" t="str">
            <v>NGL-4 PLANT  - CONSTRUCTION - OTHER DIRECT WORK</v>
          </cell>
          <cell r="Q194">
            <v>0</v>
          </cell>
          <cell r="R194">
            <v>0</v>
          </cell>
          <cell r="S194">
            <v>0</v>
          </cell>
          <cell r="T194">
            <v>0</v>
          </cell>
          <cell r="U194">
            <v>0</v>
          </cell>
          <cell r="X194" t="str">
            <v>1BAIH</v>
          </cell>
          <cell r="Y194" t="str">
            <v>NGL-4 PLANT  - PROCUREMENT   AIR COOLERS</v>
          </cell>
          <cell r="AF194">
            <v>0</v>
          </cell>
          <cell r="AG194">
            <v>0</v>
          </cell>
          <cell r="AH194">
            <v>0</v>
          </cell>
          <cell r="AI194" t="str">
            <v>1BBAAO</v>
          </cell>
          <cell r="AJ194" t="str">
            <v>DEBUTANISER OVERHEAD ACCUMULATOR DRUM</v>
          </cell>
          <cell r="AK194">
            <v>0</v>
          </cell>
          <cell r="AL194">
            <v>0</v>
          </cell>
          <cell r="AM194">
            <v>0</v>
          </cell>
          <cell r="AN194">
            <v>0</v>
          </cell>
          <cell r="AO194">
            <v>0</v>
          </cell>
          <cell r="AP194">
            <v>0</v>
          </cell>
          <cell r="AQ194">
            <v>0</v>
          </cell>
          <cell r="AR194">
            <v>0</v>
          </cell>
        </row>
        <row r="195">
          <cell r="M195" t="str">
            <v>1BCF-</v>
          </cell>
          <cell r="N195" t="str">
            <v>NGL-4 PLANT  - CONSTRUCTION - INDIRECTS</v>
          </cell>
          <cell r="Q195">
            <v>0</v>
          </cell>
          <cell r="R195">
            <v>0</v>
          </cell>
          <cell r="S195">
            <v>0</v>
          </cell>
          <cell r="T195">
            <v>0</v>
          </cell>
          <cell r="U195">
            <v>0</v>
          </cell>
          <cell r="X195" t="str">
            <v>1BAII</v>
          </cell>
          <cell r="Y195" t="str">
            <v>NGL-4 PLANT  - PROCUREMENT   COMPRESSORS &amp; DRIVERS</v>
          </cell>
          <cell r="AF195">
            <v>0</v>
          </cell>
          <cell r="AG195">
            <v>0</v>
          </cell>
          <cell r="AH195">
            <v>0</v>
          </cell>
          <cell r="AI195" t="str">
            <v>1BBAAP</v>
          </cell>
          <cell r="AJ195" t="str">
            <v>ADIP MIXER 1ST STAGE VESSELS</v>
          </cell>
          <cell r="AK195">
            <v>0</v>
          </cell>
          <cell r="AL195">
            <v>0</v>
          </cell>
          <cell r="AM195">
            <v>0</v>
          </cell>
          <cell r="AN195">
            <v>0</v>
          </cell>
          <cell r="AO195">
            <v>0</v>
          </cell>
          <cell r="AP195">
            <v>0</v>
          </cell>
          <cell r="AQ195">
            <v>0</v>
          </cell>
          <cell r="AR195">
            <v>0</v>
          </cell>
        </row>
        <row r="196">
          <cell r="M196" t="str">
            <v>1BC--</v>
          </cell>
          <cell r="N196" t="str">
            <v>SUBTOTAL NGL-4 PLANT  - CONSTRUCTION</v>
          </cell>
          <cell r="Q196">
            <v>708854</v>
          </cell>
          <cell r="R196">
            <v>5949900</v>
          </cell>
          <cell r="S196">
            <v>0</v>
          </cell>
          <cell r="T196">
            <v>0</v>
          </cell>
          <cell r="U196">
            <v>5949900</v>
          </cell>
          <cell r="X196" t="str">
            <v>1BAIJ</v>
          </cell>
          <cell r="Y196" t="str">
            <v>NGL-4 PLANT  - PROCUREMENT   EMERGENCY DIESEL GENERATOR</v>
          </cell>
          <cell r="AF196">
            <v>0</v>
          </cell>
          <cell r="AG196">
            <v>0</v>
          </cell>
          <cell r="AH196">
            <v>0</v>
          </cell>
          <cell r="AI196" t="str">
            <v>1BBAAQ</v>
          </cell>
          <cell r="AJ196" t="str">
            <v>ADIP MIXER 2ND STAGE VESSELS</v>
          </cell>
          <cell r="AK196">
            <v>0</v>
          </cell>
          <cell r="AL196">
            <v>0</v>
          </cell>
          <cell r="AM196">
            <v>0</v>
          </cell>
          <cell r="AN196">
            <v>0</v>
          </cell>
          <cell r="AO196">
            <v>0</v>
          </cell>
          <cell r="AP196">
            <v>0</v>
          </cell>
          <cell r="AQ196">
            <v>0</v>
          </cell>
          <cell r="AR196">
            <v>0</v>
          </cell>
        </row>
        <row r="197">
          <cell r="X197" t="str">
            <v>1BAIM</v>
          </cell>
          <cell r="Y197" t="str">
            <v>NGL-4 PLANT  - PROCUREMENT   BLOWERS &amp; FANS</v>
          </cell>
          <cell r="AF197">
            <v>0</v>
          </cell>
          <cell r="AG197">
            <v>0</v>
          </cell>
          <cell r="AH197">
            <v>0</v>
          </cell>
          <cell r="AI197" t="str">
            <v>1BBAAR</v>
          </cell>
          <cell r="AJ197" t="str">
            <v>ADIP MIXER 3RD STAGE VESSELS</v>
          </cell>
          <cell r="AK197">
            <v>0</v>
          </cell>
          <cell r="AL197">
            <v>0</v>
          </cell>
          <cell r="AM197">
            <v>0</v>
          </cell>
          <cell r="AN197">
            <v>0</v>
          </cell>
          <cell r="AO197">
            <v>0</v>
          </cell>
          <cell r="AP197">
            <v>0</v>
          </cell>
          <cell r="AQ197">
            <v>0</v>
          </cell>
          <cell r="AR197">
            <v>0</v>
          </cell>
        </row>
        <row r="198">
          <cell r="M198" t="str">
            <v>1BDA-</v>
          </cell>
          <cell r="N198" t="str">
            <v>NGL-4 PLANT  - COMMISSIONING</v>
          </cell>
          <cell r="Q198">
            <v>0</v>
          </cell>
          <cell r="R198">
            <v>0</v>
          </cell>
          <cell r="S198">
            <v>0</v>
          </cell>
          <cell r="T198">
            <v>0</v>
          </cell>
          <cell r="U198">
            <v>0</v>
          </cell>
          <cell r="X198" t="str">
            <v>1BAIO</v>
          </cell>
          <cell r="Y198" t="str">
            <v>NGL-4 PLANT  - PROCUREMENT   FLARES</v>
          </cell>
          <cell r="AF198">
            <v>0</v>
          </cell>
          <cell r="AG198">
            <v>0</v>
          </cell>
          <cell r="AH198">
            <v>0</v>
          </cell>
          <cell r="AI198" t="str">
            <v>1BBAAS</v>
          </cell>
          <cell r="AJ198" t="str">
            <v>ADIP SETTLER 1ST STAGE VESSELS</v>
          </cell>
          <cell r="AK198">
            <v>0</v>
          </cell>
          <cell r="AL198">
            <v>0</v>
          </cell>
          <cell r="AM198">
            <v>0</v>
          </cell>
          <cell r="AN198">
            <v>0</v>
          </cell>
          <cell r="AO198">
            <v>0</v>
          </cell>
          <cell r="AP198">
            <v>0</v>
          </cell>
          <cell r="AQ198">
            <v>0</v>
          </cell>
          <cell r="AR198">
            <v>0</v>
          </cell>
        </row>
        <row r="199">
          <cell r="M199" t="str">
            <v>1BDB-</v>
          </cell>
          <cell r="N199" t="str">
            <v>NGL-4 PLANT  -PERFORMANCE TEST</v>
          </cell>
          <cell r="Q199">
            <v>0</v>
          </cell>
          <cell r="R199">
            <v>0</v>
          </cell>
          <cell r="S199">
            <v>0</v>
          </cell>
          <cell r="T199">
            <v>0</v>
          </cell>
          <cell r="U199">
            <v>0</v>
          </cell>
          <cell r="X199" t="str">
            <v>1BAIQ</v>
          </cell>
          <cell r="Y199" t="str">
            <v>NGL-4 PLANT  - PROCUREMENT   PACKAGED EQUIPMENT</v>
          </cell>
          <cell r="AF199">
            <v>0</v>
          </cell>
          <cell r="AG199">
            <v>0</v>
          </cell>
          <cell r="AH199">
            <v>0</v>
          </cell>
          <cell r="AI199" t="str">
            <v>1BBAAT</v>
          </cell>
          <cell r="AJ199" t="str">
            <v>ADIP SETTLER 2ND STAGE VESSELS</v>
          </cell>
          <cell r="AK199">
            <v>0</v>
          </cell>
          <cell r="AL199">
            <v>0</v>
          </cell>
          <cell r="AM199">
            <v>0</v>
          </cell>
          <cell r="AN199">
            <v>0</v>
          </cell>
          <cell r="AO199">
            <v>0</v>
          </cell>
          <cell r="AP199">
            <v>0</v>
          </cell>
          <cell r="AQ199">
            <v>0</v>
          </cell>
          <cell r="AR199">
            <v>0</v>
          </cell>
        </row>
        <row r="200">
          <cell r="M200" t="str">
            <v>1BD--</v>
          </cell>
          <cell r="N200" t="str">
            <v>SUBTOTAL NGL-4 PLANT  - COMMISSIONING, PERFORMANCE TEST &amp; TRAINING</v>
          </cell>
          <cell r="Q200">
            <v>0</v>
          </cell>
          <cell r="R200">
            <v>0</v>
          </cell>
          <cell r="S200">
            <v>0</v>
          </cell>
          <cell r="T200">
            <v>0</v>
          </cell>
          <cell r="U200">
            <v>0</v>
          </cell>
          <cell r="X200" t="str">
            <v>1BAIR</v>
          </cell>
          <cell r="Y200" t="str">
            <v>NGL-4 PLANT  - PROCUREMENT   ELECTRICAL EQUIPMENT</v>
          </cell>
          <cell r="AF200">
            <v>0</v>
          </cell>
          <cell r="AG200">
            <v>0</v>
          </cell>
          <cell r="AH200">
            <v>0</v>
          </cell>
          <cell r="AI200" t="str">
            <v>1BBAAU</v>
          </cell>
          <cell r="AJ200" t="str">
            <v>ADIP SETTLER 3RD STAGE VESSELS</v>
          </cell>
          <cell r="AK200">
            <v>0</v>
          </cell>
          <cell r="AL200">
            <v>0</v>
          </cell>
          <cell r="AM200">
            <v>0</v>
          </cell>
          <cell r="AN200">
            <v>0</v>
          </cell>
          <cell r="AO200">
            <v>0</v>
          </cell>
          <cell r="AP200">
            <v>0</v>
          </cell>
          <cell r="AQ200">
            <v>0</v>
          </cell>
          <cell r="AR200">
            <v>0</v>
          </cell>
        </row>
        <row r="201">
          <cell r="X201" t="str">
            <v>1BAIS</v>
          </cell>
          <cell r="Y201" t="str">
            <v>NGL-4 PLANT  - PROCUREMENT   INSTRUMENTATION EQUIPMENT</v>
          </cell>
          <cell r="AF201">
            <v>0</v>
          </cell>
          <cell r="AG201">
            <v>0</v>
          </cell>
          <cell r="AH201">
            <v>0</v>
          </cell>
          <cell r="AI201" t="str">
            <v>1BBAAV</v>
          </cell>
          <cell r="AJ201" t="str">
            <v>ADIP WASH WATER VESSELS</v>
          </cell>
          <cell r="AK201">
            <v>0</v>
          </cell>
          <cell r="AL201">
            <v>0</v>
          </cell>
          <cell r="AM201">
            <v>0</v>
          </cell>
          <cell r="AN201">
            <v>0</v>
          </cell>
          <cell r="AO201">
            <v>0</v>
          </cell>
          <cell r="AP201">
            <v>0</v>
          </cell>
          <cell r="AQ201">
            <v>0</v>
          </cell>
          <cell r="AR201">
            <v>0</v>
          </cell>
        </row>
        <row r="202">
          <cell r="X202" t="str">
            <v>1BAIT</v>
          </cell>
          <cell r="Y202" t="str">
            <v>NGL-4 PLANT  - PROCUREMENT   BULKS</v>
          </cell>
          <cell r="AF202">
            <v>0</v>
          </cell>
          <cell r="AG202">
            <v>0</v>
          </cell>
          <cell r="AH202">
            <v>0</v>
          </cell>
          <cell r="AI202" t="str">
            <v>1BBAAW</v>
          </cell>
          <cell r="AJ202" t="str">
            <v>ADIP REGENERATOR DRUM</v>
          </cell>
          <cell r="AK202">
            <v>0</v>
          </cell>
          <cell r="AL202">
            <v>0</v>
          </cell>
          <cell r="AM202">
            <v>0</v>
          </cell>
          <cell r="AN202">
            <v>0</v>
          </cell>
          <cell r="AO202">
            <v>0</v>
          </cell>
          <cell r="AP202">
            <v>0</v>
          </cell>
          <cell r="AQ202">
            <v>0</v>
          </cell>
          <cell r="AR202">
            <v>0</v>
          </cell>
        </row>
        <row r="203">
          <cell r="X203" t="str">
            <v>1BAIX</v>
          </cell>
          <cell r="Y203" t="str">
            <v>NGL-4 PLANT  - PROCUREMENT   OTHER</v>
          </cell>
          <cell r="AF203">
            <v>0</v>
          </cell>
          <cell r="AG203">
            <v>0</v>
          </cell>
          <cell r="AH203">
            <v>0</v>
          </cell>
          <cell r="AI203" t="str">
            <v>1BBAAY</v>
          </cell>
          <cell r="AJ203" t="str">
            <v>MEROX DISULPHIDE SEPARATOR</v>
          </cell>
          <cell r="AK203">
            <v>0</v>
          </cell>
          <cell r="AL203">
            <v>0</v>
          </cell>
          <cell r="AM203">
            <v>0</v>
          </cell>
          <cell r="AN203">
            <v>0</v>
          </cell>
          <cell r="AO203">
            <v>0</v>
          </cell>
          <cell r="AP203">
            <v>0</v>
          </cell>
          <cell r="AQ203">
            <v>0</v>
          </cell>
          <cell r="AR203">
            <v>0</v>
          </cell>
        </row>
        <row r="204">
          <cell r="X204" t="str">
            <v>1BAI-</v>
          </cell>
          <cell r="Y204" t="str">
            <v>SUBTOTAL - NGL-4 PLANT  - PROCUREMENT</v>
          </cell>
          <cell r="Z204">
            <v>0</v>
          </cell>
          <cell r="AA204" t="str">
            <v>N/A</v>
          </cell>
          <cell r="AB204">
            <v>0</v>
          </cell>
          <cell r="AC204">
            <v>0</v>
          </cell>
          <cell r="AD204">
            <v>0</v>
          </cell>
          <cell r="AE204">
            <v>0</v>
          </cell>
          <cell r="AF204">
            <v>0</v>
          </cell>
          <cell r="AI204" t="str">
            <v>1BBAAZ</v>
          </cell>
          <cell r="AJ204" t="str">
            <v>MEROX PREWASH DRUM</v>
          </cell>
          <cell r="AQ204">
            <v>0</v>
          </cell>
        </row>
        <row r="205">
          <cell r="AI205" t="str">
            <v>1BBAA1</v>
          </cell>
          <cell r="AJ205" t="str">
            <v>CAUSTIC KNOCKOUT DRUMS</v>
          </cell>
          <cell r="AQ205">
            <v>0</v>
          </cell>
        </row>
        <row r="206">
          <cell r="X206" t="str">
            <v>1BAJA</v>
          </cell>
          <cell r="Y206" t="str">
            <v>NGL-4 PLANT  - INDIRECT ENG'G CONTRACTS</v>
          </cell>
          <cell r="AF206">
            <v>0</v>
          </cell>
          <cell r="AG206">
            <v>0</v>
          </cell>
          <cell r="AH206">
            <v>0</v>
          </cell>
          <cell r="AI206" t="str">
            <v>1BBAA2</v>
          </cell>
          <cell r="AJ206" t="str">
            <v>SAND FILTER</v>
          </cell>
          <cell r="AK206">
            <v>0</v>
          </cell>
          <cell r="AL206">
            <v>0</v>
          </cell>
          <cell r="AM206">
            <v>0</v>
          </cell>
          <cell r="AN206">
            <v>0</v>
          </cell>
          <cell r="AO206">
            <v>0</v>
          </cell>
          <cell r="AP206">
            <v>0</v>
          </cell>
          <cell r="AQ206">
            <v>0</v>
          </cell>
          <cell r="AR206">
            <v>0</v>
          </cell>
        </row>
        <row r="207">
          <cell r="X207" t="str">
            <v>1BAJB</v>
          </cell>
          <cell r="Y207" t="str">
            <v>NGL-4 PLANT  - INDIRECT ENG'G PROJECT MANAGEMENT</v>
          </cell>
          <cell r="AF207">
            <v>0</v>
          </cell>
          <cell r="AG207">
            <v>0</v>
          </cell>
          <cell r="AH207">
            <v>0</v>
          </cell>
          <cell r="AI207" t="str">
            <v>1BBAA3</v>
          </cell>
          <cell r="AJ207" t="str">
            <v>SOUR VENT VESEL</v>
          </cell>
          <cell r="AK207">
            <v>0</v>
          </cell>
          <cell r="AL207">
            <v>0</v>
          </cell>
          <cell r="AM207">
            <v>0</v>
          </cell>
          <cell r="AN207">
            <v>0</v>
          </cell>
          <cell r="AO207">
            <v>0</v>
          </cell>
          <cell r="AP207">
            <v>0</v>
          </cell>
          <cell r="AQ207">
            <v>0</v>
          </cell>
          <cell r="AR207">
            <v>0</v>
          </cell>
        </row>
        <row r="208">
          <cell r="X208" t="str">
            <v>1BAJC</v>
          </cell>
          <cell r="Y208" t="str">
            <v>NGL-4 PLANT  - INDIRECT ENG'G ENGINEERING/NON-TECH</v>
          </cell>
          <cell r="AF208">
            <v>0</v>
          </cell>
          <cell r="AG208">
            <v>0</v>
          </cell>
          <cell r="AH208">
            <v>0</v>
          </cell>
          <cell r="AI208" t="str">
            <v>1BBAA4</v>
          </cell>
          <cell r="AJ208" t="str">
            <v>OXIDISER VESSEL</v>
          </cell>
          <cell r="AK208">
            <v>0</v>
          </cell>
          <cell r="AL208">
            <v>0</v>
          </cell>
          <cell r="AM208">
            <v>0</v>
          </cell>
          <cell r="AN208">
            <v>0</v>
          </cell>
          <cell r="AO208">
            <v>0</v>
          </cell>
          <cell r="AP208">
            <v>0</v>
          </cell>
          <cell r="AQ208">
            <v>0</v>
          </cell>
          <cell r="AR208">
            <v>0</v>
          </cell>
        </row>
        <row r="209">
          <cell r="X209" t="str">
            <v>1BAJX</v>
          </cell>
          <cell r="Y209" t="str">
            <v>NGL-4 PLANT  - INDIRECT ENG'G OTHER</v>
          </cell>
          <cell r="AF209">
            <v>0</v>
          </cell>
          <cell r="AG209">
            <v>0</v>
          </cell>
          <cell r="AH209">
            <v>0</v>
          </cell>
          <cell r="AI209" t="str">
            <v>1BBAAX</v>
          </cell>
          <cell r="AJ209" t="str">
            <v>OTHER PRESSURE VESSELS</v>
          </cell>
          <cell r="AK209">
            <v>0</v>
          </cell>
          <cell r="AL209">
            <v>0</v>
          </cell>
          <cell r="AM209">
            <v>0</v>
          </cell>
          <cell r="AN209">
            <v>0</v>
          </cell>
          <cell r="AO209">
            <v>0</v>
          </cell>
          <cell r="AP209">
            <v>0</v>
          </cell>
          <cell r="AQ209">
            <v>0</v>
          </cell>
          <cell r="AR209">
            <v>0</v>
          </cell>
        </row>
        <row r="210">
          <cell r="X210" t="str">
            <v>1BAJ-</v>
          </cell>
          <cell r="Y210" t="str">
            <v>SUBTOTAL - NGL-4 PLANT  - INDIRECT ENGINEERING</v>
          </cell>
          <cell r="Z210">
            <v>0</v>
          </cell>
          <cell r="AA210" t="str">
            <v>N/A</v>
          </cell>
          <cell r="AB210">
            <v>0</v>
          </cell>
          <cell r="AC210">
            <v>0</v>
          </cell>
          <cell r="AD210">
            <v>0</v>
          </cell>
          <cell r="AE210">
            <v>0</v>
          </cell>
          <cell r="AF210">
            <v>0</v>
          </cell>
          <cell r="AI210" t="str">
            <v>1BBAA-</v>
          </cell>
          <cell r="AJ210" t="str">
            <v>SUBTOTAL PRESSURE VESSELS</v>
          </cell>
          <cell r="AK210">
            <v>0</v>
          </cell>
          <cell r="AL210">
            <v>0</v>
          </cell>
          <cell r="AM210">
            <v>0</v>
          </cell>
          <cell r="AN210">
            <v>0</v>
          </cell>
          <cell r="AO210">
            <v>0</v>
          </cell>
          <cell r="AP210">
            <v>0</v>
          </cell>
          <cell r="AQ210">
            <v>0</v>
          </cell>
        </row>
        <row r="222">
          <cell r="W222" t="str">
            <v>LEVEL 2 NGL-4 PLANT PG.2</v>
          </cell>
          <cell r="X222" t="str">
            <v>WBS CODE</v>
          </cell>
          <cell r="Y222" t="str">
            <v>DESCRIPTION</v>
          </cell>
          <cell r="Z222" t="str">
            <v>QUANTITY</v>
          </cell>
          <cell r="AA222" t="str">
            <v>UNITS</v>
          </cell>
          <cell r="AB222" t="str">
            <v>TOTAL MANHOURS</v>
          </cell>
          <cell r="AC222" t="str">
            <v>TOTAL LABOR COST</v>
          </cell>
          <cell r="AD222" t="str">
            <v>TOTAL MAT'L COST</v>
          </cell>
          <cell r="AE222" t="str">
            <v>TOTAL S/C COST</v>
          </cell>
          <cell r="AF222" t="str">
            <v>TOTAL COST</v>
          </cell>
          <cell r="AH222" t="str">
            <v>LEVEL 3 NGL-4 PLANT PG 2</v>
          </cell>
          <cell r="AI222" t="str">
            <v>WBS CODE</v>
          </cell>
          <cell r="AJ222" t="str">
            <v>DESCRIPTION</v>
          </cell>
          <cell r="AK222" t="str">
            <v>QUANTITY</v>
          </cell>
          <cell r="AL222" t="str">
            <v>UNITS</v>
          </cell>
          <cell r="AM222" t="str">
            <v>TOTAL MANHOURS</v>
          </cell>
          <cell r="AN222" t="str">
            <v>TOTAL LABOR COST</v>
          </cell>
          <cell r="AO222" t="str">
            <v>TOTAL MAT'L COST</v>
          </cell>
          <cell r="AP222" t="str">
            <v>TOTAL S/C COST</v>
          </cell>
          <cell r="AQ222" t="str">
            <v>TOTAL COST</v>
          </cell>
        </row>
        <row r="224">
          <cell r="X224" t="str">
            <v>1BBAA</v>
          </cell>
          <cell r="Y224" t="str">
            <v>NGL-4 PLANT  - FAB/DELIVERY MAJOR EQUIP PRESSURE VESSELS</v>
          </cell>
          <cell r="Z224">
            <v>0</v>
          </cell>
          <cell r="AA224">
            <v>0</v>
          </cell>
          <cell r="AB224">
            <v>0</v>
          </cell>
          <cell r="AC224">
            <v>0</v>
          </cell>
          <cell r="AD224">
            <v>0</v>
          </cell>
          <cell r="AE224">
            <v>0</v>
          </cell>
          <cell r="AF224">
            <v>0</v>
          </cell>
          <cell r="AI224" t="str">
            <v>1BBABA</v>
          </cell>
          <cell r="AJ224" t="str">
            <v>DEETHANISER COLUMNS</v>
          </cell>
          <cell r="AQ224">
            <v>0</v>
          </cell>
        </row>
        <row r="225">
          <cell r="X225" t="str">
            <v>1BBAB</v>
          </cell>
          <cell r="Y225" t="str">
            <v>NGL-4 PLANT  - FAB/DELIVERY MAJOR EQUIP COLUMNS</v>
          </cell>
          <cell r="Z225">
            <v>0</v>
          </cell>
          <cell r="AA225">
            <v>0</v>
          </cell>
          <cell r="AB225">
            <v>0</v>
          </cell>
          <cell r="AC225">
            <v>0</v>
          </cell>
          <cell r="AD225">
            <v>0</v>
          </cell>
          <cell r="AE225">
            <v>0</v>
          </cell>
          <cell r="AF225">
            <v>0</v>
          </cell>
          <cell r="AI225" t="str">
            <v>1BBABB</v>
          </cell>
          <cell r="AJ225" t="str">
            <v>DEPROPANISER COLUMNS</v>
          </cell>
        </row>
        <row r="226">
          <cell r="X226" t="str">
            <v>1BBAE</v>
          </cell>
          <cell r="Y226" t="str">
            <v>NGL-4 PLANT  - FAB/DELIVERY MAJOR EQUIP PUMPS &amp; MOTORS</v>
          </cell>
          <cell r="Z226">
            <v>0</v>
          </cell>
          <cell r="AA226">
            <v>0</v>
          </cell>
          <cell r="AB226">
            <v>0</v>
          </cell>
          <cell r="AC226">
            <v>0</v>
          </cell>
          <cell r="AD226">
            <v>0</v>
          </cell>
          <cell r="AE226">
            <v>0</v>
          </cell>
          <cell r="AF226">
            <v>0</v>
          </cell>
          <cell r="AI226" t="str">
            <v>1BBABC</v>
          </cell>
          <cell r="AJ226" t="str">
            <v>DEBUTANISER COLUMNS</v>
          </cell>
          <cell r="AQ226">
            <v>0</v>
          </cell>
        </row>
        <row r="227">
          <cell r="X227" t="str">
            <v>1BBAF</v>
          </cell>
          <cell r="Y227" t="str">
            <v>NGL-4 PLANT  - FAB/DELIVERY MAJOR EQUIP HEAT EXCHANGERS S&amp;T</v>
          </cell>
          <cell r="Z227">
            <v>0</v>
          </cell>
          <cell r="AA227">
            <v>0</v>
          </cell>
          <cell r="AB227">
            <v>0</v>
          </cell>
          <cell r="AC227">
            <v>0</v>
          </cell>
          <cell r="AD227">
            <v>0</v>
          </cell>
          <cell r="AE227">
            <v>0</v>
          </cell>
          <cell r="AF227">
            <v>0</v>
          </cell>
          <cell r="AI227" t="str">
            <v>1BBABD</v>
          </cell>
          <cell r="AJ227" t="str">
            <v>PROPANE MOLECULAR SEIVE ABSORBER</v>
          </cell>
          <cell r="AQ227">
            <v>0</v>
          </cell>
        </row>
        <row r="228">
          <cell r="X228" t="str">
            <v>1BBAH</v>
          </cell>
          <cell r="Y228" t="str">
            <v>NGL-4 PLANT  - FAB/DELIVERY MAJOR EQUIP AIR COOLERS</v>
          </cell>
          <cell r="Z228">
            <v>0</v>
          </cell>
          <cell r="AA228">
            <v>0</v>
          </cell>
          <cell r="AB228">
            <v>0</v>
          </cell>
          <cell r="AC228">
            <v>0</v>
          </cell>
          <cell r="AD228">
            <v>0</v>
          </cell>
          <cell r="AE228">
            <v>0</v>
          </cell>
          <cell r="AF228">
            <v>0</v>
          </cell>
          <cell r="AI228" t="str">
            <v>1BBABE</v>
          </cell>
          <cell r="AJ228" t="str">
            <v>BUTANE MOLECULAR SE9IVE ABSORBER</v>
          </cell>
          <cell r="AQ228">
            <v>0</v>
          </cell>
        </row>
        <row r="229">
          <cell r="X229" t="str">
            <v>1BBAI</v>
          </cell>
          <cell r="Y229" t="str">
            <v>NGL-4 PLANT  - FAB/DELIVERY MAJOR EQUIP COMPRESSORS &amp; DRIVERS</v>
          </cell>
          <cell r="Z229">
            <v>0</v>
          </cell>
          <cell r="AA229">
            <v>0</v>
          </cell>
          <cell r="AB229">
            <v>0</v>
          </cell>
          <cell r="AC229">
            <v>0</v>
          </cell>
          <cell r="AD229">
            <v>0</v>
          </cell>
          <cell r="AE229">
            <v>0</v>
          </cell>
          <cell r="AF229">
            <v>0</v>
          </cell>
          <cell r="AI229" t="str">
            <v>1BBABF</v>
          </cell>
          <cell r="AJ229" t="str">
            <v>REGENERATED GAS ALUMINUM DRYER</v>
          </cell>
          <cell r="AQ229">
            <v>0</v>
          </cell>
        </row>
        <row r="230">
          <cell r="X230" t="str">
            <v>1BBAJ</v>
          </cell>
          <cell r="Y230" t="str">
            <v>NGL-4 PLANT  - FAB/DELIVERY MAJOR EQUIP EMERGENCY DIESEL GENERATOR</v>
          </cell>
          <cell r="AF230">
            <v>0</v>
          </cell>
          <cell r="AG230">
            <v>0</v>
          </cell>
          <cell r="AH230">
            <v>0</v>
          </cell>
          <cell r="AI230" t="str">
            <v>1BBABG</v>
          </cell>
          <cell r="AJ230" t="str">
            <v>ADIP COLUMNS</v>
          </cell>
          <cell r="AK230">
            <v>0</v>
          </cell>
          <cell r="AL230">
            <v>0</v>
          </cell>
          <cell r="AM230">
            <v>0</v>
          </cell>
          <cell r="AN230">
            <v>0</v>
          </cell>
          <cell r="AO230">
            <v>0</v>
          </cell>
          <cell r="AP230">
            <v>0</v>
          </cell>
          <cell r="AQ230">
            <v>0</v>
          </cell>
          <cell r="AR230">
            <v>0</v>
          </cell>
        </row>
        <row r="231">
          <cell r="X231" t="str">
            <v>1BBAM</v>
          </cell>
          <cell r="Y231" t="str">
            <v>NGL-4 PLANT  - FAB/DELIVERY MAJOR EQUIP BLOWERS, FANS</v>
          </cell>
          <cell r="Z231">
            <v>0</v>
          </cell>
          <cell r="AA231">
            <v>0</v>
          </cell>
          <cell r="AB231">
            <v>0</v>
          </cell>
          <cell r="AC231">
            <v>0</v>
          </cell>
          <cell r="AD231">
            <v>0</v>
          </cell>
          <cell r="AE231">
            <v>0</v>
          </cell>
          <cell r="AF231">
            <v>0</v>
          </cell>
          <cell r="AI231" t="str">
            <v>1BBABH</v>
          </cell>
          <cell r="AJ231" t="str">
            <v>MEROX COLUMNS</v>
          </cell>
          <cell r="AQ231">
            <v>0</v>
          </cell>
        </row>
        <row r="232">
          <cell r="X232" t="str">
            <v>1BBAO</v>
          </cell>
          <cell r="Y232" t="str">
            <v>NGL-4 PLANT  - FAB/DELIVERY MAJOR EQUIP FLARES</v>
          </cell>
          <cell r="Z232">
            <v>0</v>
          </cell>
          <cell r="AA232">
            <v>0</v>
          </cell>
          <cell r="AB232">
            <v>0</v>
          </cell>
          <cell r="AC232">
            <v>0</v>
          </cell>
          <cell r="AD232">
            <v>0</v>
          </cell>
          <cell r="AE232">
            <v>0</v>
          </cell>
          <cell r="AF232">
            <v>0</v>
          </cell>
          <cell r="AI232" t="str">
            <v>1BBABI</v>
          </cell>
          <cell r="AJ232" t="str">
            <v>PROPANE PRODUCT DEHYDRATION  COLUMNS</v>
          </cell>
          <cell r="AQ232">
            <v>0</v>
          </cell>
        </row>
        <row r="233">
          <cell r="X233" t="str">
            <v>1BBAQ</v>
          </cell>
          <cell r="Y233" t="str">
            <v>NGL-4 PLANT  - FAB/DELIVERY MAJOR EQUIP PACKAGED EQUIPMENT</v>
          </cell>
          <cell r="Z233">
            <v>0</v>
          </cell>
          <cell r="AA233">
            <v>0</v>
          </cell>
          <cell r="AB233">
            <v>0</v>
          </cell>
          <cell r="AC233">
            <v>0</v>
          </cell>
          <cell r="AD233">
            <v>0</v>
          </cell>
          <cell r="AE233">
            <v>0</v>
          </cell>
          <cell r="AF233">
            <v>0</v>
          </cell>
          <cell r="AI233" t="str">
            <v>1BBABJ</v>
          </cell>
          <cell r="AJ233" t="str">
            <v>BUTANE PRODUCT DEHYDRATION  COLUMNS</v>
          </cell>
          <cell r="AQ233">
            <v>0</v>
          </cell>
        </row>
        <row r="234">
          <cell r="X234" t="str">
            <v>1BBAR</v>
          </cell>
          <cell r="Y234" t="str">
            <v>NGL-4 PLANT  - FAB/DELIVERY MAJOR EQUIP ELECTRICAL EQUIPMENT</v>
          </cell>
          <cell r="Z234">
            <v>0</v>
          </cell>
          <cell r="AA234">
            <v>0</v>
          </cell>
          <cell r="AB234">
            <v>0</v>
          </cell>
          <cell r="AC234">
            <v>0</v>
          </cell>
          <cell r="AD234">
            <v>0</v>
          </cell>
          <cell r="AE234">
            <v>0</v>
          </cell>
          <cell r="AF234">
            <v>0</v>
          </cell>
          <cell r="AI234" t="str">
            <v>1BBABK</v>
          </cell>
          <cell r="AJ234" t="str">
            <v>REGENERATION GAS DRYING COLUMNS</v>
          </cell>
          <cell r="AQ234">
            <v>0</v>
          </cell>
        </row>
        <row r="235">
          <cell r="X235" t="str">
            <v>1BBAS</v>
          </cell>
          <cell r="Y235" t="str">
            <v>NGL-4 PLANT  - FAB/DELIVERY MAJOR EQUIP INSTRUMENTATION EQUIPMENT</v>
          </cell>
          <cell r="Z235">
            <v>0</v>
          </cell>
          <cell r="AA235">
            <v>0</v>
          </cell>
          <cell r="AB235">
            <v>0</v>
          </cell>
          <cell r="AC235">
            <v>0</v>
          </cell>
          <cell r="AD235">
            <v>0</v>
          </cell>
          <cell r="AE235">
            <v>0</v>
          </cell>
          <cell r="AF235">
            <v>0</v>
          </cell>
          <cell r="AI235" t="str">
            <v>1BBABL</v>
          </cell>
          <cell r="AJ235" t="str">
            <v>ADIP C3 EXTRACTOR COLUMN</v>
          </cell>
          <cell r="AQ235">
            <v>0</v>
          </cell>
        </row>
        <row r="236">
          <cell r="X236" t="str">
            <v>1BBAX</v>
          </cell>
          <cell r="Y236" t="str">
            <v>NGL-4 PLANT  - FAB/DELIVERY MAJOR EQUIP OTHER</v>
          </cell>
          <cell r="Z236">
            <v>0</v>
          </cell>
          <cell r="AA236">
            <v>0</v>
          </cell>
          <cell r="AB236">
            <v>0</v>
          </cell>
          <cell r="AC236">
            <v>0</v>
          </cell>
          <cell r="AD236">
            <v>0</v>
          </cell>
          <cell r="AE236">
            <v>0</v>
          </cell>
          <cell r="AF236">
            <v>0</v>
          </cell>
          <cell r="AI236" t="str">
            <v>1BBABM</v>
          </cell>
          <cell r="AJ236" t="str">
            <v>ADIP C4 ABSORBER COLUMN</v>
          </cell>
          <cell r="AQ236">
            <v>0</v>
          </cell>
        </row>
        <row r="237">
          <cell r="X237" t="str">
            <v>1BBA-</v>
          </cell>
          <cell r="Y237" t="str">
            <v>SUBTOTAL - NGL-4 PLANT  - FAB/DELIVERY MAJOR EQUIP.</v>
          </cell>
          <cell r="Z237">
            <v>0</v>
          </cell>
          <cell r="AA237" t="str">
            <v>N/A</v>
          </cell>
          <cell r="AB237">
            <v>0</v>
          </cell>
          <cell r="AC237">
            <v>0</v>
          </cell>
          <cell r="AD237">
            <v>0</v>
          </cell>
          <cell r="AE237">
            <v>0</v>
          </cell>
          <cell r="AF237">
            <v>0</v>
          </cell>
          <cell r="AI237" t="str">
            <v>1BBABN</v>
          </cell>
          <cell r="AJ237" t="str">
            <v>ADIP REGENERATION COLUMN</v>
          </cell>
          <cell r="AQ237">
            <v>0</v>
          </cell>
        </row>
        <row r="238">
          <cell r="AI238" t="str">
            <v>1BBABO</v>
          </cell>
          <cell r="AJ238" t="str">
            <v>MEROX C3 EXTRACTOR COLUMN</v>
          </cell>
          <cell r="AQ238">
            <v>0</v>
          </cell>
        </row>
        <row r="239">
          <cell r="X239" t="str">
            <v>1BBBA</v>
          </cell>
          <cell r="Y239" t="str">
            <v>NGL-4 PLANT  - FAB/DELIVERY BULKS - IMBEDS</v>
          </cell>
          <cell r="AF239">
            <v>0</v>
          </cell>
          <cell r="AG239">
            <v>0</v>
          </cell>
          <cell r="AH239">
            <v>0</v>
          </cell>
          <cell r="AI239" t="str">
            <v>1BBABP</v>
          </cell>
          <cell r="AJ239" t="str">
            <v>MEROX C4 EXTRACTOR COLUMN</v>
          </cell>
          <cell r="AK239">
            <v>0</v>
          </cell>
          <cell r="AL239">
            <v>0</v>
          </cell>
          <cell r="AM239">
            <v>0</v>
          </cell>
          <cell r="AN239">
            <v>0</v>
          </cell>
          <cell r="AO239">
            <v>0</v>
          </cell>
          <cell r="AP239">
            <v>0</v>
          </cell>
          <cell r="AQ239">
            <v>0</v>
          </cell>
          <cell r="AR239">
            <v>0</v>
          </cell>
        </row>
        <row r="240">
          <cell r="X240" t="str">
            <v>1BBBB</v>
          </cell>
          <cell r="Y240" t="str">
            <v>NGL-4 PLANT  - FAB/DELIVERY BULKS - STRUCTURAL</v>
          </cell>
          <cell r="Z240">
            <v>0</v>
          </cell>
          <cell r="AA240">
            <v>0</v>
          </cell>
          <cell r="AB240">
            <v>0</v>
          </cell>
          <cell r="AC240">
            <v>0</v>
          </cell>
          <cell r="AD240">
            <v>0</v>
          </cell>
          <cell r="AE240">
            <v>0</v>
          </cell>
          <cell r="AF240">
            <v>0</v>
          </cell>
          <cell r="AI240" t="str">
            <v>1BBABQ</v>
          </cell>
          <cell r="AJ240" t="str">
            <v>MEROX GASOLINE COLUMN</v>
          </cell>
          <cell r="AQ240">
            <v>0</v>
          </cell>
        </row>
        <row r="241">
          <cell r="X241" t="str">
            <v>1BBBC</v>
          </cell>
          <cell r="Y241" t="str">
            <v>NGL-4 PLANT  - FAB/DELIVERY BULKS - PIPING &amp; VALVES</v>
          </cell>
          <cell r="Z241">
            <v>0</v>
          </cell>
          <cell r="AA241">
            <v>0</v>
          </cell>
          <cell r="AB241">
            <v>0</v>
          </cell>
          <cell r="AC241">
            <v>0</v>
          </cell>
          <cell r="AD241">
            <v>0</v>
          </cell>
          <cell r="AE241">
            <v>0</v>
          </cell>
          <cell r="AF241">
            <v>0</v>
          </cell>
          <cell r="AI241" t="str">
            <v>1BBABR</v>
          </cell>
          <cell r="AJ241" t="str">
            <v>MEROX EXTRACTORS</v>
          </cell>
          <cell r="AQ241">
            <v>0</v>
          </cell>
        </row>
        <row r="242">
          <cell r="X242" t="str">
            <v>1BBBD</v>
          </cell>
          <cell r="Y242" t="str">
            <v>NGL-4 PLANT  - FAB/DELIVERY BULKS - ELECTRICAL</v>
          </cell>
          <cell r="Z242">
            <v>0</v>
          </cell>
          <cell r="AA242">
            <v>0</v>
          </cell>
          <cell r="AB242">
            <v>0</v>
          </cell>
          <cell r="AC242">
            <v>0</v>
          </cell>
          <cell r="AD242">
            <v>0</v>
          </cell>
          <cell r="AE242">
            <v>0</v>
          </cell>
          <cell r="AF242">
            <v>0</v>
          </cell>
          <cell r="AI242" t="str">
            <v>1BBABX</v>
          </cell>
          <cell r="AJ242" t="str">
            <v>OTHER COLUMNS</v>
          </cell>
          <cell r="AQ242">
            <v>0</v>
          </cell>
        </row>
        <row r="243">
          <cell r="X243" t="str">
            <v>1BBBE</v>
          </cell>
          <cell r="Y243" t="str">
            <v>NGL-4 PLANT  - FAB/DELIVERY BULKS - INSTRUMENTATION</v>
          </cell>
          <cell r="Z243">
            <v>0</v>
          </cell>
          <cell r="AA243">
            <v>0</v>
          </cell>
          <cell r="AB243">
            <v>0</v>
          </cell>
          <cell r="AC243">
            <v>0</v>
          </cell>
          <cell r="AD243">
            <v>0</v>
          </cell>
          <cell r="AE243">
            <v>0</v>
          </cell>
          <cell r="AF243">
            <v>0</v>
          </cell>
          <cell r="AI243" t="str">
            <v>1BBAB</v>
          </cell>
          <cell r="AJ243" t="str">
            <v>SUBTOTAL COLUMNS</v>
          </cell>
          <cell r="AK243">
            <v>0</v>
          </cell>
          <cell r="AL243">
            <v>0</v>
          </cell>
          <cell r="AM243">
            <v>0</v>
          </cell>
          <cell r="AN243">
            <v>0</v>
          </cell>
          <cell r="AO243">
            <v>0</v>
          </cell>
          <cell r="AP243">
            <v>0</v>
          </cell>
          <cell r="AQ243">
            <v>0</v>
          </cell>
        </row>
        <row r="244">
          <cell r="X244" t="str">
            <v>1BBB-</v>
          </cell>
          <cell r="Y244" t="str">
            <v>SUBTOTAL - NGL-4 PLANT  - FAB/DELIVERY BULKS</v>
          </cell>
          <cell r="Z244">
            <v>0</v>
          </cell>
          <cell r="AA244" t="str">
            <v>N/A</v>
          </cell>
          <cell r="AB244">
            <v>0</v>
          </cell>
          <cell r="AC244">
            <v>0</v>
          </cell>
          <cell r="AD244">
            <v>0</v>
          </cell>
          <cell r="AE244">
            <v>0</v>
          </cell>
          <cell r="AF244">
            <v>0</v>
          </cell>
        </row>
        <row r="245">
          <cell r="AI245" t="str">
            <v>1BBAEA</v>
          </cell>
          <cell r="AJ245" t="str">
            <v>NFGP NGL FEED PUMPS &amp; MOTORS</v>
          </cell>
          <cell r="AQ245">
            <v>0</v>
          </cell>
        </row>
        <row r="246">
          <cell r="X246" t="str">
            <v>1BBCA</v>
          </cell>
          <cell r="Y246" t="str">
            <v>NGL-4 PLANT  - FAB/DELIVERY ENG. SPECIALTIES - BUILDINGS</v>
          </cell>
          <cell r="AF246">
            <v>0</v>
          </cell>
          <cell r="AG246">
            <v>0</v>
          </cell>
          <cell r="AH246">
            <v>0</v>
          </cell>
          <cell r="AI246" t="str">
            <v>1BBAEB</v>
          </cell>
          <cell r="AJ246" t="str">
            <v>ADIP PUMPS &amp; MOTORS</v>
          </cell>
          <cell r="AK246">
            <v>0</v>
          </cell>
          <cell r="AL246">
            <v>0</v>
          </cell>
          <cell r="AM246">
            <v>0</v>
          </cell>
          <cell r="AN246">
            <v>0</v>
          </cell>
          <cell r="AO246">
            <v>0</v>
          </cell>
          <cell r="AP246">
            <v>0</v>
          </cell>
          <cell r="AQ246">
            <v>0</v>
          </cell>
          <cell r="AR246">
            <v>0</v>
          </cell>
        </row>
        <row r="247">
          <cell r="X247" t="str">
            <v>1BBCB</v>
          </cell>
          <cell r="Y247" t="str">
            <v>NGL-4 PLANT  - FAB/DELIVERY ENG. SPECIALTIES - GENERAL</v>
          </cell>
          <cell r="AF247">
            <v>0</v>
          </cell>
          <cell r="AG247">
            <v>0</v>
          </cell>
          <cell r="AH247">
            <v>0</v>
          </cell>
          <cell r="AI247" t="str">
            <v>1BBAEC</v>
          </cell>
          <cell r="AJ247" t="str">
            <v>MEROX PUMPS &amp; MOTORS</v>
          </cell>
          <cell r="AK247">
            <v>0</v>
          </cell>
          <cell r="AL247">
            <v>0</v>
          </cell>
          <cell r="AM247">
            <v>0</v>
          </cell>
          <cell r="AN247">
            <v>0</v>
          </cell>
          <cell r="AO247">
            <v>0</v>
          </cell>
          <cell r="AP247">
            <v>0</v>
          </cell>
          <cell r="AQ247">
            <v>0</v>
          </cell>
          <cell r="AR247">
            <v>0</v>
          </cell>
        </row>
        <row r="248">
          <cell r="X248" t="str">
            <v>1BBC-</v>
          </cell>
          <cell r="Y248" t="str">
            <v>SUBTOTAL - NGL-4 PLANT  - FAB/DEL. ENG. SPECIALTIES</v>
          </cell>
          <cell r="Z248">
            <v>0</v>
          </cell>
          <cell r="AA248" t="str">
            <v>N/A</v>
          </cell>
          <cell r="AB248">
            <v>0</v>
          </cell>
          <cell r="AC248">
            <v>0</v>
          </cell>
          <cell r="AD248">
            <v>0</v>
          </cell>
          <cell r="AE248">
            <v>0</v>
          </cell>
          <cell r="AF248">
            <v>0</v>
          </cell>
          <cell r="AI248" t="str">
            <v>1BBAED</v>
          </cell>
          <cell r="AJ248" t="str">
            <v>PROPANE PRODUCT DEHYDRATION  PUMPS &amp; MOTORS</v>
          </cell>
          <cell r="AQ248">
            <v>0</v>
          </cell>
        </row>
        <row r="249">
          <cell r="AI249" t="str">
            <v>1BBAEE</v>
          </cell>
          <cell r="AJ249" t="str">
            <v>BUTANE PRODUCT DEHYDRATION  PUMPS &amp; MOTORS</v>
          </cell>
          <cell r="AQ249">
            <v>0</v>
          </cell>
        </row>
        <row r="250">
          <cell r="AI250" t="str">
            <v>1BBAEF</v>
          </cell>
          <cell r="AJ250" t="str">
            <v>HOT OIL UNIT PUMP &amp; MOTOR</v>
          </cell>
          <cell r="AQ250">
            <v>0</v>
          </cell>
        </row>
        <row r="251">
          <cell r="AI251" t="str">
            <v>1BBAEG</v>
          </cell>
          <cell r="AJ251" t="str">
            <v>FLARE HYDROCARBON TRANSFER  PUMP &amp; MOTOR</v>
          </cell>
          <cell r="AQ251">
            <v>0</v>
          </cell>
        </row>
        <row r="252">
          <cell r="AI252" t="str">
            <v>1BBAEH</v>
          </cell>
          <cell r="AJ252" t="str">
            <v>DEETHANISER REFLUX PUMPS &amp; MOTORS</v>
          </cell>
          <cell r="AQ252">
            <v>0</v>
          </cell>
        </row>
        <row r="253">
          <cell r="AI253" t="str">
            <v>1BBAEI</v>
          </cell>
          <cell r="AJ253" t="str">
            <v>DEPROPANISER REFLUX PUMPS &amp; MOTORS</v>
          </cell>
          <cell r="AQ253">
            <v>0</v>
          </cell>
        </row>
        <row r="254">
          <cell r="AI254" t="str">
            <v>1BBAEJ</v>
          </cell>
          <cell r="AJ254" t="str">
            <v>DEBUTANISER REFLUX PUMPS &amp; MOTORS</v>
          </cell>
          <cell r="AQ254">
            <v>0</v>
          </cell>
        </row>
        <row r="255">
          <cell r="AI255" t="str">
            <v>1BBAEK</v>
          </cell>
          <cell r="AJ255" t="str">
            <v>PROPANE TRANSFER PUMPS &amp; MOTORS</v>
          </cell>
          <cell r="AQ255">
            <v>0</v>
          </cell>
        </row>
        <row r="256">
          <cell r="AI256" t="str">
            <v>1BBAEL</v>
          </cell>
          <cell r="AJ256" t="str">
            <v>BUTANE TRANSFER PUMPS &amp; MOTORS</v>
          </cell>
          <cell r="AQ256">
            <v>0</v>
          </cell>
        </row>
        <row r="257">
          <cell r="AI257" t="str">
            <v>1BBAEM</v>
          </cell>
          <cell r="AJ257" t="str">
            <v>GASOLINE TRANSFER PUMPS &amp; MOTORS</v>
          </cell>
          <cell r="AQ257">
            <v>0</v>
          </cell>
        </row>
        <row r="258">
          <cell r="AI258" t="str">
            <v>1BBAEN</v>
          </cell>
          <cell r="AJ258" t="str">
            <v>LD &amp; HP OFF SPEC PUMPS &amp; MOTORS</v>
          </cell>
          <cell r="AQ258">
            <v>0</v>
          </cell>
        </row>
        <row r="259">
          <cell r="AI259" t="str">
            <v>1BBAEX</v>
          </cell>
          <cell r="AJ259" t="str">
            <v>OTHER PUMPS &amp; MOTORS</v>
          </cell>
          <cell r="AQ259">
            <v>0</v>
          </cell>
        </row>
        <row r="260">
          <cell r="AI260" t="str">
            <v>1BBAE-</v>
          </cell>
          <cell r="AJ260" t="str">
            <v>SUBTOTAL PUMPS &amp; MOTORS</v>
          </cell>
          <cell r="AK260">
            <v>0</v>
          </cell>
          <cell r="AL260">
            <v>0</v>
          </cell>
          <cell r="AM260">
            <v>0</v>
          </cell>
          <cell r="AN260">
            <v>0</v>
          </cell>
          <cell r="AO260">
            <v>0</v>
          </cell>
          <cell r="AP260">
            <v>0</v>
          </cell>
          <cell r="AQ260">
            <v>0</v>
          </cell>
        </row>
        <row r="266">
          <cell r="W266" t="str">
            <v>LEVEL 2 NGL-4 PLANT PG.3</v>
          </cell>
          <cell r="X266" t="str">
            <v>WBS CODE</v>
          </cell>
          <cell r="Y266" t="str">
            <v>DESCRIPTION</v>
          </cell>
          <cell r="Z266" t="str">
            <v>QUANTITY</v>
          </cell>
          <cell r="AA266" t="str">
            <v>UNITS</v>
          </cell>
          <cell r="AB266" t="str">
            <v>TOTAL MANHOURS</v>
          </cell>
          <cell r="AC266" t="str">
            <v>TOTAL LABOR COST</v>
          </cell>
          <cell r="AD266" t="str">
            <v>TOTAL MAT'L COST</v>
          </cell>
          <cell r="AE266" t="str">
            <v>TOTAL S/C COST</v>
          </cell>
          <cell r="AF266" t="str">
            <v>TOTAL COST</v>
          </cell>
          <cell r="AH266" t="str">
            <v>LEVEL 3 NGL-4 PLANT PG 3</v>
          </cell>
          <cell r="AI266" t="str">
            <v>WBS CODE</v>
          </cell>
          <cell r="AJ266" t="str">
            <v>DESCRIPTION</v>
          </cell>
          <cell r="AK266" t="str">
            <v>QUANTITY</v>
          </cell>
          <cell r="AL266" t="str">
            <v>UNITS</v>
          </cell>
          <cell r="AM266" t="str">
            <v>TOTAL MANHOURS</v>
          </cell>
          <cell r="AN266" t="str">
            <v>TOTAL LABOR COST</v>
          </cell>
          <cell r="AO266" t="str">
            <v>TOTAL MAT'L COST</v>
          </cell>
          <cell r="AP266" t="str">
            <v>TOTAL S/C COST</v>
          </cell>
          <cell r="AQ266" t="str">
            <v>TOTAL COST</v>
          </cell>
        </row>
        <row r="268">
          <cell r="X268" t="str">
            <v>1BCAA</v>
          </cell>
          <cell r="Y268" t="str">
            <v>NGL-4 PLANT  - CONSTRUCTION, CIVIL - SITE WORK</v>
          </cell>
          <cell r="AF268">
            <v>0</v>
          </cell>
          <cell r="AG268">
            <v>0</v>
          </cell>
          <cell r="AH268">
            <v>0</v>
          </cell>
          <cell r="AI268" t="str">
            <v>1BBAFA</v>
          </cell>
          <cell r="AJ268" t="str">
            <v>DEETHANISER COLUMNS REBOILERS</v>
          </cell>
          <cell r="AK268">
            <v>0</v>
          </cell>
          <cell r="AL268">
            <v>0</v>
          </cell>
          <cell r="AM268">
            <v>0</v>
          </cell>
          <cell r="AN268">
            <v>0</v>
          </cell>
          <cell r="AO268">
            <v>0</v>
          </cell>
          <cell r="AP268">
            <v>0</v>
          </cell>
          <cell r="AQ268">
            <v>0</v>
          </cell>
          <cell r="AR268">
            <v>0</v>
          </cell>
        </row>
        <row r="269">
          <cell r="X269" t="str">
            <v>1BCAB</v>
          </cell>
          <cell r="Y269" t="str">
            <v>NGL-4 PLANT  - CONSTRUCTION, CIVIL - FOUNDATIONS</v>
          </cell>
          <cell r="AF269">
            <v>0</v>
          </cell>
          <cell r="AG269">
            <v>0</v>
          </cell>
          <cell r="AH269">
            <v>0</v>
          </cell>
          <cell r="AI269" t="str">
            <v>1BBAFB</v>
          </cell>
          <cell r="AJ269" t="str">
            <v>DEPROPANISER COLUMNS REBOILERS</v>
          </cell>
          <cell r="AK269">
            <v>0</v>
          </cell>
          <cell r="AL269">
            <v>0</v>
          </cell>
          <cell r="AM269">
            <v>0</v>
          </cell>
          <cell r="AN269">
            <v>0</v>
          </cell>
          <cell r="AO269">
            <v>0</v>
          </cell>
          <cell r="AP269">
            <v>0</v>
          </cell>
          <cell r="AQ269">
            <v>0</v>
          </cell>
          <cell r="AR269">
            <v>0</v>
          </cell>
        </row>
        <row r="270">
          <cell r="X270" t="str">
            <v>1BCA</v>
          </cell>
          <cell r="Y270" t="str">
            <v>SUBTOTAL - NGL-4 PLANT  - CONSTRUCTION, CIVIL</v>
          </cell>
          <cell r="Z270">
            <v>0</v>
          </cell>
          <cell r="AA270" t="str">
            <v>N/A</v>
          </cell>
          <cell r="AB270">
            <v>0</v>
          </cell>
          <cell r="AC270">
            <v>0</v>
          </cell>
          <cell r="AD270">
            <v>0</v>
          </cell>
          <cell r="AE270">
            <v>0</v>
          </cell>
          <cell r="AF270">
            <v>0</v>
          </cell>
          <cell r="AI270" t="str">
            <v>1BBAFC</v>
          </cell>
          <cell r="AJ270" t="str">
            <v>DEBUTANISER COLUMNS REBOILERS</v>
          </cell>
          <cell r="AQ270">
            <v>0</v>
          </cell>
        </row>
        <row r="271">
          <cell r="AI271" t="str">
            <v>1BBAFD</v>
          </cell>
          <cell r="AJ271" t="str">
            <v>C3 PRODUCT CHILLERS</v>
          </cell>
          <cell r="AQ271">
            <v>0</v>
          </cell>
        </row>
        <row r="272">
          <cell r="X272" t="str">
            <v>1BCBA</v>
          </cell>
          <cell r="Y272" t="str">
            <v>NGL-4 PLANT  - CONSTRUCTION, MAJOR EQUIPMENT - PRESSURE VESSELS</v>
          </cell>
          <cell r="Z272">
            <v>1739.4</v>
          </cell>
          <cell r="AA272" t="str">
            <v>TON</v>
          </cell>
          <cell r="AB272">
            <v>154680</v>
          </cell>
          <cell r="AC272">
            <v>1024200</v>
          </cell>
          <cell r="AF272">
            <v>1024200</v>
          </cell>
          <cell r="AG272">
            <v>0</v>
          </cell>
          <cell r="AH272">
            <v>0</v>
          </cell>
          <cell r="AI272" t="str">
            <v>1BBAFE</v>
          </cell>
          <cell r="AJ272" t="str">
            <v>C4 PRODUCT CHILLERS</v>
          </cell>
          <cell r="AK272">
            <v>0</v>
          </cell>
          <cell r="AL272">
            <v>0</v>
          </cell>
          <cell r="AM272">
            <v>0</v>
          </cell>
          <cell r="AN272">
            <v>0</v>
          </cell>
          <cell r="AO272">
            <v>0</v>
          </cell>
          <cell r="AP272">
            <v>0</v>
          </cell>
          <cell r="AQ272">
            <v>0</v>
          </cell>
          <cell r="AR272">
            <v>0</v>
          </cell>
        </row>
        <row r="273">
          <cell r="X273" t="str">
            <v>1BCBB</v>
          </cell>
          <cell r="Y273" t="str">
            <v>NGL-4 PLANT  - CONSTRUCTION, MAJOR EQUIPMENT - COLUMNS</v>
          </cell>
          <cell r="Z273">
            <v>2106.5</v>
          </cell>
          <cell r="AA273" t="str">
            <v>TON</v>
          </cell>
          <cell r="AB273">
            <v>207820</v>
          </cell>
          <cell r="AC273">
            <v>2088000</v>
          </cell>
          <cell r="AF273">
            <v>2088000</v>
          </cell>
          <cell r="AG273">
            <v>0</v>
          </cell>
          <cell r="AH273">
            <v>0</v>
          </cell>
          <cell r="AI273" t="str">
            <v>1BBAFF</v>
          </cell>
          <cell r="AJ273" t="str">
            <v>C5 PRODUCT CHILLERS</v>
          </cell>
          <cell r="AK273">
            <v>0</v>
          </cell>
          <cell r="AL273">
            <v>0</v>
          </cell>
          <cell r="AM273">
            <v>0</v>
          </cell>
          <cell r="AN273">
            <v>0</v>
          </cell>
          <cell r="AO273">
            <v>0</v>
          </cell>
          <cell r="AP273">
            <v>0</v>
          </cell>
          <cell r="AQ273">
            <v>0</v>
          </cell>
          <cell r="AR273">
            <v>0</v>
          </cell>
        </row>
        <row r="274">
          <cell r="X274" t="str">
            <v>1BCBE</v>
          </cell>
          <cell r="Y274" t="str">
            <v>NGL-4 PLANT  - CONSTRUCTION, MAJOR EQUIPMENT - PUMPS &amp; MOTORS</v>
          </cell>
          <cell r="Z274">
            <v>189.2</v>
          </cell>
          <cell r="AA274" t="str">
            <v>TON</v>
          </cell>
          <cell r="AB274">
            <v>18620</v>
          </cell>
          <cell r="AC274">
            <v>160400</v>
          </cell>
          <cell r="AF274">
            <v>160400</v>
          </cell>
          <cell r="AG274">
            <v>0</v>
          </cell>
          <cell r="AH274">
            <v>0</v>
          </cell>
          <cell r="AI274" t="str">
            <v>1BBAFG</v>
          </cell>
          <cell r="AJ274" t="str">
            <v>ADIP HEAT EXCHANGERS</v>
          </cell>
          <cell r="AK274">
            <v>0</v>
          </cell>
          <cell r="AL274">
            <v>0</v>
          </cell>
          <cell r="AM274">
            <v>0</v>
          </cell>
          <cell r="AN274">
            <v>0</v>
          </cell>
          <cell r="AO274">
            <v>0</v>
          </cell>
          <cell r="AP274">
            <v>0</v>
          </cell>
          <cell r="AQ274">
            <v>0</v>
          </cell>
          <cell r="AR274">
            <v>0</v>
          </cell>
        </row>
        <row r="275">
          <cell r="X275" t="str">
            <v>1BCBF</v>
          </cell>
          <cell r="Y275" t="str">
            <v>NGL-4 PLANT  - CONSTRUCTION, MAJOR EQUIPMENT - HEAT EXCHANGERS S&amp;T</v>
          </cell>
          <cell r="Z275">
            <v>1171.8</v>
          </cell>
          <cell r="AA275" t="str">
            <v>TON</v>
          </cell>
          <cell r="AB275">
            <v>79090</v>
          </cell>
          <cell r="AC275">
            <v>638600</v>
          </cell>
          <cell r="AF275">
            <v>638600</v>
          </cell>
          <cell r="AG275">
            <v>0</v>
          </cell>
          <cell r="AH275">
            <v>0</v>
          </cell>
          <cell r="AI275" t="str">
            <v>1BBAFH</v>
          </cell>
          <cell r="AJ275" t="str">
            <v>MEROX HEAT EXCHANGERS</v>
          </cell>
          <cell r="AK275">
            <v>0</v>
          </cell>
          <cell r="AL275">
            <v>0</v>
          </cell>
          <cell r="AM275">
            <v>0</v>
          </cell>
          <cell r="AN275">
            <v>0</v>
          </cell>
          <cell r="AO275">
            <v>0</v>
          </cell>
          <cell r="AP275">
            <v>0</v>
          </cell>
          <cell r="AQ275">
            <v>0</v>
          </cell>
          <cell r="AR275">
            <v>0</v>
          </cell>
        </row>
        <row r="276">
          <cell r="X276" t="str">
            <v>1BCBH</v>
          </cell>
          <cell r="Y276" t="str">
            <v>NGL-4 PLANT  - CONSTRUCTION, MAJOR EQUIPMENT - AIR COOLERS</v>
          </cell>
          <cell r="Z276">
            <v>2026</v>
          </cell>
          <cell r="AA276" t="str">
            <v>TON</v>
          </cell>
          <cell r="AB276">
            <v>159310</v>
          </cell>
          <cell r="AC276">
            <v>1254500</v>
          </cell>
          <cell r="AF276">
            <v>1254500</v>
          </cell>
          <cell r="AG276">
            <v>0</v>
          </cell>
          <cell r="AH276">
            <v>0</v>
          </cell>
          <cell r="AI276" t="str">
            <v>1BBAFI</v>
          </cell>
          <cell r="AJ276" t="str">
            <v>PROPANE PRODUCT DEHYDRATION HEAT EXCHANGERS</v>
          </cell>
          <cell r="AK276">
            <v>0</v>
          </cell>
          <cell r="AL276">
            <v>0</v>
          </cell>
          <cell r="AM276">
            <v>0</v>
          </cell>
          <cell r="AN276">
            <v>0</v>
          </cell>
          <cell r="AO276">
            <v>0</v>
          </cell>
          <cell r="AP276">
            <v>0</v>
          </cell>
          <cell r="AQ276">
            <v>0</v>
          </cell>
          <cell r="AR276">
            <v>0</v>
          </cell>
        </row>
        <row r="277">
          <cell r="X277" t="str">
            <v>1BCBI</v>
          </cell>
          <cell r="Y277" t="str">
            <v>NGL-4 PLANT  - CONSTRUCTION, MAJOR EQUIPMENT - COMPRESSORS &amp; DRIVERS</v>
          </cell>
          <cell r="Z277">
            <v>326.2</v>
          </cell>
          <cell r="AA277" t="str">
            <v>TON</v>
          </cell>
          <cell r="AB277">
            <v>36234</v>
          </cell>
          <cell r="AC277">
            <v>251600</v>
          </cell>
          <cell r="AF277">
            <v>251600</v>
          </cell>
          <cell r="AG277">
            <v>0</v>
          </cell>
          <cell r="AH277">
            <v>0</v>
          </cell>
          <cell r="AI277" t="str">
            <v>1BBAFJ</v>
          </cell>
          <cell r="AJ277" t="str">
            <v>BUTANE PRODUCT DEHYDRATION HEAT EXCHANGERS</v>
          </cell>
          <cell r="AK277">
            <v>0</v>
          </cell>
          <cell r="AL277">
            <v>0</v>
          </cell>
          <cell r="AM277">
            <v>0</v>
          </cell>
          <cell r="AN277">
            <v>0</v>
          </cell>
          <cell r="AO277">
            <v>0</v>
          </cell>
          <cell r="AP277">
            <v>0</v>
          </cell>
          <cell r="AQ277">
            <v>0</v>
          </cell>
          <cell r="AR277">
            <v>0</v>
          </cell>
        </row>
        <row r="278">
          <cell r="X278" t="str">
            <v>1BCBJ</v>
          </cell>
          <cell r="Y278" t="str">
            <v>NGL-4 PLANT  - CONSTRUCTION, MAJOR EQUIP. - EMERGENCY DIESEL GENERATOR</v>
          </cell>
          <cell r="AF278">
            <v>0</v>
          </cell>
          <cell r="AG278">
            <v>0</v>
          </cell>
          <cell r="AH278">
            <v>0</v>
          </cell>
          <cell r="AI278" t="str">
            <v>1BBAFK</v>
          </cell>
          <cell r="AJ278" t="str">
            <v>REGENERATION GAS DRYING HEAT EXCHANGERS</v>
          </cell>
          <cell r="AK278">
            <v>0</v>
          </cell>
          <cell r="AL278">
            <v>0</v>
          </cell>
          <cell r="AM278">
            <v>0</v>
          </cell>
          <cell r="AN278">
            <v>0</v>
          </cell>
          <cell r="AO278">
            <v>0</v>
          </cell>
          <cell r="AP278">
            <v>0</v>
          </cell>
          <cell r="AQ278">
            <v>0</v>
          </cell>
          <cell r="AR278">
            <v>0</v>
          </cell>
        </row>
        <row r="279">
          <cell r="X279" t="str">
            <v>1BCBM</v>
          </cell>
          <cell r="Y279" t="str">
            <v>NGL-4 PLANT  - CONSTRUCTION, MAJOR EQUIPMENT - BLOWERS, FANS</v>
          </cell>
          <cell r="AF279">
            <v>0</v>
          </cell>
          <cell r="AG279">
            <v>0</v>
          </cell>
          <cell r="AH279">
            <v>0</v>
          </cell>
          <cell r="AI279" t="str">
            <v>1BBAFL</v>
          </cell>
          <cell r="AJ279" t="str">
            <v>HOT OIL UNIT HOT OIL COOLERS</v>
          </cell>
          <cell r="AK279">
            <v>0</v>
          </cell>
          <cell r="AL279">
            <v>0</v>
          </cell>
          <cell r="AM279">
            <v>0</v>
          </cell>
          <cell r="AN279">
            <v>0</v>
          </cell>
          <cell r="AO279">
            <v>0</v>
          </cell>
          <cell r="AP279">
            <v>0</v>
          </cell>
          <cell r="AQ279">
            <v>0</v>
          </cell>
          <cell r="AR279">
            <v>0</v>
          </cell>
        </row>
        <row r="280">
          <cell r="X280" t="str">
            <v>1BCBO</v>
          </cell>
          <cell r="Y280" t="str">
            <v>NGL-4 PLANT  - CONSTRUCTION, MAJOR EQUIPMENT - FLARES</v>
          </cell>
          <cell r="Z280">
            <v>50</v>
          </cell>
          <cell r="AA280" t="str">
            <v>TON</v>
          </cell>
          <cell r="AB280">
            <v>7920</v>
          </cell>
          <cell r="AC280">
            <v>53000</v>
          </cell>
          <cell r="AF280">
            <v>53000</v>
          </cell>
          <cell r="AG280">
            <v>0</v>
          </cell>
          <cell r="AH280">
            <v>0</v>
          </cell>
          <cell r="AI280" t="str">
            <v>1BBAFM</v>
          </cell>
          <cell r="AJ280" t="str">
            <v>OTHER PRODUCT COOLING UNITS AND EXCHANGERS</v>
          </cell>
          <cell r="AK280">
            <v>0</v>
          </cell>
          <cell r="AL280">
            <v>0</v>
          </cell>
          <cell r="AM280">
            <v>0</v>
          </cell>
          <cell r="AN280">
            <v>0</v>
          </cell>
          <cell r="AO280">
            <v>0</v>
          </cell>
          <cell r="AP280">
            <v>0</v>
          </cell>
          <cell r="AQ280">
            <v>0</v>
          </cell>
          <cell r="AR280">
            <v>0</v>
          </cell>
        </row>
        <row r="281">
          <cell r="X281" t="str">
            <v>1BCBQ</v>
          </cell>
          <cell r="Y281" t="str">
            <v>NGL-4 PLANT  - CONSTRUCTION, MAJOR EQUIP - PACKAGED EQUIPMENT</v>
          </cell>
          <cell r="Z281">
            <v>308.39999999999998</v>
          </cell>
          <cell r="AA281" t="str">
            <v>TON</v>
          </cell>
          <cell r="AB281">
            <v>45180</v>
          </cell>
          <cell r="AC281">
            <v>479600</v>
          </cell>
          <cell r="AF281">
            <v>479600</v>
          </cell>
          <cell r="AG281">
            <v>0</v>
          </cell>
          <cell r="AH281">
            <v>0</v>
          </cell>
          <cell r="AI281" t="str">
            <v>1BBAFX</v>
          </cell>
          <cell r="AJ281" t="str">
            <v>OTHER HEAT EXCHANGERS-SHELL &amp; TUBE</v>
          </cell>
          <cell r="AK281">
            <v>0</v>
          </cell>
          <cell r="AL281">
            <v>0</v>
          </cell>
          <cell r="AM281">
            <v>0</v>
          </cell>
          <cell r="AN281">
            <v>0</v>
          </cell>
          <cell r="AO281">
            <v>0</v>
          </cell>
          <cell r="AP281">
            <v>0</v>
          </cell>
          <cell r="AQ281">
            <v>0</v>
          </cell>
          <cell r="AR281">
            <v>0</v>
          </cell>
        </row>
        <row r="282">
          <cell r="X282" t="str">
            <v>1BCBR</v>
          </cell>
          <cell r="Y282" t="str">
            <v>NGL-4 PLANT  - CONSTRUCTION, MAJOR EQUIP - ELECTRICAL EQUIPMENT</v>
          </cell>
          <cell r="AF282">
            <v>0</v>
          </cell>
          <cell r="AG282">
            <v>0</v>
          </cell>
          <cell r="AH282">
            <v>0</v>
          </cell>
          <cell r="AI282" t="str">
            <v>1BBAF-</v>
          </cell>
          <cell r="AJ282" t="str">
            <v>SUBTOTAL HEAT EXCHANGERS - SHELL &amp; TUBE</v>
          </cell>
          <cell r="AK282">
            <v>0</v>
          </cell>
          <cell r="AL282">
            <v>0</v>
          </cell>
          <cell r="AM282">
            <v>0</v>
          </cell>
          <cell r="AN282">
            <v>0</v>
          </cell>
          <cell r="AO282">
            <v>0</v>
          </cell>
          <cell r="AP282">
            <v>0</v>
          </cell>
          <cell r="AQ282">
            <v>0</v>
          </cell>
          <cell r="AR282">
            <v>0</v>
          </cell>
        </row>
        <row r="283">
          <cell r="X283" t="str">
            <v>1BCBS</v>
          </cell>
          <cell r="Y283" t="str">
            <v>NGL-4 PLANT  - CONSTRUCTION, MAJOR EQUIP - INSTRUMENTATION EQUIPMENT</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X284" t="str">
            <v>1BCBX</v>
          </cell>
          <cell r="Y284" t="str">
            <v>NGL-4 PLANT  - CONSTRUCTION, MAJOR EQUIPMENT - OTHERS</v>
          </cell>
          <cell r="AF284">
            <v>0</v>
          </cell>
          <cell r="AG284">
            <v>0</v>
          </cell>
          <cell r="AH284">
            <v>0</v>
          </cell>
          <cell r="AI284" t="str">
            <v>1BBAHA</v>
          </cell>
          <cell r="AJ284" t="str">
            <v>NGL4 AIR COOLERS</v>
          </cell>
          <cell r="AK284">
            <v>0</v>
          </cell>
          <cell r="AL284">
            <v>0</v>
          </cell>
          <cell r="AM284">
            <v>0</v>
          </cell>
          <cell r="AN284">
            <v>0</v>
          </cell>
          <cell r="AO284">
            <v>0</v>
          </cell>
          <cell r="AP284">
            <v>0</v>
          </cell>
          <cell r="AQ284">
            <v>0</v>
          </cell>
          <cell r="AR284">
            <v>0</v>
          </cell>
        </row>
        <row r="285">
          <cell r="X285" t="str">
            <v>1BCB-</v>
          </cell>
          <cell r="Y285" t="str">
            <v>SUBTOTAL - NGL-4 PLANT  - CONSTRUCTION, MAJOR EQUIPMENT</v>
          </cell>
          <cell r="Z285">
            <v>7917.4999999999991</v>
          </cell>
          <cell r="AA285" t="str">
            <v>N/A</v>
          </cell>
          <cell r="AB285">
            <v>708854</v>
          </cell>
          <cell r="AC285">
            <v>5949900</v>
          </cell>
          <cell r="AD285">
            <v>0</v>
          </cell>
          <cell r="AE285">
            <v>0</v>
          </cell>
          <cell r="AF285">
            <v>5949900</v>
          </cell>
          <cell r="AI285" t="str">
            <v>1BBAHB</v>
          </cell>
          <cell r="AJ285" t="str">
            <v>ADIP AIR COOLERS</v>
          </cell>
          <cell r="AQ285">
            <v>0</v>
          </cell>
        </row>
        <row r="286">
          <cell r="AI286" t="str">
            <v>1BBAHC</v>
          </cell>
          <cell r="AJ286" t="str">
            <v>MEROX AIR COOLERS</v>
          </cell>
          <cell r="AQ286">
            <v>0</v>
          </cell>
        </row>
        <row r="287">
          <cell r="X287" t="str">
            <v>1BCCA</v>
          </cell>
          <cell r="Y287" t="str">
            <v>NGL-4 PLANT  - CONSTRUCTION, BULKS - STRUCTURAL</v>
          </cell>
          <cell r="AF287">
            <v>0</v>
          </cell>
          <cell r="AG287">
            <v>0</v>
          </cell>
          <cell r="AH287">
            <v>0</v>
          </cell>
          <cell r="AI287" t="str">
            <v>1BBAHD</v>
          </cell>
          <cell r="AJ287" t="str">
            <v>PROPANE PRODUCT DEHYDRATION AIR COOLERS</v>
          </cell>
          <cell r="AK287">
            <v>0</v>
          </cell>
          <cell r="AL287">
            <v>0</v>
          </cell>
          <cell r="AM287">
            <v>0</v>
          </cell>
          <cell r="AN287">
            <v>0</v>
          </cell>
          <cell r="AO287">
            <v>0</v>
          </cell>
          <cell r="AP287">
            <v>0</v>
          </cell>
          <cell r="AQ287">
            <v>0</v>
          </cell>
          <cell r="AR287">
            <v>0</v>
          </cell>
        </row>
        <row r="288">
          <cell r="X288" t="str">
            <v>1BCCB</v>
          </cell>
          <cell r="Y288" t="str">
            <v>NGL-4 PLANT  - CONSTRUCTION, BULKS - PIPING &amp; VALVES</v>
          </cell>
          <cell r="AF288">
            <v>0</v>
          </cell>
          <cell r="AG288">
            <v>0</v>
          </cell>
          <cell r="AH288">
            <v>0</v>
          </cell>
          <cell r="AI288" t="str">
            <v>1BBAHE</v>
          </cell>
          <cell r="AJ288" t="str">
            <v>BUTANE PRODUCT DEHYDRATION AIR COOLERS</v>
          </cell>
          <cell r="AK288">
            <v>0</v>
          </cell>
          <cell r="AL288">
            <v>0</v>
          </cell>
          <cell r="AM288">
            <v>0</v>
          </cell>
          <cell r="AN288">
            <v>0</v>
          </cell>
          <cell r="AO288">
            <v>0</v>
          </cell>
          <cell r="AP288">
            <v>0</v>
          </cell>
          <cell r="AQ288">
            <v>0</v>
          </cell>
          <cell r="AR288">
            <v>0</v>
          </cell>
        </row>
        <row r="289">
          <cell r="X289" t="str">
            <v>1BCCC</v>
          </cell>
          <cell r="Y289" t="str">
            <v>NGL-4 PLANT  - CONSTRUCTION, BULKS - ELECTRICAL</v>
          </cell>
          <cell r="AF289">
            <v>0</v>
          </cell>
          <cell r="AG289">
            <v>0</v>
          </cell>
          <cell r="AH289">
            <v>0</v>
          </cell>
          <cell r="AI289" t="str">
            <v>1BBAHF</v>
          </cell>
          <cell r="AJ289" t="str">
            <v>REGENERATION GAS DRYING AIR COOLERS</v>
          </cell>
          <cell r="AK289">
            <v>0</v>
          </cell>
          <cell r="AL289">
            <v>0</v>
          </cell>
          <cell r="AM289">
            <v>0</v>
          </cell>
          <cell r="AN289">
            <v>0</v>
          </cell>
          <cell r="AO289">
            <v>0</v>
          </cell>
          <cell r="AP289">
            <v>0</v>
          </cell>
          <cell r="AQ289">
            <v>0</v>
          </cell>
          <cell r="AR289">
            <v>0</v>
          </cell>
        </row>
        <row r="290">
          <cell r="X290" t="str">
            <v>1BCCD</v>
          </cell>
          <cell r="Y290" t="str">
            <v>NGL-4 PLANT  - CONSTRUCTION, BULKS - INSTRUMENTATION</v>
          </cell>
          <cell r="AF290">
            <v>0</v>
          </cell>
          <cell r="AG290">
            <v>0</v>
          </cell>
          <cell r="AH290">
            <v>0</v>
          </cell>
          <cell r="AI290" t="str">
            <v>1BBAHG</v>
          </cell>
          <cell r="AJ290" t="str">
            <v>DEETHANISER COLUMNS CONDENSERS</v>
          </cell>
          <cell r="AK290">
            <v>0</v>
          </cell>
          <cell r="AL290">
            <v>0</v>
          </cell>
          <cell r="AM290">
            <v>0</v>
          </cell>
          <cell r="AN290">
            <v>0</v>
          </cell>
          <cell r="AO290">
            <v>0</v>
          </cell>
          <cell r="AP290">
            <v>0</v>
          </cell>
          <cell r="AQ290">
            <v>0</v>
          </cell>
          <cell r="AR290">
            <v>0</v>
          </cell>
        </row>
        <row r="291">
          <cell r="X291" t="str">
            <v>1BCC-</v>
          </cell>
          <cell r="Y291" t="str">
            <v xml:space="preserve">SUBTOTAL - NGL-4 PLANT  - CONSTRUCTION, BULKS </v>
          </cell>
          <cell r="Z291">
            <v>0</v>
          </cell>
          <cell r="AA291" t="str">
            <v>N/A</v>
          </cell>
          <cell r="AB291">
            <v>0</v>
          </cell>
          <cell r="AC291">
            <v>0</v>
          </cell>
          <cell r="AD291">
            <v>0</v>
          </cell>
          <cell r="AE291">
            <v>0</v>
          </cell>
          <cell r="AF291">
            <v>0</v>
          </cell>
          <cell r="AI291" t="str">
            <v>1BBAHH</v>
          </cell>
          <cell r="AJ291" t="str">
            <v>DEETHANISER COLUMNS CONDENSERS</v>
          </cell>
          <cell r="AQ291">
            <v>0</v>
          </cell>
        </row>
        <row r="292">
          <cell r="AI292" t="str">
            <v>1BBAHI</v>
          </cell>
          <cell r="AJ292" t="str">
            <v>DEPROPANISER COLUMNS CONDENSER</v>
          </cell>
          <cell r="AQ292">
            <v>0</v>
          </cell>
        </row>
        <row r="293">
          <cell r="X293" t="str">
            <v>1BCDA</v>
          </cell>
          <cell r="Y293" t="str">
            <v>NGL-4 PLANT  - CONSTRUCTION SPECIALTIES - BUILDINGS</v>
          </cell>
          <cell r="AF293">
            <v>0</v>
          </cell>
          <cell r="AG293">
            <v>0</v>
          </cell>
          <cell r="AH293">
            <v>0</v>
          </cell>
          <cell r="AI293" t="str">
            <v>1BBAHJ</v>
          </cell>
          <cell r="AJ293" t="str">
            <v>DEBUTANISER COLUMNS CONDENSERS</v>
          </cell>
          <cell r="AK293">
            <v>0</v>
          </cell>
          <cell r="AL293">
            <v>0</v>
          </cell>
          <cell r="AM293">
            <v>0</v>
          </cell>
          <cell r="AN293">
            <v>0</v>
          </cell>
          <cell r="AO293">
            <v>0</v>
          </cell>
          <cell r="AP293">
            <v>0</v>
          </cell>
          <cell r="AQ293">
            <v>0</v>
          </cell>
          <cell r="AR293">
            <v>0</v>
          </cell>
        </row>
        <row r="294">
          <cell r="X294" t="str">
            <v>1BCDB</v>
          </cell>
          <cell r="Y294" t="str">
            <v>NGL-4 PLANT  - CONSTRUCTION SPECIALTIES - GENERAL</v>
          </cell>
          <cell r="AF294">
            <v>0</v>
          </cell>
          <cell r="AG294">
            <v>0</v>
          </cell>
          <cell r="AH294">
            <v>0</v>
          </cell>
          <cell r="AI294" t="str">
            <v>1BBAHK</v>
          </cell>
          <cell r="AJ294" t="str">
            <v>COMPRESSOR DISCHARGE AIR CONDENSER</v>
          </cell>
          <cell r="AK294">
            <v>0</v>
          </cell>
          <cell r="AL294">
            <v>0</v>
          </cell>
          <cell r="AM294">
            <v>0</v>
          </cell>
          <cell r="AN294">
            <v>0</v>
          </cell>
          <cell r="AO294">
            <v>0</v>
          </cell>
          <cell r="AP294">
            <v>0</v>
          </cell>
          <cell r="AQ294">
            <v>0</v>
          </cell>
          <cell r="AR294">
            <v>0</v>
          </cell>
        </row>
        <row r="295">
          <cell r="X295" t="str">
            <v>1BCD-</v>
          </cell>
          <cell r="Y295" t="str">
            <v>SUBTOTAL - NGL-4 PLANT  - CONSTRUCTION SPECIALTIES</v>
          </cell>
          <cell r="Z295">
            <v>0</v>
          </cell>
          <cell r="AA295" t="str">
            <v>N/A</v>
          </cell>
          <cell r="AB295">
            <v>0</v>
          </cell>
          <cell r="AC295">
            <v>0</v>
          </cell>
          <cell r="AD295">
            <v>0</v>
          </cell>
          <cell r="AE295">
            <v>0</v>
          </cell>
          <cell r="AF295">
            <v>0</v>
          </cell>
          <cell r="AI295" t="str">
            <v>1BBAHX</v>
          </cell>
          <cell r="AJ295" t="str">
            <v>OTHER AIR COOLERS</v>
          </cell>
          <cell r="AQ295">
            <v>0</v>
          </cell>
        </row>
        <row r="296">
          <cell r="AI296" t="str">
            <v>1BBAG-</v>
          </cell>
          <cell r="AJ296" t="str">
            <v>SUBTOTAL AIR COOLERS</v>
          </cell>
          <cell r="AK296">
            <v>0</v>
          </cell>
          <cell r="AL296">
            <v>0</v>
          </cell>
          <cell r="AM296">
            <v>0</v>
          </cell>
          <cell r="AN296">
            <v>0</v>
          </cell>
          <cell r="AO296">
            <v>0</v>
          </cell>
          <cell r="AP296">
            <v>0</v>
          </cell>
          <cell r="AQ296">
            <v>0</v>
          </cell>
        </row>
        <row r="298">
          <cell r="AI298" t="str">
            <v>1BBAIA</v>
          </cell>
          <cell r="AJ298" t="str">
            <v>PROPANE REFRIG. COMPRESSORS W/ TURBINES</v>
          </cell>
          <cell r="AQ298">
            <v>0</v>
          </cell>
        </row>
        <row r="299">
          <cell r="AI299" t="str">
            <v>1BBAIX</v>
          </cell>
          <cell r="AJ299" t="str">
            <v>OTHER COMPRESSORS &amp; DRIVERS</v>
          </cell>
          <cell r="AQ299">
            <v>0</v>
          </cell>
        </row>
        <row r="300">
          <cell r="AI300" t="str">
            <v>1BBAI</v>
          </cell>
          <cell r="AJ300" t="str">
            <v>SUBTOTAL - COMPRESSORS &amp; DRIVERS</v>
          </cell>
          <cell r="AK300">
            <v>0</v>
          </cell>
          <cell r="AL300">
            <v>0</v>
          </cell>
          <cell r="AM300">
            <v>0</v>
          </cell>
          <cell r="AN300">
            <v>0</v>
          </cell>
          <cell r="AO300">
            <v>0</v>
          </cell>
          <cell r="AP300">
            <v>0</v>
          </cell>
          <cell r="AQ300">
            <v>0</v>
          </cell>
        </row>
        <row r="302">
          <cell r="AI302" t="str">
            <v>1BBAMA</v>
          </cell>
          <cell r="AJ302" t="str">
            <v>MEROX AIR BLOWER</v>
          </cell>
          <cell r="AQ302">
            <v>0</v>
          </cell>
        </row>
        <row r="303">
          <cell r="AI303" t="str">
            <v>1BBAMX</v>
          </cell>
          <cell r="AJ303" t="str">
            <v>OTHER BLOWERS &amp; FANS</v>
          </cell>
          <cell r="AQ303">
            <v>0</v>
          </cell>
        </row>
        <row r="304">
          <cell r="AI304" t="str">
            <v>1BBAM-</v>
          </cell>
          <cell r="AJ304" t="str">
            <v>SUBTOTAL BLOWERS &amp; FANS</v>
          </cell>
          <cell r="AK304">
            <v>0</v>
          </cell>
          <cell r="AL304">
            <v>0</v>
          </cell>
          <cell r="AM304">
            <v>0</v>
          </cell>
          <cell r="AN304">
            <v>0</v>
          </cell>
          <cell r="AO304">
            <v>0</v>
          </cell>
          <cell r="AP304">
            <v>0</v>
          </cell>
          <cell r="AQ304">
            <v>0</v>
          </cell>
        </row>
        <row r="310">
          <cell r="W310" t="str">
            <v>LEVEL 2 NGL-4 PLANT PG.4</v>
          </cell>
          <cell r="X310" t="str">
            <v>WBS CODE</v>
          </cell>
          <cell r="Y310" t="str">
            <v>DESCRIPTION</v>
          </cell>
          <cell r="Z310" t="str">
            <v>QUANTITY</v>
          </cell>
          <cell r="AA310" t="str">
            <v>UNITS</v>
          </cell>
          <cell r="AB310" t="str">
            <v>TOTAL MANHOURS</v>
          </cell>
          <cell r="AC310" t="str">
            <v>TOTAL LABOR COST</v>
          </cell>
          <cell r="AD310" t="str">
            <v>TOTAL MAT'L COST</v>
          </cell>
          <cell r="AE310" t="str">
            <v>TOTAL S/C COST</v>
          </cell>
          <cell r="AF310" t="str">
            <v>TOTAL COST</v>
          </cell>
          <cell r="AH310" t="str">
            <v>LEVEL 3 NGL-4 PLANT PG 4</v>
          </cell>
          <cell r="AI310" t="str">
            <v>WBS CODE</v>
          </cell>
          <cell r="AJ310" t="str">
            <v>DESCRIPTION</v>
          </cell>
          <cell r="AK310" t="str">
            <v>QUANTITY</v>
          </cell>
          <cell r="AL310" t="str">
            <v>UNITS</v>
          </cell>
          <cell r="AM310" t="str">
            <v>TOTAL MANHOURS</v>
          </cell>
          <cell r="AN310" t="str">
            <v>TOTAL LABOR COST</v>
          </cell>
          <cell r="AO310" t="str">
            <v>TOTAL MAT'L COST</v>
          </cell>
          <cell r="AP310" t="str">
            <v>TOTAL S/C COST</v>
          </cell>
          <cell r="AQ310" t="str">
            <v>TOTAL COST</v>
          </cell>
        </row>
        <row r="312">
          <cell r="X312" t="str">
            <v>1BCEA</v>
          </cell>
          <cell r="Y312" t="str">
            <v>NGL-4 PLANT  - CONSTRUCTION, OTHER DIRECT WORK - FIRE PROTECTION</v>
          </cell>
          <cell r="AF312">
            <v>0</v>
          </cell>
          <cell r="AG312">
            <v>0</v>
          </cell>
          <cell r="AH312">
            <v>0</v>
          </cell>
          <cell r="AI312" t="str">
            <v>1BBAOA</v>
          </cell>
          <cell r="AJ312" t="str">
            <v>FLARE TIP</v>
          </cell>
          <cell r="AK312">
            <v>0</v>
          </cell>
          <cell r="AL312">
            <v>0</v>
          </cell>
          <cell r="AM312">
            <v>0</v>
          </cell>
          <cell r="AN312">
            <v>0</v>
          </cell>
          <cell r="AO312">
            <v>0</v>
          </cell>
          <cell r="AP312">
            <v>0</v>
          </cell>
          <cell r="AQ312">
            <v>0</v>
          </cell>
          <cell r="AR312">
            <v>0</v>
          </cell>
        </row>
        <row r="313">
          <cell r="X313" t="str">
            <v>1BCEB</v>
          </cell>
          <cell r="Y313" t="str">
            <v>NGL-4 PLANT  - CONSTRUCTION, OTHER DIRECT WORK - FIREPROOFING</v>
          </cell>
          <cell r="AF313">
            <v>0</v>
          </cell>
          <cell r="AG313">
            <v>0</v>
          </cell>
          <cell r="AH313">
            <v>0</v>
          </cell>
          <cell r="AI313" t="str">
            <v>1BBAOB</v>
          </cell>
          <cell r="AJ313" t="str">
            <v>FLARE PILOT IGNITION SYSTEM</v>
          </cell>
          <cell r="AK313">
            <v>0</v>
          </cell>
          <cell r="AL313">
            <v>0</v>
          </cell>
          <cell r="AM313">
            <v>0</v>
          </cell>
          <cell r="AN313">
            <v>0</v>
          </cell>
          <cell r="AO313">
            <v>0</v>
          </cell>
          <cell r="AP313">
            <v>0</v>
          </cell>
          <cell r="AQ313">
            <v>0</v>
          </cell>
          <cell r="AR313">
            <v>0</v>
          </cell>
        </row>
        <row r="314">
          <cell r="X314" t="str">
            <v>1BCEC</v>
          </cell>
          <cell r="Y314" t="str">
            <v>NGL-4 PLANT  - CONSTRUCTION, OTHER DIRECT WORK - INSULATION</v>
          </cell>
          <cell r="AF314">
            <v>0</v>
          </cell>
          <cell r="AG314">
            <v>0</v>
          </cell>
          <cell r="AH314">
            <v>0</v>
          </cell>
          <cell r="AI314" t="str">
            <v>1BBAOX</v>
          </cell>
          <cell r="AJ314" t="str">
            <v>OTHER FLARES</v>
          </cell>
          <cell r="AK314">
            <v>0</v>
          </cell>
          <cell r="AL314">
            <v>0</v>
          </cell>
          <cell r="AM314">
            <v>0</v>
          </cell>
          <cell r="AN314">
            <v>0</v>
          </cell>
          <cell r="AO314">
            <v>0</v>
          </cell>
          <cell r="AP314">
            <v>0</v>
          </cell>
          <cell r="AQ314">
            <v>0</v>
          </cell>
          <cell r="AR314">
            <v>0</v>
          </cell>
        </row>
        <row r="315">
          <cell r="X315" t="str">
            <v>1BCED</v>
          </cell>
          <cell r="Y315" t="str">
            <v>NGL-4 PLANT  - CONSTRUCTION, OTHER DIRECT WORK - PAINTING</v>
          </cell>
          <cell r="AF315">
            <v>0</v>
          </cell>
          <cell r="AG315">
            <v>0</v>
          </cell>
          <cell r="AH315">
            <v>0</v>
          </cell>
          <cell r="AI315" t="str">
            <v>1BBAO-</v>
          </cell>
          <cell r="AJ315" t="str">
            <v>SUBTOTAL FLARES</v>
          </cell>
          <cell r="AK315">
            <v>0</v>
          </cell>
          <cell r="AL315">
            <v>0</v>
          </cell>
          <cell r="AM315">
            <v>0</v>
          </cell>
          <cell r="AN315">
            <v>0</v>
          </cell>
          <cell r="AO315">
            <v>0</v>
          </cell>
          <cell r="AP315">
            <v>0</v>
          </cell>
          <cell r="AQ315">
            <v>0</v>
          </cell>
          <cell r="AR315">
            <v>0</v>
          </cell>
        </row>
        <row r="316">
          <cell r="X316" t="str">
            <v>1BCEE</v>
          </cell>
          <cell r="Y316" t="str">
            <v>NGL-4 PLANT  - CONSTRUCTION, OTHER DIRECT WORK - SHUTDOWN</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X317" t="str">
            <v>1BCEF</v>
          </cell>
          <cell r="Y317" t="str">
            <v>NGL-4 PLANT  - CONSTRUCTION, OTHER DIRECT WORK - PRE-COMMISSIONING</v>
          </cell>
          <cell r="AF317">
            <v>0</v>
          </cell>
          <cell r="AG317">
            <v>0</v>
          </cell>
          <cell r="AH317">
            <v>0</v>
          </cell>
          <cell r="AI317" t="str">
            <v>1BBAQA</v>
          </cell>
          <cell r="AJ317" t="str">
            <v>DESALINATION UNIT</v>
          </cell>
          <cell r="AK317">
            <v>0</v>
          </cell>
          <cell r="AL317">
            <v>0</v>
          </cell>
          <cell r="AM317">
            <v>0</v>
          </cell>
          <cell r="AN317">
            <v>0</v>
          </cell>
          <cell r="AO317">
            <v>0</v>
          </cell>
          <cell r="AP317">
            <v>0</v>
          </cell>
          <cell r="AQ317">
            <v>0</v>
          </cell>
          <cell r="AR317">
            <v>0</v>
          </cell>
        </row>
        <row r="318">
          <cell r="X318" t="str">
            <v>1BCEG</v>
          </cell>
          <cell r="Y318" t="str">
            <v>NGL-4 PLANT  - CONSTRUCTION, OTHER DIRECT WORK - ENVIRONMENTAL</v>
          </cell>
          <cell r="AF318">
            <v>0</v>
          </cell>
          <cell r="AG318">
            <v>0</v>
          </cell>
          <cell r="AH318">
            <v>0</v>
          </cell>
          <cell r="AI318" t="str">
            <v>1BBAQB</v>
          </cell>
          <cell r="AJ318" t="str">
            <v>INSTRUMENT AIR PACKAGE</v>
          </cell>
          <cell r="AK318">
            <v>0</v>
          </cell>
          <cell r="AL318">
            <v>0</v>
          </cell>
          <cell r="AM318">
            <v>0</v>
          </cell>
          <cell r="AN318">
            <v>0</v>
          </cell>
          <cell r="AO318">
            <v>0</v>
          </cell>
          <cell r="AP318">
            <v>0</v>
          </cell>
          <cell r="AQ318">
            <v>0</v>
          </cell>
          <cell r="AR318">
            <v>0</v>
          </cell>
        </row>
        <row r="319">
          <cell r="X319" t="str">
            <v>1BCEX</v>
          </cell>
          <cell r="Y319" t="str">
            <v>NGL-4 PLANT  - CONSTRUCTION, OTHER DIRECT WORK - OTHER</v>
          </cell>
          <cell r="AF319">
            <v>0</v>
          </cell>
          <cell r="AG319">
            <v>0</v>
          </cell>
          <cell r="AH319">
            <v>0</v>
          </cell>
          <cell r="AI319" t="str">
            <v>1BBAQC</v>
          </cell>
          <cell r="AJ319" t="str">
            <v>API SEPARATOR UNIT</v>
          </cell>
          <cell r="AK319">
            <v>0</v>
          </cell>
          <cell r="AL319">
            <v>0</v>
          </cell>
          <cell r="AM319">
            <v>0</v>
          </cell>
          <cell r="AN319">
            <v>0</v>
          </cell>
          <cell r="AO319">
            <v>0</v>
          </cell>
          <cell r="AP319">
            <v>0</v>
          </cell>
          <cell r="AQ319">
            <v>0</v>
          </cell>
          <cell r="AR319">
            <v>0</v>
          </cell>
        </row>
        <row r="320">
          <cell r="X320" t="str">
            <v>1BCE</v>
          </cell>
          <cell r="Y320" t="str">
            <v xml:space="preserve">SUBTOTAL - NGL-4 PLANT  - CONSTRUCTION, OTHER DIRECT WORK - </v>
          </cell>
          <cell r="Z320">
            <v>0</v>
          </cell>
          <cell r="AA320" t="str">
            <v>N/A</v>
          </cell>
          <cell r="AB320">
            <v>0</v>
          </cell>
          <cell r="AC320">
            <v>0</v>
          </cell>
          <cell r="AD320">
            <v>0</v>
          </cell>
          <cell r="AE320">
            <v>0</v>
          </cell>
          <cell r="AF320">
            <v>0</v>
          </cell>
          <cell r="AI320" t="str">
            <v>1BBAQD</v>
          </cell>
          <cell r="AJ320" t="str">
            <v>HOT OIL FURNACE</v>
          </cell>
          <cell r="AQ320">
            <v>0</v>
          </cell>
        </row>
        <row r="321">
          <cell r="AI321" t="str">
            <v>1BBAQE</v>
          </cell>
          <cell r="AJ321" t="str">
            <v>SEA WATER SYSTEM</v>
          </cell>
          <cell r="AQ321">
            <v>0</v>
          </cell>
        </row>
        <row r="322">
          <cell r="X322" t="str">
            <v>1BCFA</v>
          </cell>
          <cell r="Y322" t="str">
            <v>NGL-4 PLANT  - CONSTRUCTION INDIRECTS</v>
          </cell>
          <cell r="AF322">
            <v>0</v>
          </cell>
          <cell r="AG322">
            <v>0</v>
          </cell>
          <cell r="AH322">
            <v>0</v>
          </cell>
          <cell r="AI322" t="str">
            <v>1BBAQF</v>
          </cell>
          <cell r="AJ322" t="str">
            <v>EFFLUENT TREATMENT SYSTEM</v>
          </cell>
          <cell r="AK322">
            <v>0</v>
          </cell>
          <cell r="AL322">
            <v>0</v>
          </cell>
          <cell r="AM322">
            <v>0</v>
          </cell>
          <cell r="AN322">
            <v>0</v>
          </cell>
          <cell r="AO322">
            <v>0</v>
          </cell>
          <cell r="AP322">
            <v>0</v>
          </cell>
          <cell r="AQ322">
            <v>0</v>
          </cell>
          <cell r="AR322">
            <v>0</v>
          </cell>
        </row>
        <row r="323">
          <cell r="X323" t="str">
            <v>1BCF</v>
          </cell>
          <cell r="Y323" t="str">
            <v>SUBTOTAL - NGL-4 PLANT  - CONSTRUCTION INDIRECTS</v>
          </cell>
          <cell r="Z323">
            <v>0</v>
          </cell>
          <cell r="AA323" t="str">
            <v>N/A</v>
          </cell>
          <cell r="AB323">
            <v>0</v>
          </cell>
          <cell r="AC323">
            <v>0</v>
          </cell>
          <cell r="AD323">
            <v>0</v>
          </cell>
          <cell r="AE323">
            <v>0</v>
          </cell>
          <cell r="AF323">
            <v>0</v>
          </cell>
          <cell r="AI323" t="str">
            <v>1BBAQX</v>
          </cell>
          <cell r="AJ323" t="str">
            <v>OTHER PACKAGED EQUIPMENT</v>
          </cell>
          <cell r="AQ323">
            <v>0</v>
          </cell>
        </row>
        <row r="324">
          <cell r="AI324" t="str">
            <v>1BBAQ-</v>
          </cell>
          <cell r="AJ324" t="str">
            <v>SUBTOTAL PACKAGED EQUIPMENT</v>
          </cell>
          <cell r="AK324">
            <v>0</v>
          </cell>
          <cell r="AL324">
            <v>0</v>
          </cell>
          <cell r="AM324">
            <v>0</v>
          </cell>
          <cell r="AN324">
            <v>0</v>
          </cell>
          <cell r="AO324">
            <v>0</v>
          </cell>
          <cell r="AP324">
            <v>0</v>
          </cell>
          <cell r="AQ324">
            <v>0</v>
          </cell>
        </row>
        <row r="325">
          <cell r="X325" t="str">
            <v>1BDAA</v>
          </cell>
          <cell r="Y325" t="str">
            <v>NGL-4 PLANT  - COMMISSIONING - PROCESS</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X326" t="str">
            <v>1BDAB</v>
          </cell>
          <cell r="Y326" t="str">
            <v>NGL-4 PLANT  - COMMISSIONING - UTILITIES</v>
          </cell>
          <cell r="AF326">
            <v>0</v>
          </cell>
          <cell r="AG326">
            <v>0</v>
          </cell>
          <cell r="AH326">
            <v>0</v>
          </cell>
          <cell r="AI326" t="str">
            <v>1BBARA</v>
          </cell>
          <cell r="AJ326" t="str">
            <v>SWITCHGEAR</v>
          </cell>
          <cell r="AK326">
            <v>0</v>
          </cell>
          <cell r="AL326">
            <v>0</v>
          </cell>
          <cell r="AM326">
            <v>0</v>
          </cell>
          <cell r="AN326">
            <v>0</v>
          </cell>
          <cell r="AO326">
            <v>0</v>
          </cell>
          <cell r="AP326">
            <v>0</v>
          </cell>
          <cell r="AQ326">
            <v>0</v>
          </cell>
          <cell r="AR326">
            <v>0</v>
          </cell>
        </row>
        <row r="327">
          <cell r="X327" t="str">
            <v>1BDA-</v>
          </cell>
          <cell r="Y327" t="str">
            <v>SUBTOTAL - NGL-4 PLANT  - COMMISSIONING</v>
          </cell>
          <cell r="Z327">
            <v>0</v>
          </cell>
          <cell r="AA327" t="str">
            <v>N/A</v>
          </cell>
          <cell r="AB327">
            <v>0</v>
          </cell>
          <cell r="AC327">
            <v>0</v>
          </cell>
          <cell r="AD327">
            <v>0</v>
          </cell>
          <cell r="AE327">
            <v>0</v>
          </cell>
          <cell r="AF327">
            <v>0</v>
          </cell>
          <cell r="AI327" t="str">
            <v>1BBARB</v>
          </cell>
          <cell r="AJ327" t="str">
            <v>TRANSFORMERS</v>
          </cell>
          <cell r="AQ327">
            <v>0</v>
          </cell>
        </row>
        <row r="328">
          <cell r="AI328" t="str">
            <v>1BBARC</v>
          </cell>
          <cell r="AJ328" t="str">
            <v>MCC'S</v>
          </cell>
          <cell r="AQ328">
            <v>0</v>
          </cell>
        </row>
        <row r="329">
          <cell r="X329" t="str">
            <v>1BDBA</v>
          </cell>
          <cell r="Y329" t="str">
            <v>NGL-4 PLANT  - PERFORMANCE TEST - PROCESS</v>
          </cell>
          <cell r="AF329">
            <v>0</v>
          </cell>
          <cell r="AG329">
            <v>0</v>
          </cell>
          <cell r="AH329">
            <v>0</v>
          </cell>
          <cell r="AI329" t="str">
            <v>1BBARD</v>
          </cell>
          <cell r="AJ329" t="str">
            <v>UPS</v>
          </cell>
          <cell r="AK329">
            <v>0</v>
          </cell>
          <cell r="AL329">
            <v>0</v>
          </cell>
          <cell r="AM329">
            <v>0</v>
          </cell>
          <cell r="AN329">
            <v>0</v>
          </cell>
          <cell r="AO329">
            <v>0</v>
          </cell>
          <cell r="AP329">
            <v>0</v>
          </cell>
          <cell r="AQ329">
            <v>0</v>
          </cell>
          <cell r="AR329">
            <v>0</v>
          </cell>
        </row>
        <row r="330">
          <cell r="X330" t="str">
            <v>1BDBB</v>
          </cell>
          <cell r="Y330" t="str">
            <v>NGL-4 PLANT  - PERFORMANCE TEST - UTILITIES</v>
          </cell>
          <cell r="AF330">
            <v>0</v>
          </cell>
          <cell r="AG330">
            <v>0</v>
          </cell>
          <cell r="AH330">
            <v>0</v>
          </cell>
          <cell r="AI330" t="str">
            <v>1BBARX</v>
          </cell>
          <cell r="AJ330" t="str">
            <v>OTHER ELECTRICAL EQUIPMENT</v>
          </cell>
          <cell r="AK330">
            <v>0</v>
          </cell>
          <cell r="AL330">
            <v>0</v>
          </cell>
          <cell r="AM330">
            <v>0</v>
          </cell>
          <cell r="AN330">
            <v>0</v>
          </cell>
          <cell r="AO330">
            <v>0</v>
          </cell>
          <cell r="AP330">
            <v>0</v>
          </cell>
          <cell r="AQ330">
            <v>0</v>
          </cell>
          <cell r="AR330">
            <v>0</v>
          </cell>
        </row>
        <row r="331">
          <cell r="X331" t="str">
            <v>1BDB-</v>
          </cell>
          <cell r="Y331" t="str">
            <v>SUBTOTAL - NGL-4 PLANT  - PERFORMANCE TEST</v>
          </cell>
          <cell r="Z331">
            <v>0</v>
          </cell>
          <cell r="AA331" t="str">
            <v>N/A</v>
          </cell>
          <cell r="AB331">
            <v>0</v>
          </cell>
          <cell r="AC331">
            <v>0</v>
          </cell>
          <cell r="AD331">
            <v>0</v>
          </cell>
          <cell r="AE331">
            <v>0</v>
          </cell>
          <cell r="AF331">
            <v>0</v>
          </cell>
          <cell r="AI331" t="str">
            <v>1BBAR-</v>
          </cell>
          <cell r="AJ331" t="str">
            <v>SUBTOTAL ELECTRICAL EQUIPMENT</v>
          </cell>
          <cell r="AK331">
            <v>0</v>
          </cell>
          <cell r="AL331">
            <v>0</v>
          </cell>
          <cell r="AM331">
            <v>0</v>
          </cell>
          <cell r="AN331">
            <v>0</v>
          </cell>
          <cell r="AO331">
            <v>0</v>
          </cell>
          <cell r="AP331">
            <v>0</v>
          </cell>
          <cell r="AQ331">
            <v>0</v>
          </cell>
        </row>
        <row r="333">
          <cell r="AI333" t="str">
            <v>1BBASA</v>
          </cell>
          <cell r="AJ333" t="str">
            <v>DCS, ESD, AND F&amp;G</v>
          </cell>
          <cell r="AQ333">
            <v>0</v>
          </cell>
        </row>
        <row r="334">
          <cell r="AI334" t="str">
            <v>1BBASB</v>
          </cell>
          <cell r="AJ334" t="str">
            <v>FIELD INSTRUMENTATION</v>
          </cell>
          <cell r="AQ334">
            <v>0</v>
          </cell>
        </row>
        <row r="335">
          <cell r="AI335" t="str">
            <v>1BBASC</v>
          </cell>
          <cell r="AJ335" t="str">
            <v>CONTROL VALVES, RELIEF VALVES</v>
          </cell>
          <cell r="AQ335">
            <v>0</v>
          </cell>
        </row>
        <row r="336">
          <cell r="AI336" t="str">
            <v>1BBASD</v>
          </cell>
          <cell r="AJ336" t="str">
            <v>SHUTDOWN/BLOWDOWN VALVES</v>
          </cell>
          <cell r="AQ336">
            <v>0</v>
          </cell>
        </row>
        <row r="337">
          <cell r="AI337" t="str">
            <v>1BBASE</v>
          </cell>
          <cell r="AJ337" t="str">
            <v>CCTV AND TELECOMMUNICATION SYSTEM</v>
          </cell>
          <cell r="AQ337">
            <v>0</v>
          </cell>
        </row>
        <row r="338">
          <cell r="AI338" t="str">
            <v>1BBASF</v>
          </cell>
          <cell r="AJ338" t="str">
            <v>FLOW METERING PACKAGE</v>
          </cell>
          <cell r="AQ338">
            <v>0</v>
          </cell>
        </row>
        <row r="339">
          <cell r="AI339" t="str">
            <v>1BBASG</v>
          </cell>
          <cell r="AJ339" t="str">
            <v>FIBER OPTIC CABLE &amp; EQUIPMENT</v>
          </cell>
          <cell r="AQ339">
            <v>0</v>
          </cell>
        </row>
        <row r="340">
          <cell r="AI340" t="str">
            <v>1BBASX</v>
          </cell>
          <cell r="AJ340" t="str">
            <v>OTHER INSTRUMENTATION EQUIPMENT</v>
          </cell>
          <cell r="AQ340">
            <v>0</v>
          </cell>
        </row>
        <row r="341">
          <cell r="AI341" t="str">
            <v>1BBAS-</v>
          </cell>
          <cell r="AJ341" t="str">
            <v>SUBTOTAL INSTRUMENTATION EQUIPMENT</v>
          </cell>
          <cell r="AK341">
            <v>0</v>
          </cell>
          <cell r="AL341">
            <v>0</v>
          </cell>
          <cell r="AM341">
            <v>0</v>
          </cell>
          <cell r="AN341">
            <v>0</v>
          </cell>
          <cell r="AO341">
            <v>0</v>
          </cell>
          <cell r="AP341">
            <v>0</v>
          </cell>
          <cell r="AQ341">
            <v>0</v>
          </cell>
        </row>
        <row r="343">
          <cell r="AI343" t="str">
            <v>1BBAXA</v>
          </cell>
          <cell r="AJ343" t="str">
            <v>MIXERS</v>
          </cell>
          <cell r="AQ343">
            <v>0</v>
          </cell>
        </row>
        <row r="344">
          <cell r="AI344" t="str">
            <v>1BBAXX</v>
          </cell>
          <cell r="AJ344" t="str">
            <v>OTHER EQUIPMENT</v>
          </cell>
          <cell r="AQ344">
            <v>0</v>
          </cell>
        </row>
        <row r="345">
          <cell r="AI345" t="str">
            <v>1BBAX-</v>
          </cell>
          <cell r="AJ345" t="str">
            <v>SUBTOTAL OTHER EQUIPMENT</v>
          </cell>
          <cell r="AK345">
            <v>0</v>
          </cell>
          <cell r="AL345">
            <v>0</v>
          </cell>
          <cell r="AM345">
            <v>0</v>
          </cell>
          <cell r="AN345">
            <v>0</v>
          </cell>
          <cell r="AO345">
            <v>0</v>
          </cell>
          <cell r="AP345">
            <v>0</v>
          </cell>
          <cell r="AQ345">
            <v>0</v>
          </cell>
        </row>
        <row r="347">
          <cell r="AI347" t="str">
            <v>1BBBBA</v>
          </cell>
          <cell r="AJ347" t="str">
            <v>STRUCTURE FOR FLARE STACK</v>
          </cell>
          <cell r="AQ347">
            <v>0</v>
          </cell>
        </row>
        <row r="348">
          <cell r="AI348" t="str">
            <v>1BBBBX</v>
          </cell>
          <cell r="AJ348" t="str">
            <v>STRUCTURE OTHER</v>
          </cell>
          <cell r="AQ348">
            <v>0</v>
          </cell>
        </row>
        <row r="349">
          <cell r="AI349" t="str">
            <v>1BBBB-</v>
          </cell>
          <cell r="AJ349" t="str">
            <v>SUBTOTAL STRUCTURAL</v>
          </cell>
          <cell r="AK349">
            <v>0</v>
          </cell>
          <cell r="AL349">
            <v>0</v>
          </cell>
          <cell r="AM349">
            <v>0</v>
          </cell>
          <cell r="AN349">
            <v>0</v>
          </cell>
          <cell r="AO349">
            <v>0</v>
          </cell>
          <cell r="AP349">
            <v>0</v>
          </cell>
          <cell r="AQ349">
            <v>0</v>
          </cell>
        </row>
        <row r="354">
          <cell r="AH354" t="str">
            <v>LEVEL 3 NGL-4 PLANT PG 5</v>
          </cell>
          <cell r="AI354" t="str">
            <v>WBS CODE</v>
          </cell>
          <cell r="AJ354" t="str">
            <v>DESCRIPTION</v>
          </cell>
          <cell r="AK354" t="str">
            <v>QUANTITY</v>
          </cell>
          <cell r="AL354" t="str">
            <v>UNITS</v>
          </cell>
          <cell r="AM354" t="str">
            <v>TOTAL MANHOURS</v>
          </cell>
          <cell r="AN354" t="str">
            <v>TOTAL LABOR COST</v>
          </cell>
          <cell r="AO354" t="str">
            <v>TOTAL MAT'L COST</v>
          </cell>
          <cell r="AP354" t="str">
            <v>TOTAL S/C COST</v>
          </cell>
          <cell r="AQ354" t="str">
            <v>TOTAL COST</v>
          </cell>
        </row>
        <row r="356">
          <cell r="AI356" t="str">
            <v>1BBBCA</v>
          </cell>
          <cell r="AJ356" t="str">
            <v>PIPING &amp; FITTING MATERIAL - CARBON STEEL</v>
          </cell>
          <cell r="AQ356">
            <v>0</v>
          </cell>
        </row>
        <row r="357">
          <cell r="AI357" t="str">
            <v>1BBBCB</v>
          </cell>
          <cell r="AJ357" t="str">
            <v>PIPING VALVES - CARBON STEEL</v>
          </cell>
          <cell r="AQ357">
            <v>0</v>
          </cell>
        </row>
        <row r="358">
          <cell r="AI358" t="str">
            <v>1BBBCC</v>
          </cell>
          <cell r="AJ358" t="str">
            <v>PIPING &amp; FITTING MATERIAL - LOW TEMERATURE CARBON STEEL</v>
          </cell>
          <cell r="AQ358">
            <v>0</v>
          </cell>
        </row>
        <row r="359">
          <cell r="AI359" t="str">
            <v>1BBBCD</v>
          </cell>
          <cell r="AJ359" t="str">
            <v>PIPING VALVES - LOW TEMERATURE CARBON STEEL</v>
          </cell>
          <cell r="AQ359">
            <v>0</v>
          </cell>
        </row>
        <row r="360">
          <cell r="AI360" t="str">
            <v>1BBBCE</v>
          </cell>
          <cell r="AJ360" t="str">
            <v>PIPING &amp; FITTING MATERIAL - CARBON STEEL NACE</v>
          </cell>
          <cell r="AQ360">
            <v>0</v>
          </cell>
        </row>
        <row r="361">
          <cell r="AI361" t="str">
            <v>1BBBCF</v>
          </cell>
          <cell r="AJ361" t="str">
            <v>PIPING VALVES - CARBON STEEL NACE</v>
          </cell>
          <cell r="AQ361">
            <v>0</v>
          </cell>
        </row>
        <row r="362">
          <cell r="AI362" t="str">
            <v>1BBBCG</v>
          </cell>
          <cell r="AJ362" t="str">
            <v>PIPING &amp; FITTING MATERIAL - STAINLESS STEEL</v>
          </cell>
          <cell r="AQ362">
            <v>0</v>
          </cell>
        </row>
        <row r="363">
          <cell r="AI363" t="str">
            <v>1BBBCH</v>
          </cell>
          <cell r="AJ363" t="str">
            <v>PIPING VALVES - STAINLESS STEEL</v>
          </cell>
          <cell r="AQ363">
            <v>0</v>
          </cell>
        </row>
        <row r="364">
          <cell r="AI364" t="str">
            <v>1BBBCI</v>
          </cell>
          <cell r="AJ364" t="str">
            <v>PIPING &amp; FITTING MATERIAL - NON-METALLIC</v>
          </cell>
          <cell r="AQ364">
            <v>0</v>
          </cell>
        </row>
        <row r="365">
          <cell r="AI365" t="str">
            <v>1BBBCJ</v>
          </cell>
          <cell r="AJ365" t="str">
            <v>PIPING VALVES - NON-METALLIC</v>
          </cell>
          <cell r="AQ365">
            <v>0</v>
          </cell>
        </row>
        <row r="366">
          <cell r="AI366" t="str">
            <v>1BBBCK</v>
          </cell>
          <cell r="AJ366" t="str">
            <v>PIPELINE FOR FLARE SYSTEM</v>
          </cell>
          <cell r="AQ366">
            <v>0</v>
          </cell>
        </row>
        <row r="367">
          <cell r="AI367" t="str">
            <v>1BBBCL</v>
          </cell>
          <cell r="AJ367" t="str">
            <v>PIPELINE FOR TANK</v>
          </cell>
          <cell r="AQ367">
            <v>0</v>
          </cell>
        </row>
        <row r="368">
          <cell r="AI368" t="str">
            <v>1BBBCM</v>
          </cell>
          <cell r="AJ368" t="str">
            <v>PIPELINE OTHER</v>
          </cell>
          <cell r="AQ368">
            <v>0</v>
          </cell>
        </row>
        <row r="369">
          <cell r="AI369" t="str">
            <v>1BBBCX</v>
          </cell>
          <cell r="AJ369" t="str">
            <v>PIPING MATERIALS - OTHER</v>
          </cell>
          <cell r="AQ369">
            <v>0</v>
          </cell>
        </row>
        <row r="370">
          <cell r="AI370" t="str">
            <v>1BBBC-</v>
          </cell>
          <cell r="AJ370" t="str">
            <v>SUBTOTAL PIPING &amp; VALVES BULKS</v>
          </cell>
          <cell r="AK370">
            <v>0</v>
          </cell>
          <cell r="AL370">
            <v>0</v>
          </cell>
          <cell r="AM370">
            <v>0</v>
          </cell>
          <cell r="AN370">
            <v>0</v>
          </cell>
          <cell r="AO370">
            <v>0</v>
          </cell>
          <cell r="AP370">
            <v>0</v>
          </cell>
          <cell r="AQ370">
            <v>0</v>
          </cell>
        </row>
        <row r="372">
          <cell r="AI372" t="str">
            <v>1BBBDA</v>
          </cell>
          <cell r="AJ372" t="str">
            <v>LV CABLE</v>
          </cell>
          <cell r="AQ372">
            <v>0</v>
          </cell>
        </row>
        <row r="373">
          <cell r="AI373" t="str">
            <v>1BBBDB</v>
          </cell>
          <cell r="AJ373" t="str">
            <v>HV CABLE</v>
          </cell>
          <cell r="AQ373">
            <v>0</v>
          </cell>
        </row>
        <row r="374">
          <cell r="AI374" t="str">
            <v>1BBBDC</v>
          </cell>
          <cell r="AJ374" t="str">
            <v>CABLE TRAY / CABLE LADDERS</v>
          </cell>
          <cell r="AQ374">
            <v>0</v>
          </cell>
        </row>
        <row r="375">
          <cell r="AI375" t="str">
            <v>1BBBDD</v>
          </cell>
          <cell r="AJ375" t="str">
            <v>CABLE FITTINGS &amp; JUNCTION BOXES</v>
          </cell>
          <cell r="AQ375">
            <v>0</v>
          </cell>
        </row>
        <row r="376">
          <cell r="AI376" t="str">
            <v>1BBBDE</v>
          </cell>
          <cell r="AJ376" t="str">
            <v>EARTHING MATERIALS</v>
          </cell>
          <cell r="AQ376">
            <v>0</v>
          </cell>
        </row>
        <row r="377">
          <cell r="AI377" t="str">
            <v>1BBBDF</v>
          </cell>
          <cell r="AJ377" t="str">
            <v>LIGHTING AND OTHER ACCESSORIES</v>
          </cell>
          <cell r="AQ377">
            <v>0</v>
          </cell>
        </row>
        <row r="378">
          <cell r="AI378" t="str">
            <v>1BBBDG</v>
          </cell>
          <cell r="AJ378" t="str">
            <v>CATHODIC PROTECTION SYSTEM(S)</v>
          </cell>
          <cell r="AQ378">
            <v>0</v>
          </cell>
        </row>
        <row r="379">
          <cell r="AI379" t="str">
            <v>1BBBDX</v>
          </cell>
          <cell r="AJ379" t="str">
            <v>OTHER ELECTRICAL BULKS</v>
          </cell>
          <cell r="AQ379">
            <v>0</v>
          </cell>
        </row>
        <row r="380">
          <cell r="AI380" t="str">
            <v>1BBBD-</v>
          </cell>
          <cell r="AJ380" t="str">
            <v>SUBTOTAL ELECTRICAL BULKS</v>
          </cell>
          <cell r="AK380">
            <v>0</v>
          </cell>
          <cell r="AL380">
            <v>0</v>
          </cell>
          <cell r="AM380">
            <v>0</v>
          </cell>
          <cell r="AN380">
            <v>0</v>
          </cell>
          <cell r="AO380">
            <v>0</v>
          </cell>
          <cell r="AP380">
            <v>0</v>
          </cell>
          <cell r="AQ380">
            <v>0</v>
          </cell>
        </row>
        <row r="382">
          <cell r="AI382" t="str">
            <v>1BBBEA</v>
          </cell>
          <cell r="AJ382" t="str">
            <v>CABLE AND CABLE FITTINGS</v>
          </cell>
          <cell r="AQ382">
            <v>0</v>
          </cell>
        </row>
        <row r="383">
          <cell r="AI383" t="str">
            <v>1BBBEB</v>
          </cell>
          <cell r="AJ383" t="str">
            <v>CABLE TRAY / CABLE LADDERS</v>
          </cell>
          <cell r="AQ383">
            <v>0</v>
          </cell>
        </row>
        <row r="384">
          <cell r="AI384" t="str">
            <v>1BBBEC</v>
          </cell>
          <cell r="AJ384" t="str">
            <v>INSTRUMENT TUBING AND FITTINGS</v>
          </cell>
          <cell r="AQ384">
            <v>0</v>
          </cell>
        </row>
        <row r="385">
          <cell r="AI385" t="str">
            <v>1BBBED</v>
          </cell>
          <cell r="AJ385" t="str">
            <v>MOUNTING ACCESSORIES</v>
          </cell>
          <cell r="AQ385">
            <v>0</v>
          </cell>
        </row>
        <row r="386">
          <cell r="AI386" t="str">
            <v>1BBBEE</v>
          </cell>
          <cell r="AJ386" t="str">
            <v>EARTHING MATERIALS</v>
          </cell>
          <cell r="AQ386">
            <v>0</v>
          </cell>
        </row>
        <row r="387">
          <cell r="AI387" t="str">
            <v>1BBBEF</v>
          </cell>
          <cell r="AJ387" t="str">
            <v>FIRE AND GAS DETECTION EQUIPMENT</v>
          </cell>
          <cell r="AQ387">
            <v>0</v>
          </cell>
        </row>
        <row r="388">
          <cell r="AI388" t="str">
            <v>1BBBEX</v>
          </cell>
          <cell r="AJ388" t="str">
            <v>OTHER INSTRUMENTATION BULKS</v>
          </cell>
          <cell r="AQ388">
            <v>0</v>
          </cell>
        </row>
        <row r="389">
          <cell r="AI389" t="str">
            <v>1BBBE-</v>
          </cell>
          <cell r="AJ389" t="str">
            <v>SUBTOTAL INSTRUMENTATION BULKS</v>
          </cell>
          <cell r="AK389">
            <v>0</v>
          </cell>
          <cell r="AL389">
            <v>0</v>
          </cell>
          <cell r="AM389">
            <v>0</v>
          </cell>
          <cell r="AN389">
            <v>0</v>
          </cell>
          <cell r="AO389">
            <v>0</v>
          </cell>
          <cell r="AP389">
            <v>0</v>
          </cell>
          <cell r="AQ389">
            <v>0</v>
          </cell>
        </row>
        <row r="398">
          <cell r="L398" t="str">
            <v>CYCLE &amp; LVL 1    NFGP UPGRADE</v>
          </cell>
          <cell r="M398" t="str">
            <v>WBS CODE</v>
          </cell>
          <cell r="N398" t="str">
            <v>DESCRIPTION</v>
          </cell>
          <cell r="O398" t="str">
            <v>QUANTITY</v>
          </cell>
          <cell r="P398" t="str">
            <v>UNITS</v>
          </cell>
          <cell r="Q398" t="str">
            <v>TOTAL MANHOURS</v>
          </cell>
          <cell r="R398" t="str">
            <v>TOTAL LABOR COST</v>
          </cell>
          <cell r="S398" t="str">
            <v>TOTAL MAT'L COST</v>
          </cell>
          <cell r="T398" t="str">
            <v>TOTAL S/C COST</v>
          </cell>
          <cell r="U398" t="str">
            <v>TOTAL COST</v>
          </cell>
          <cell r="W398" t="str">
            <v>LEVEL 2 NFGP UPGRADE PG.1</v>
          </cell>
          <cell r="X398" t="str">
            <v>WBS CODE</v>
          </cell>
          <cell r="Y398" t="str">
            <v>DESCRIPTION</v>
          </cell>
          <cell r="Z398" t="str">
            <v>QUANTITY</v>
          </cell>
          <cell r="AA398" t="str">
            <v>UNITS</v>
          </cell>
          <cell r="AB398" t="str">
            <v>TOTAL MANHOURS</v>
          </cell>
          <cell r="AC398" t="str">
            <v>TOTAL LABOR COST</v>
          </cell>
          <cell r="AD398" t="str">
            <v>TOTAL MAT'L COST</v>
          </cell>
          <cell r="AE398" t="str">
            <v>TOTAL S/C COST</v>
          </cell>
          <cell r="AF398" t="str">
            <v>TOTAL COST</v>
          </cell>
          <cell r="AG398">
            <v>0</v>
          </cell>
          <cell r="AH398" t="str">
            <v>LEVEL 3 NFGP UPGRADE PG 1</v>
          </cell>
          <cell r="AI398" t="str">
            <v>WBS CODE</v>
          </cell>
          <cell r="AJ398" t="str">
            <v>DESCRIPTION</v>
          </cell>
          <cell r="AK398" t="str">
            <v>QUANTITY</v>
          </cell>
          <cell r="AL398" t="str">
            <v>UNITS</v>
          </cell>
          <cell r="AM398" t="str">
            <v>TOTAL MANHOURS</v>
          </cell>
          <cell r="AN398" t="str">
            <v>TOTAL LABOR COST</v>
          </cell>
          <cell r="AO398" t="str">
            <v>TOTAL MAT'L COST</v>
          </cell>
          <cell r="AP398" t="str">
            <v>TOTAL S/C COST</v>
          </cell>
          <cell r="AQ398" t="str">
            <v>TOTAL COST</v>
          </cell>
          <cell r="AR398">
            <v>0</v>
          </cell>
        </row>
        <row r="400">
          <cell r="M400" t="str">
            <v>1CAA-</v>
          </cell>
          <cell r="N400" t="str">
            <v>NFGP UPGRADE  - DIRECT ENGINEERING</v>
          </cell>
          <cell r="Q400">
            <v>0</v>
          </cell>
          <cell r="R400">
            <v>0</v>
          </cell>
          <cell r="S400">
            <v>0</v>
          </cell>
          <cell r="T400">
            <v>0</v>
          </cell>
          <cell r="U400">
            <v>0</v>
          </cell>
          <cell r="X400" t="str">
            <v>1CAAA</v>
          </cell>
          <cell r="Y400" t="str">
            <v>NFGP UPGRADE  - DIR. ENG.  PROCESS</v>
          </cell>
          <cell r="AF400">
            <v>0</v>
          </cell>
          <cell r="AG400">
            <v>0</v>
          </cell>
          <cell r="AH400">
            <v>0</v>
          </cell>
          <cell r="AI400" t="str">
            <v>1CBAAA</v>
          </cell>
          <cell r="AJ400" t="str">
            <v>FEED FLASH DRUM</v>
          </cell>
          <cell r="AK400">
            <v>0</v>
          </cell>
          <cell r="AL400">
            <v>0</v>
          </cell>
          <cell r="AM400">
            <v>0</v>
          </cell>
          <cell r="AN400">
            <v>0</v>
          </cell>
          <cell r="AO400">
            <v>0</v>
          </cell>
          <cell r="AP400">
            <v>0</v>
          </cell>
          <cell r="AQ400">
            <v>0</v>
          </cell>
          <cell r="AR400">
            <v>0</v>
          </cell>
        </row>
        <row r="401">
          <cell r="M401" t="str">
            <v>1CAI-</v>
          </cell>
          <cell r="N401" t="str">
            <v>NFGP UPGRADE  - ENGINEERING PROCUREMENT</v>
          </cell>
          <cell r="Q401">
            <v>0</v>
          </cell>
          <cell r="R401">
            <v>0</v>
          </cell>
          <cell r="S401">
            <v>0</v>
          </cell>
          <cell r="T401">
            <v>0</v>
          </cell>
          <cell r="U401">
            <v>0</v>
          </cell>
          <cell r="X401" t="str">
            <v>1CAAB</v>
          </cell>
          <cell r="Y401" t="str">
            <v>NFGP UPGRADE  - DIR. ENG.  PERMITS</v>
          </cell>
          <cell r="AF401">
            <v>0</v>
          </cell>
          <cell r="AG401">
            <v>0</v>
          </cell>
          <cell r="AH401">
            <v>0</v>
          </cell>
          <cell r="AI401" t="str">
            <v>1CBAAB</v>
          </cell>
          <cell r="AJ401" t="str">
            <v>EXPANDER OUTLET DRUM</v>
          </cell>
          <cell r="AK401">
            <v>0</v>
          </cell>
          <cell r="AL401">
            <v>0</v>
          </cell>
          <cell r="AM401">
            <v>0</v>
          </cell>
          <cell r="AN401">
            <v>0</v>
          </cell>
          <cell r="AO401">
            <v>0</v>
          </cell>
          <cell r="AP401">
            <v>0</v>
          </cell>
          <cell r="AQ401">
            <v>0</v>
          </cell>
          <cell r="AR401">
            <v>0</v>
          </cell>
        </row>
        <row r="402">
          <cell r="M402" t="str">
            <v>1CAJ-</v>
          </cell>
          <cell r="N402" t="str">
            <v>NFGP UPGRADE  - INDIRECT ENGINEERING</v>
          </cell>
          <cell r="Q402">
            <v>0</v>
          </cell>
          <cell r="R402">
            <v>0</v>
          </cell>
          <cell r="S402">
            <v>0</v>
          </cell>
          <cell r="T402">
            <v>0</v>
          </cell>
          <cell r="U402">
            <v>0</v>
          </cell>
          <cell r="X402" t="str">
            <v>1CAAC</v>
          </cell>
          <cell r="Y402" t="str">
            <v>NFGP UPGRADE  - DIR. ENG.  CIVIL/STRUCTURAL</v>
          </cell>
          <cell r="AF402">
            <v>0</v>
          </cell>
          <cell r="AG402">
            <v>0</v>
          </cell>
          <cell r="AH402">
            <v>0</v>
          </cell>
          <cell r="AI402" t="str">
            <v>1CBAAC</v>
          </cell>
          <cell r="AJ402" t="str">
            <v>NGL-1 BOIL OFF PROPANE RECEIVER</v>
          </cell>
          <cell r="AK402">
            <v>0</v>
          </cell>
          <cell r="AL402">
            <v>0</v>
          </cell>
          <cell r="AM402">
            <v>0</v>
          </cell>
          <cell r="AN402">
            <v>0</v>
          </cell>
          <cell r="AO402">
            <v>0</v>
          </cell>
          <cell r="AP402">
            <v>0</v>
          </cell>
          <cell r="AQ402">
            <v>0</v>
          </cell>
          <cell r="AR402">
            <v>0</v>
          </cell>
        </row>
        <row r="403">
          <cell r="M403" t="str">
            <v>1CA--</v>
          </cell>
          <cell r="N403" t="str">
            <v>SUBTOTAL NFGP UPGRADE  - ENGINEERING/PROCUREMENT</v>
          </cell>
          <cell r="Q403">
            <v>0</v>
          </cell>
          <cell r="R403">
            <v>0</v>
          </cell>
          <cell r="S403">
            <v>0</v>
          </cell>
          <cell r="T403">
            <v>0</v>
          </cell>
          <cell r="U403">
            <v>0</v>
          </cell>
          <cell r="X403" t="str">
            <v>1CAAD</v>
          </cell>
          <cell r="Y403" t="str">
            <v>NFGP UPGRADE  - DIR. ENG.  MECHANICAL</v>
          </cell>
          <cell r="AF403">
            <v>0</v>
          </cell>
          <cell r="AG403">
            <v>0</v>
          </cell>
          <cell r="AH403">
            <v>0</v>
          </cell>
          <cell r="AI403" t="str">
            <v>1CBAAX</v>
          </cell>
          <cell r="AJ403" t="str">
            <v>OTHER PRESSURE VESSELS</v>
          </cell>
          <cell r="AK403">
            <v>0</v>
          </cell>
          <cell r="AL403">
            <v>0</v>
          </cell>
          <cell r="AM403">
            <v>0</v>
          </cell>
          <cell r="AN403">
            <v>0</v>
          </cell>
          <cell r="AO403">
            <v>0</v>
          </cell>
          <cell r="AP403">
            <v>0</v>
          </cell>
          <cell r="AQ403">
            <v>0</v>
          </cell>
          <cell r="AR403">
            <v>0</v>
          </cell>
        </row>
        <row r="404">
          <cell r="X404" t="str">
            <v>1CAAE</v>
          </cell>
          <cell r="Y404" t="str">
            <v>NFGP UPGRADE  - DIR. ENG.  PIPING</v>
          </cell>
          <cell r="AF404">
            <v>0</v>
          </cell>
          <cell r="AG404">
            <v>0</v>
          </cell>
          <cell r="AH404">
            <v>0</v>
          </cell>
          <cell r="AI404" t="str">
            <v>1CBAA-</v>
          </cell>
          <cell r="AJ404" t="str">
            <v>SUBTOTAL PRESSURE VESSELS</v>
          </cell>
          <cell r="AK404">
            <v>0</v>
          </cell>
          <cell r="AL404">
            <v>0</v>
          </cell>
          <cell r="AM404">
            <v>0</v>
          </cell>
          <cell r="AN404">
            <v>0</v>
          </cell>
          <cell r="AO404">
            <v>0</v>
          </cell>
          <cell r="AP404">
            <v>0</v>
          </cell>
          <cell r="AQ404">
            <v>0</v>
          </cell>
          <cell r="AR404">
            <v>0</v>
          </cell>
        </row>
        <row r="405">
          <cell r="M405" t="str">
            <v>1CBA-</v>
          </cell>
          <cell r="N405" t="str">
            <v>NFGP UPGRADE  - FAB/DELIVERY - MAJOR EQUIPMENT</v>
          </cell>
          <cell r="Q405">
            <v>0</v>
          </cell>
          <cell r="R405">
            <v>0</v>
          </cell>
          <cell r="S405">
            <v>0</v>
          </cell>
          <cell r="T405">
            <v>0</v>
          </cell>
          <cell r="U405">
            <v>0</v>
          </cell>
          <cell r="X405" t="str">
            <v>1CAAF</v>
          </cell>
          <cell r="Y405" t="str">
            <v>NFGP UPGRADE  - DIR. ENG.  ELECTRICAL</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M406" t="str">
            <v>1CBB-</v>
          </cell>
          <cell r="N406" t="str">
            <v>NFGP UPGRADE  - FAB/DELIVERY - BULKS</v>
          </cell>
          <cell r="Q406">
            <v>0</v>
          </cell>
          <cell r="R406">
            <v>0</v>
          </cell>
          <cell r="S406">
            <v>0</v>
          </cell>
          <cell r="T406">
            <v>0</v>
          </cell>
          <cell r="U406">
            <v>0</v>
          </cell>
          <cell r="X406" t="str">
            <v>1CAAG</v>
          </cell>
          <cell r="Y406" t="str">
            <v>NFGP UPGRADE  - DIR. ENG.  INSTRUMENTATION</v>
          </cell>
          <cell r="AF406">
            <v>0</v>
          </cell>
          <cell r="AG406">
            <v>0</v>
          </cell>
          <cell r="AH406">
            <v>0</v>
          </cell>
          <cell r="AI406" t="str">
            <v>1CBABA</v>
          </cell>
          <cell r="AJ406" t="str">
            <v>PREFLASH COLUMN</v>
          </cell>
          <cell r="AK406">
            <v>0</v>
          </cell>
          <cell r="AL406">
            <v>0</v>
          </cell>
          <cell r="AM406">
            <v>0</v>
          </cell>
          <cell r="AN406">
            <v>0</v>
          </cell>
          <cell r="AO406">
            <v>0</v>
          </cell>
          <cell r="AP406">
            <v>0</v>
          </cell>
          <cell r="AQ406">
            <v>0</v>
          </cell>
          <cell r="AR406">
            <v>0</v>
          </cell>
        </row>
        <row r="407">
          <cell r="M407" t="str">
            <v>1CBC-</v>
          </cell>
          <cell r="N407" t="str">
            <v>NFGP UPGRADE  - FAB/DELIVERY - ENGINEERING SPECIALTIES</v>
          </cell>
          <cell r="Q407">
            <v>0</v>
          </cell>
          <cell r="R407">
            <v>0</v>
          </cell>
          <cell r="S407">
            <v>0</v>
          </cell>
          <cell r="T407">
            <v>0</v>
          </cell>
          <cell r="U407">
            <v>0</v>
          </cell>
          <cell r="X407" t="str">
            <v>1CAAH</v>
          </cell>
          <cell r="Y407" t="str">
            <v>NFGP UPGRADE  - DIR. ENG.  ARCHITECTURAL</v>
          </cell>
          <cell r="AF407">
            <v>0</v>
          </cell>
          <cell r="AG407">
            <v>0</v>
          </cell>
          <cell r="AH407">
            <v>0</v>
          </cell>
          <cell r="AI407" t="str">
            <v>1CBABX</v>
          </cell>
          <cell r="AJ407" t="str">
            <v>OTHER COLUMNS</v>
          </cell>
          <cell r="AK407">
            <v>0</v>
          </cell>
          <cell r="AL407">
            <v>0</v>
          </cell>
          <cell r="AM407">
            <v>0</v>
          </cell>
          <cell r="AN407">
            <v>0</v>
          </cell>
          <cell r="AO407">
            <v>0</v>
          </cell>
          <cell r="AP407">
            <v>0</v>
          </cell>
          <cell r="AQ407">
            <v>0</v>
          </cell>
          <cell r="AR407">
            <v>0</v>
          </cell>
        </row>
        <row r="408">
          <cell r="M408" t="str">
            <v>1CB--</v>
          </cell>
          <cell r="N408" t="str">
            <v>SUBTOTAL NFGP UPGRADE  - FABRICATION/DELIVERY</v>
          </cell>
          <cell r="Q408">
            <v>0</v>
          </cell>
          <cell r="R408">
            <v>0</v>
          </cell>
          <cell r="S408">
            <v>0</v>
          </cell>
          <cell r="T408">
            <v>0</v>
          </cell>
          <cell r="U408">
            <v>0</v>
          </cell>
          <cell r="X408" t="str">
            <v>1CAA-</v>
          </cell>
          <cell r="Y408" t="str">
            <v>SUBTOTAL - NFGP UPGRADE  - DIRECT ENGINEERING</v>
          </cell>
          <cell r="Z408">
            <v>0</v>
          </cell>
          <cell r="AA408" t="str">
            <v>N/A</v>
          </cell>
          <cell r="AB408">
            <v>0</v>
          </cell>
          <cell r="AC408">
            <v>0</v>
          </cell>
          <cell r="AD408">
            <v>0</v>
          </cell>
          <cell r="AE408">
            <v>0</v>
          </cell>
          <cell r="AF408">
            <v>0</v>
          </cell>
          <cell r="AG408">
            <v>0</v>
          </cell>
          <cell r="AH408">
            <v>0</v>
          </cell>
          <cell r="AI408" t="str">
            <v>1CBAB</v>
          </cell>
          <cell r="AJ408" t="str">
            <v>SUBTOTAL COLUMNS</v>
          </cell>
          <cell r="AK408">
            <v>0</v>
          </cell>
          <cell r="AL408">
            <v>0</v>
          </cell>
          <cell r="AM408">
            <v>0</v>
          </cell>
          <cell r="AN408">
            <v>0</v>
          </cell>
          <cell r="AO408">
            <v>0</v>
          </cell>
          <cell r="AP408">
            <v>0</v>
          </cell>
          <cell r="AQ408">
            <v>0</v>
          </cell>
          <cell r="AR408">
            <v>0</v>
          </cell>
        </row>
        <row r="410">
          <cell r="M410" t="str">
            <v>1CCA-</v>
          </cell>
          <cell r="N410" t="str">
            <v>NFGP UPGRADE  - CONSTRUCTION - CIVIL</v>
          </cell>
          <cell r="Q410">
            <v>0</v>
          </cell>
          <cell r="R410">
            <v>0</v>
          </cell>
          <cell r="S410">
            <v>0</v>
          </cell>
          <cell r="T410">
            <v>0</v>
          </cell>
          <cell r="U410">
            <v>0</v>
          </cell>
          <cell r="X410" t="str">
            <v>1CAIA</v>
          </cell>
          <cell r="Y410" t="str">
            <v>NFGP UPGRADE  - PROCUREMENT PRESSURE VESSELS</v>
          </cell>
          <cell r="AF410">
            <v>0</v>
          </cell>
          <cell r="AG410">
            <v>0</v>
          </cell>
          <cell r="AH410">
            <v>0</v>
          </cell>
          <cell r="AI410" t="str">
            <v>1CBAEA</v>
          </cell>
          <cell r="AJ410" t="str">
            <v>PREFLASH COLUMN TRANSFER PUMPS &amp; DRIVERS</v>
          </cell>
          <cell r="AK410">
            <v>0</v>
          </cell>
          <cell r="AL410">
            <v>0</v>
          </cell>
          <cell r="AM410">
            <v>0</v>
          </cell>
          <cell r="AN410">
            <v>0</v>
          </cell>
          <cell r="AO410">
            <v>0</v>
          </cell>
          <cell r="AP410">
            <v>0</v>
          </cell>
          <cell r="AQ410">
            <v>0</v>
          </cell>
          <cell r="AR410">
            <v>0</v>
          </cell>
        </row>
        <row r="411">
          <cell r="M411" t="str">
            <v>1CCB-</v>
          </cell>
          <cell r="N411" t="str">
            <v>NFGP UPGRADE  - CONSTRUCTION - MAJOR EQUIPMENT</v>
          </cell>
          <cell r="Q411">
            <v>107266</v>
          </cell>
          <cell r="R411">
            <v>864700</v>
          </cell>
          <cell r="S411">
            <v>0</v>
          </cell>
          <cell r="T411">
            <v>0</v>
          </cell>
          <cell r="U411">
            <v>864700</v>
          </cell>
          <cell r="X411" t="str">
            <v>1CAIB</v>
          </cell>
          <cell r="Y411" t="str">
            <v>NFGP UPGRADE  - PROCUREMENT   COLUMNS</v>
          </cell>
          <cell r="AF411">
            <v>0</v>
          </cell>
          <cell r="AG411">
            <v>0</v>
          </cell>
          <cell r="AH411">
            <v>0</v>
          </cell>
          <cell r="AI411" t="str">
            <v>1CBAEB</v>
          </cell>
          <cell r="AJ411" t="str">
            <v>NGL-1 PROPANE  CHILLER PUMPS &amp; MOTORS</v>
          </cell>
          <cell r="AK411">
            <v>0</v>
          </cell>
          <cell r="AL411">
            <v>0</v>
          </cell>
          <cell r="AM411">
            <v>0</v>
          </cell>
          <cell r="AN411">
            <v>0</v>
          </cell>
          <cell r="AO411">
            <v>0</v>
          </cell>
          <cell r="AP411">
            <v>0</v>
          </cell>
          <cell r="AQ411">
            <v>0</v>
          </cell>
          <cell r="AR411">
            <v>0</v>
          </cell>
        </row>
        <row r="412">
          <cell r="M412" t="str">
            <v>1CCC-</v>
          </cell>
          <cell r="N412" t="str">
            <v>NFGP UPGRADE  - CONSTRUCTION - BULKS</v>
          </cell>
          <cell r="Q412">
            <v>0</v>
          </cell>
          <cell r="R412">
            <v>0</v>
          </cell>
          <cell r="S412">
            <v>0</v>
          </cell>
          <cell r="T412">
            <v>0</v>
          </cell>
          <cell r="U412">
            <v>0</v>
          </cell>
          <cell r="X412" t="str">
            <v>1CAIE</v>
          </cell>
          <cell r="Y412" t="str">
            <v>NFGP UPGRADE  - PROCUREMENT   PUMPS &amp; MOTORS</v>
          </cell>
          <cell r="AF412">
            <v>0</v>
          </cell>
          <cell r="AG412">
            <v>0</v>
          </cell>
          <cell r="AH412">
            <v>0</v>
          </cell>
          <cell r="AI412" t="str">
            <v>1CBAEC</v>
          </cell>
          <cell r="AJ412" t="str">
            <v>NGL-2 PROPANE  CHILLER PUMPS &amp; MOTORS</v>
          </cell>
          <cell r="AK412">
            <v>0</v>
          </cell>
          <cell r="AL412">
            <v>0</v>
          </cell>
          <cell r="AM412">
            <v>0</v>
          </cell>
          <cell r="AN412">
            <v>0</v>
          </cell>
          <cell r="AO412">
            <v>0</v>
          </cell>
          <cell r="AP412">
            <v>0</v>
          </cell>
          <cell r="AQ412">
            <v>0</v>
          </cell>
          <cell r="AR412">
            <v>0</v>
          </cell>
        </row>
        <row r="413">
          <cell r="M413" t="str">
            <v>1CCD-</v>
          </cell>
          <cell r="N413" t="str">
            <v>NFGP UPGRADE  - CONSTRUCTION - CONSTRUCTION SPECIALTIES</v>
          </cell>
          <cell r="Q413">
            <v>0</v>
          </cell>
          <cell r="R413">
            <v>0</v>
          </cell>
          <cell r="S413">
            <v>0</v>
          </cell>
          <cell r="T413">
            <v>0</v>
          </cell>
          <cell r="U413">
            <v>0</v>
          </cell>
          <cell r="X413" t="str">
            <v>1CAIF</v>
          </cell>
          <cell r="Y413" t="str">
            <v>NFGP UPGRADE  - PROCUREMENT   HEAT EXCHANGERS - S &amp; T</v>
          </cell>
          <cell r="AF413">
            <v>0</v>
          </cell>
          <cell r="AG413">
            <v>0</v>
          </cell>
          <cell r="AH413">
            <v>0</v>
          </cell>
          <cell r="AI413" t="str">
            <v>1CBAEX</v>
          </cell>
          <cell r="AJ413" t="str">
            <v>OTHER PUMPS &amp; MOTORS</v>
          </cell>
          <cell r="AK413">
            <v>0</v>
          </cell>
          <cell r="AL413">
            <v>0</v>
          </cell>
          <cell r="AM413">
            <v>0</v>
          </cell>
          <cell r="AN413">
            <v>0</v>
          </cell>
          <cell r="AO413">
            <v>0</v>
          </cell>
          <cell r="AP413">
            <v>0</v>
          </cell>
          <cell r="AQ413">
            <v>0</v>
          </cell>
          <cell r="AR413">
            <v>0</v>
          </cell>
        </row>
        <row r="414">
          <cell r="M414" t="str">
            <v>1CCE-</v>
          </cell>
          <cell r="N414" t="str">
            <v>NFGP UPGRADE  - CONSTRUCTION - OTHER DIRECT WORK</v>
          </cell>
          <cell r="Q414">
            <v>0</v>
          </cell>
          <cell r="R414">
            <v>0</v>
          </cell>
          <cell r="S414">
            <v>0</v>
          </cell>
          <cell r="T414">
            <v>0</v>
          </cell>
          <cell r="U414">
            <v>0</v>
          </cell>
          <cell r="X414" t="str">
            <v>1CAII</v>
          </cell>
          <cell r="Y414" t="str">
            <v>NFGP UPGRADE  - PROCUREMENT   COMPRESSORS &amp; DRIVERS</v>
          </cell>
          <cell r="AF414">
            <v>0</v>
          </cell>
          <cell r="AG414">
            <v>0</v>
          </cell>
          <cell r="AH414">
            <v>0</v>
          </cell>
          <cell r="AI414" t="str">
            <v>1CBAE-</v>
          </cell>
          <cell r="AJ414" t="str">
            <v>SUBTOTAL PUMPS &amp; MOTORS</v>
          </cell>
          <cell r="AK414">
            <v>0</v>
          </cell>
          <cell r="AL414">
            <v>0</v>
          </cell>
          <cell r="AM414">
            <v>0</v>
          </cell>
          <cell r="AN414">
            <v>0</v>
          </cell>
          <cell r="AO414">
            <v>0</v>
          </cell>
          <cell r="AP414">
            <v>0</v>
          </cell>
          <cell r="AQ414">
            <v>0</v>
          </cell>
          <cell r="AR414">
            <v>0</v>
          </cell>
        </row>
        <row r="415">
          <cell r="M415" t="str">
            <v>1CCF-</v>
          </cell>
          <cell r="N415" t="str">
            <v>NFGP UPGRADE  - CONSTRUCTION - INDIRECTS</v>
          </cell>
          <cell r="Q415">
            <v>0</v>
          </cell>
          <cell r="R415">
            <v>0</v>
          </cell>
          <cell r="S415">
            <v>0</v>
          </cell>
          <cell r="T415">
            <v>0</v>
          </cell>
          <cell r="U415">
            <v>0</v>
          </cell>
          <cell r="X415" t="str">
            <v>1CAIR</v>
          </cell>
          <cell r="Y415" t="str">
            <v>NFGP UPGRADE  - PROCUREMENT   ELECTRICAL EQUIPMENT</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M416" t="str">
            <v>1CC--</v>
          </cell>
          <cell r="N416" t="str">
            <v>SUBTOTAL NFGP UPGRADE  - CONSTRUCTION</v>
          </cell>
          <cell r="Q416">
            <v>107266</v>
          </cell>
          <cell r="R416">
            <v>864700</v>
          </cell>
          <cell r="S416">
            <v>0</v>
          </cell>
          <cell r="T416">
            <v>0</v>
          </cell>
          <cell r="U416">
            <v>864700</v>
          </cell>
          <cell r="X416" t="str">
            <v>1CAIS</v>
          </cell>
          <cell r="Y416" t="str">
            <v>NFGP UPGRADE  - PROCUREMENT   INSTRUMENTATION EQUIPMENT</v>
          </cell>
          <cell r="AF416">
            <v>0</v>
          </cell>
          <cell r="AG416">
            <v>0</v>
          </cell>
          <cell r="AH416">
            <v>0</v>
          </cell>
          <cell r="AI416" t="str">
            <v>1CBAFA</v>
          </cell>
          <cell r="AJ416" t="str">
            <v>HOT INLET GAS/GAS EXCHANGERS</v>
          </cell>
          <cell r="AK416">
            <v>0</v>
          </cell>
          <cell r="AL416">
            <v>0</v>
          </cell>
          <cell r="AM416">
            <v>0</v>
          </cell>
          <cell r="AN416">
            <v>0</v>
          </cell>
          <cell r="AO416">
            <v>0</v>
          </cell>
          <cell r="AP416">
            <v>0</v>
          </cell>
          <cell r="AQ416">
            <v>0</v>
          </cell>
          <cell r="AR416">
            <v>0</v>
          </cell>
        </row>
        <row r="417">
          <cell r="X417" t="str">
            <v>1CAIT</v>
          </cell>
          <cell r="Y417" t="str">
            <v>NFGP UPGRADE  - PROCUREMENT   BULKS</v>
          </cell>
          <cell r="AF417">
            <v>0</v>
          </cell>
          <cell r="AG417">
            <v>0</v>
          </cell>
          <cell r="AH417">
            <v>0</v>
          </cell>
          <cell r="AI417" t="str">
            <v>1CBAFB</v>
          </cell>
          <cell r="AJ417" t="str">
            <v>COOL INLET GAS/GAS EXCHANGERS</v>
          </cell>
          <cell r="AK417">
            <v>0</v>
          </cell>
          <cell r="AL417">
            <v>0</v>
          </cell>
          <cell r="AM417">
            <v>0</v>
          </cell>
          <cell r="AN417">
            <v>0</v>
          </cell>
          <cell r="AO417">
            <v>0</v>
          </cell>
          <cell r="AP417">
            <v>0</v>
          </cell>
          <cell r="AQ417">
            <v>0</v>
          </cell>
          <cell r="AR417">
            <v>0</v>
          </cell>
        </row>
        <row r="418">
          <cell r="M418" t="str">
            <v>1CDA-</v>
          </cell>
          <cell r="N418" t="str">
            <v>NFGP UPGRADE  - COMMISSIONING</v>
          </cell>
          <cell r="Q418">
            <v>0</v>
          </cell>
          <cell r="R418">
            <v>0</v>
          </cell>
          <cell r="S418">
            <v>0</v>
          </cell>
          <cell r="T418">
            <v>0</v>
          </cell>
          <cell r="U418">
            <v>0</v>
          </cell>
          <cell r="X418" t="str">
            <v>1CAIX</v>
          </cell>
          <cell r="Y418" t="str">
            <v>NFGP UPGRADE  - PROCUREMENT   OTHER</v>
          </cell>
          <cell r="AF418">
            <v>0</v>
          </cell>
          <cell r="AG418">
            <v>0</v>
          </cell>
          <cell r="AH418">
            <v>0</v>
          </cell>
          <cell r="AI418" t="str">
            <v>1CBAFC</v>
          </cell>
          <cell r="AJ418" t="str">
            <v>PREFLASH COLUMN REBOILER</v>
          </cell>
          <cell r="AK418">
            <v>0</v>
          </cell>
          <cell r="AL418">
            <v>0</v>
          </cell>
          <cell r="AM418">
            <v>0</v>
          </cell>
          <cell r="AN418">
            <v>0</v>
          </cell>
          <cell r="AO418">
            <v>0</v>
          </cell>
          <cell r="AP418">
            <v>0</v>
          </cell>
          <cell r="AQ418">
            <v>0</v>
          </cell>
          <cell r="AR418">
            <v>0</v>
          </cell>
        </row>
        <row r="419">
          <cell r="M419" t="str">
            <v>1CDB-</v>
          </cell>
          <cell r="N419" t="str">
            <v>NFGP UPGRADE  -PERFORMANCE TEST</v>
          </cell>
          <cell r="Q419">
            <v>0</v>
          </cell>
          <cell r="R419">
            <v>0</v>
          </cell>
          <cell r="S419">
            <v>0</v>
          </cell>
          <cell r="T419">
            <v>0</v>
          </cell>
          <cell r="U419">
            <v>0</v>
          </cell>
          <cell r="X419" t="str">
            <v>1CAI-</v>
          </cell>
          <cell r="Y419" t="str">
            <v>SUBTOTAL - NFGP UPGRADE  - PROCUREMENT</v>
          </cell>
          <cell r="Z419">
            <v>0</v>
          </cell>
          <cell r="AA419" t="str">
            <v>N/A</v>
          </cell>
          <cell r="AB419">
            <v>0</v>
          </cell>
          <cell r="AC419">
            <v>0</v>
          </cell>
          <cell r="AD419">
            <v>0</v>
          </cell>
          <cell r="AE419">
            <v>0</v>
          </cell>
          <cell r="AF419">
            <v>0</v>
          </cell>
          <cell r="AG419">
            <v>0</v>
          </cell>
          <cell r="AH419">
            <v>0</v>
          </cell>
          <cell r="AI419" t="str">
            <v>1CBAFD</v>
          </cell>
          <cell r="AJ419" t="str">
            <v>PREFLASH COLUMN SIDE REBOILER</v>
          </cell>
          <cell r="AK419">
            <v>0</v>
          </cell>
          <cell r="AL419">
            <v>0</v>
          </cell>
          <cell r="AM419">
            <v>0</v>
          </cell>
          <cell r="AN419">
            <v>0</v>
          </cell>
          <cell r="AO419">
            <v>0</v>
          </cell>
          <cell r="AP419">
            <v>0</v>
          </cell>
          <cell r="AQ419">
            <v>0</v>
          </cell>
          <cell r="AR419">
            <v>0</v>
          </cell>
        </row>
        <row r="420">
          <cell r="M420" t="str">
            <v>1CD--</v>
          </cell>
          <cell r="N420" t="str">
            <v>SUBTOTAL NFGP UPGRADE  - COMM'G, PERFORMANCE TEST</v>
          </cell>
          <cell r="Q420">
            <v>0</v>
          </cell>
          <cell r="R420">
            <v>0</v>
          </cell>
          <cell r="S420">
            <v>0</v>
          </cell>
          <cell r="T420">
            <v>0</v>
          </cell>
          <cell r="U420">
            <v>0</v>
          </cell>
          <cell r="AI420" t="str">
            <v>1CBAFE</v>
          </cell>
          <cell r="AJ420" t="str">
            <v>INLET (PROPANE) GAS CHILLER</v>
          </cell>
          <cell r="AQ420">
            <v>0</v>
          </cell>
        </row>
        <row r="421">
          <cell r="X421" t="str">
            <v>1CAJA</v>
          </cell>
          <cell r="Y421" t="str">
            <v>NFGP UPGRADE  - INDIRECT ENG'G CONTRACTS</v>
          </cell>
          <cell r="AF421">
            <v>0</v>
          </cell>
          <cell r="AG421">
            <v>0</v>
          </cell>
          <cell r="AH421">
            <v>0</v>
          </cell>
          <cell r="AI421" t="str">
            <v>1CBAFF</v>
          </cell>
          <cell r="AJ421" t="str">
            <v>NGL-1 PROPANE BOIL-OFF CONDENSER</v>
          </cell>
          <cell r="AK421">
            <v>0</v>
          </cell>
          <cell r="AL421">
            <v>0</v>
          </cell>
          <cell r="AM421">
            <v>0</v>
          </cell>
          <cell r="AN421">
            <v>0</v>
          </cell>
          <cell r="AO421">
            <v>0</v>
          </cell>
          <cell r="AP421">
            <v>0</v>
          </cell>
          <cell r="AQ421">
            <v>0</v>
          </cell>
          <cell r="AR421">
            <v>0</v>
          </cell>
        </row>
        <row r="422">
          <cell r="X422" t="str">
            <v>1CAJB</v>
          </cell>
          <cell r="Y422" t="str">
            <v>NFGP UPGRADE  - INDIRECT ENG'G PROJECT MANAGEMENT</v>
          </cell>
          <cell r="AF422">
            <v>0</v>
          </cell>
          <cell r="AG422">
            <v>0</v>
          </cell>
          <cell r="AH422">
            <v>0</v>
          </cell>
          <cell r="AI422" t="str">
            <v>1CBAFG</v>
          </cell>
          <cell r="AJ422" t="str">
            <v>NGL-2 PROPANE BOIL-OFF CONDENSER</v>
          </cell>
          <cell r="AK422">
            <v>0</v>
          </cell>
          <cell r="AL422">
            <v>0</v>
          </cell>
          <cell r="AM422">
            <v>0</v>
          </cell>
          <cell r="AN422">
            <v>0</v>
          </cell>
          <cell r="AO422">
            <v>0</v>
          </cell>
          <cell r="AP422">
            <v>0</v>
          </cell>
          <cell r="AQ422">
            <v>0</v>
          </cell>
          <cell r="AR422">
            <v>0</v>
          </cell>
        </row>
        <row r="423">
          <cell r="X423" t="str">
            <v>1CAJC</v>
          </cell>
          <cell r="Y423" t="str">
            <v>NFGP UPGRADE  - INDIRECT ENG'G ENGINEERING/NON-TECH</v>
          </cell>
          <cell r="AF423">
            <v>0</v>
          </cell>
          <cell r="AG423">
            <v>0</v>
          </cell>
          <cell r="AH423">
            <v>0</v>
          </cell>
          <cell r="AI423" t="str">
            <v>1CBAFX</v>
          </cell>
          <cell r="AJ423" t="str">
            <v>OTHER HEAT EXCHANGERS - SHELL &amp; TUBE</v>
          </cell>
          <cell r="AK423">
            <v>0</v>
          </cell>
          <cell r="AL423">
            <v>0</v>
          </cell>
          <cell r="AM423">
            <v>0</v>
          </cell>
          <cell r="AN423">
            <v>0</v>
          </cell>
          <cell r="AO423">
            <v>0</v>
          </cell>
          <cell r="AP423">
            <v>0</v>
          </cell>
          <cell r="AQ423">
            <v>0</v>
          </cell>
          <cell r="AR423">
            <v>0</v>
          </cell>
        </row>
        <row r="424">
          <cell r="X424" t="str">
            <v>1CAJX</v>
          </cell>
          <cell r="Y424" t="str">
            <v>NFGP UPGRADE  - INDIRECT ENG'G OTHER</v>
          </cell>
          <cell r="AF424">
            <v>0</v>
          </cell>
          <cell r="AG424">
            <v>0</v>
          </cell>
          <cell r="AH424">
            <v>0</v>
          </cell>
          <cell r="AI424" t="str">
            <v>1CBAF-</v>
          </cell>
          <cell r="AJ424" t="str">
            <v>SUBTOTAL HEAT EXCHANGERS - SHELL &amp; TUBE</v>
          </cell>
          <cell r="AK424">
            <v>0</v>
          </cell>
          <cell r="AL424">
            <v>0</v>
          </cell>
          <cell r="AM424">
            <v>0</v>
          </cell>
          <cell r="AN424">
            <v>0</v>
          </cell>
          <cell r="AO424">
            <v>0</v>
          </cell>
          <cell r="AP424">
            <v>0</v>
          </cell>
          <cell r="AQ424">
            <v>0</v>
          </cell>
          <cell r="AR424">
            <v>0</v>
          </cell>
        </row>
        <row r="425">
          <cell r="X425" t="str">
            <v>1CAJ-</v>
          </cell>
          <cell r="Y425" t="str">
            <v>SUBTOTAL - NFGP UPGRADE  - INDIRECT ENGINEERING</v>
          </cell>
          <cell r="Z425">
            <v>0</v>
          </cell>
          <cell r="AA425" t="str">
            <v>N/A</v>
          </cell>
          <cell r="AB425">
            <v>0</v>
          </cell>
          <cell r="AC425">
            <v>0</v>
          </cell>
          <cell r="AD425">
            <v>0</v>
          </cell>
          <cell r="AE425">
            <v>0</v>
          </cell>
          <cell r="AF425">
            <v>0</v>
          </cell>
        </row>
        <row r="426">
          <cell r="AI426" t="str">
            <v>1CBAIA</v>
          </cell>
          <cell r="AJ426" t="str">
            <v>MODIFICATION OF TURBO EXPANDER, COMPRESSOR AND GAS TURBINE</v>
          </cell>
          <cell r="AQ426">
            <v>0</v>
          </cell>
        </row>
        <row r="427">
          <cell r="AI427" t="str">
            <v>1CBAIB</v>
          </cell>
          <cell r="AJ427" t="str">
            <v>MODIFICATION OF NGL-1 REFRIGERANT COMPRESSOR</v>
          </cell>
          <cell r="AQ427">
            <v>0</v>
          </cell>
        </row>
        <row r="428">
          <cell r="AI428" t="str">
            <v>1CBAIC</v>
          </cell>
          <cell r="AJ428" t="str">
            <v>MODIFICATION OF BOOSTER COMPRESSOR</v>
          </cell>
          <cell r="AQ428">
            <v>0</v>
          </cell>
        </row>
        <row r="429">
          <cell r="AI429" t="str">
            <v>1CBAID</v>
          </cell>
          <cell r="AJ429" t="str">
            <v>DRY GAS SEALS MODIFICATION IN BOOSTER COMPRESSOR</v>
          </cell>
          <cell r="AQ429">
            <v>0</v>
          </cell>
        </row>
        <row r="430">
          <cell r="AI430" t="str">
            <v>1CBAIX</v>
          </cell>
          <cell r="AJ430" t="str">
            <v>OTHER  COMPRESSORS &amp; DRIVERS</v>
          </cell>
          <cell r="AQ430">
            <v>0</v>
          </cell>
        </row>
        <row r="431">
          <cell r="AI431" t="str">
            <v>1CBAI</v>
          </cell>
          <cell r="AJ431" t="str">
            <v>SUBTOTAL - COMPRESSORS &amp; DRIVERS</v>
          </cell>
          <cell r="AK431">
            <v>0</v>
          </cell>
          <cell r="AL431">
            <v>0</v>
          </cell>
          <cell r="AM431">
            <v>0</v>
          </cell>
          <cell r="AN431">
            <v>0</v>
          </cell>
          <cell r="AO431">
            <v>0</v>
          </cell>
          <cell r="AP431">
            <v>0</v>
          </cell>
          <cell r="AQ431">
            <v>0</v>
          </cell>
        </row>
        <row r="442">
          <cell r="W442" t="str">
            <v>LEVEL 2 NFGP UPGRADE PG.2</v>
          </cell>
          <cell r="X442" t="str">
            <v>WBS CODE</v>
          </cell>
          <cell r="Y442" t="str">
            <v>DESCRIPTION</v>
          </cell>
          <cell r="Z442" t="str">
            <v>QUANTITY</v>
          </cell>
          <cell r="AA442" t="str">
            <v>UNITS</v>
          </cell>
          <cell r="AB442" t="str">
            <v>TOTAL MANHOURS</v>
          </cell>
          <cell r="AC442" t="str">
            <v>TOTAL LABOR COST</v>
          </cell>
          <cell r="AD442" t="str">
            <v>TOTAL MAT'L COST</v>
          </cell>
          <cell r="AE442" t="str">
            <v>TOTAL S/C COST</v>
          </cell>
          <cell r="AF442" t="str">
            <v>TOTAL COST</v>
          </cell>
          <cell r="AH442" t="str">
            <v>LEVEL 3 NFGP UPGRADE PG 2</v>
          </cell>
          <cell r="AI442" t="str">
            <v>WBS CODE</v>
          </cell>
          <cell r="AJ442" t="str">
            <v>DESCRIPTION</v>
          </cell>
          <cell r="AK442" t="str">
            <v>QUANTITY</v>
          </cell>
          <cell r="AL442" t="str">
            <v>UNITS</v>
          </cell>
          <cell r="AM442" t="str">
            <v>TOTAL MANHOURS</v>
          </cell>
          <cell r="AN442" t="str">
            <v>TOTAL LABOR COST</v>
          </cell>
          <cell r="AO442" t="str">
            <v>TOTAL MAT'L COST</v>
          </cell>
          <cell r="AP442" t="str">
            <v>TOTAL S/C COST</v>
          </cell>
          <cell r="AQ442" t="str">
            <v>TOTAL COST</v>
          </cell>
        </row>
        <row r="444">
          <cell r="X444" t="str">
            <v>1CBAA</v>
          </cell>
          <cell r="Y444" t="str">
            <v>NFGP UPGRADE  - FAB/DELIVERY MAJOR EQUIP PRESSURE VESSELS</v>
          </cell>
          <cell r="Z444">
            <v>0</v>
          </cell>
          <cell r="AA444">
            <v>0</v>
          </cell>
          <cell r="AB444">
            <v>0</v>
          </cell>
          <cell r="AC444">
            <v>0</v>
          </cell>
          <cell r="AD444">
            <v>0</v>
          </cell>
          <cell r="AE444">
            <v>0</v>
          </cell>
          <cell r="AF444">
            <v>0</v>
          </cell>
          <cell r="AI444" t="str">
            <v>1CBARA</v>
          </cell>
          <cell r="AJ444" t="str">
            <v>SWITCHGEAR</v>
          </cell>
          <cell r="AQ444">
            <v>0</v>
          </cell>
        </row>
        <row r="445">
          <cell r="X445" t="str">
            <v>1CBAB</v>
          </cell>
          <cell r="Y445" t="str">
            <v>NFGP UPGRADE  - FAB/DELIVERY MAJOR EQUIP COLUMNS</v>
          </cell>
          <cell r="Z445">
            <v>0</v>
          </cell>
          <cell r="AA445">
            <v>0</v>
          </cell>
          <cell r="AB445">
            <v>0</v>
          </cell>
          <cell r="AC445">
            <v>0</v>
          </cell>
          <cell r="AD445">
            <v>0</v>
          </cell>
          <cell r="AE445">
            <v>0</v>
          </cell>
          <cell r="AF445">
            <v>0</v>
          </cell>
          <cell r="AI445" t="str">
            <v>1CBARB</v>
          </cell>
          <cell r="AJ445" t="str">
            <v>TRANSFORMERS</v>
          </cell>
          <cell r="AQ445">
            <v>0</v>
          </cell>
        </row>
        <row r="446">
          <cell r="X446" t="str">
            <v>1CBAE</v>
          </cell>
          <cell r="Y446" t="str">
            <v>NFGP UPGRADE  - FAB/DELIVERY MAJOR EQUIP PUMPS &amp; MOTORS</v>
          </cell>
          <cell r="Z446">
            <v>0</v>
          </cell>
          <cell r="AA446">
            <v>0</v>
          </cell>
          <cell r="AB446">
            <v>0</v>
          </cell>
          <cell r="AC446">
            <v>0</v>
          </cell>
          <cell r="AD446">
            <v>0</v>
          </cell>
          <cell r="AE446">
            <v>0</v>
          </cell>
          <cell r="AF446">
            <v>0</v>
          </cell>
          <cell r="AI446" t="str">
            <v>1CBARC</v>
          </cell>
          <cell r="AJ446" t="str">
            <v>MCC'S</v>
          </cell>
          <cell r="AQ446">
            <v>0</v>
          </cell>
        </row>
        <row r="447">
          <cell r="X447" t="str">
            <v>1CBAF</v>
          </cell>
          <cell r="Y447" t="str">
            <v>NFGP UPGRADE  - FAB/DELIVERY MAJOR EQUIP HEAT EXCHANGERS S&amp;T</v>
          </cell>
          <cell r="Z447">
            <v>0</v>
          </cell>
          <cell r="AA447">
            <v>0</v>
          </cell>
          <cell r="AB447">
            <v>0</v>
          </cell>
          <cell r="AC447">
            <v>0</v>
          </cell>
          <cell r="AD447">
            <v>0</v>
          </cell>
          <cell r="AE447">
            <v>0</v>
          </cell>
          <cell r="AF447">
            <v>0</v>
          </cell>
          <cell r="AI447" t="str">
            <v>1CBARD</v>
          </cell>
          <cell r="AJ447" t="str">
            <v>UPS</v>
          </cell>
          <cell r="AQ447">
            <v>0</v>
          </cell>
        </row>
        <row r="448">
          <cell r="X448" t="str">
            <v>1CBAI</v>
          </cell>
          <cell r="Y448" t="str">
            <v>NFGP UPGRADE  - FAB/DELIVERY MAJOR EQUIP COMPRESSORS &amp; DRIVERS</v>
          </cell>
          <cell r="Z448">
            <v>0</v>
          </cell>
          <cell r="AA448">
            <v>0</v>
          </cell>
          <cell r="AB448">
            <v>0</v>
          </cell>
          <cell r="AC448">
            <v>0</v>
          </cell>
          <cell r="AD448">
            <v>0</v>
          </cell>
          <cell r="AE448">
            <v>0</v>
          </cell>
          <cell r="AF448">
            <v>0</v>
          </cell>
          <cell r="AI448" t="str">
            <v>1CBARX</v>
          </cell>
          <cell r="AJ448" t="str">
            <v>OTHER ELECTRICAL EQUIPMENT</v>
          </cell>
          <cell r="AQ448">
            <v>0</v>
          </cell>
        </row>
        <row r="449">
          <cell r="X449" t="str">
            <v>1CBAR</v>
          </cell>
          <cell r="Y449" t="str">
            <v>NFGP UPGRADE  - FAB/DELIVERY MAJOR EQUIP ELECTRICAL EQUIPMENT</v>
          </cell>
          <cell r="Z449">
            <v>0</v>
          </cell>
          <cell r="AA449">
            <v>0</v>
          </cell>
          <cell r="AB449">
            <v>0</v>
          </cell>
          <cell r="AC449">
            <v>0</v>
          </cell>
          <cell r="AD449">
            <v>0</v>
          </cell>
          <cell r="AE449">
            <v>0</v>
          </cell>
          <cell r="AF449">
            <v>0</v>
          </cell>
          <cell r="AI449" t="str">
            <v>1CBAR-</v>
          </cell>
          <cell r="AJ449" t="str">
            <v>SUBTOTAL ELECTRICAL EQUIPMENT</v>
          </cell>
          <cell r="AK449">
            <v>0</v>
          </cell>
          <cell r="AL449">
            <v>0</v>
          </cell>
          <cell r="AM449">
            <v>0</v>
          </cell>
          <cell r="AN449">
            <v>0</v>
          </cell>
          <cell r="AO449">
            <v>0</v>
          </cell>
          <cell r="AP449">
            <v>0</v>
          </cell>
          <cell r="AQ449">
            <v>0</v>
          </cell>
        </row>
        <row r="450">
          <cell r="X450" t="str">
            <v>1CBAS</v>
          </cell>
          <cell r="Y450" t="str">
            <v>NFGP UPGRADE  - FAB/DELIVERY MAJOR EQUIP INSTRUMENTATION EQUIPMENT</v>
          </cell>
          <cell r="Z450">
            <v>0</v>
          </cell>
          <cell r="AA450">
            <v>0</v>
          </cell>
          <cell r="AB450">
            <v>0</v>
          </cell>
          <cell r="AC450">
            <v>0</v>
          </cell>
          <cell r="AD450">
            <v>0</v>
          </cell>
          <cell r="AE450">
            <v>0</v>
          </cell>
          <cell r="AF450">
            <v>0</v>
          </cell>
        </row>
        <row r="451">
          <cell r="X451" t="str">
            <v>1CBAX</v>
          </cell>
          <cell r="Y451" t="str">
            <v>NFGP UPGRADE  - FAB/DELIVERY MAJOR EQUIP OTHER</v>
          </cell>
          <cell r="Z451">
            <v>0</v>
          </cell>
          <cell r="AA451">
            <v>0</v>
          </cell>
          <cell r="AB451">
            <v>0</v>
          </cell>
          <cell r="AC451">
            <v>0</v>
          </cell>
          <cell r="AD451">
            <v>0</v>
          </cell>
          <cell r="AE451">
            <v>0</v>
          </cell>
          <cell r="AF451">
            <v>0</v>
          </cell>
          <cell r="AI451" t="str">
            <v>1CBASA</v>
          </cell>
          <cell r="AJ451" t="str">
            <v>DCS, ESD, AND F&amp;G</v>
          </cell>
          <cell r="AQ451">
            <v>0</v>
          </cell>
        </row>
        <row r="452">
          <cell r="X452" t="str">
            <v>1CBA-</v>
          </cell>
          <cell r="Y452" t="str">
            <v>SUBTOTAL - NFGP UPGRADE  - FAB/DELIVERY MAJOR EQUIP.</v>
          </cell>
          <cell r="Z452">
            <v>0</v>
          </cell>
          <cell r="AA452" t="str">
            <v>N/A</v>
          </cell>
          <cell r="AB452">
            <v>0</v>
          </cell>
          <cell r="AC452">
            <v>0</v>
          </cell>
          <cell r="AD452">
            <v>0</v>
          </cell>
          <cell r="AE452">
            <v>0</v>
          </cell>
          <cell r="AF452">
            <v>0</v>
          </cell>
          <cell r="AI452" t="str">
            <v>1CBASB</v>
          </cell>
          <cell r="AJ452" t="str">
            <v>FIELD INSTRUMENTATION</v>
          </cell>
          <cell r="AQ452">
            <v>0</v>
          </cell>
        </row>
        <row r="453">
          <cell r="AI453" t="str">
            <v>1CBASC</v>
          </cell>
          <cell r="AJ453" t="str">
            <v>CONTROL VALVES, RELIEF VALVES</v>
          </cell>
          <cell r="AQ453">
            <v>0</v>
          </cell>
        </row>
        <row r="454">
          <cell r="X454" t="str">
            <v>1CBBA</v>
          </cell>
          <cell r="Y454" t="str">
            <v>NFGP UPGRADE  - FAB/DELIVERY BULKS - IMBEDS</v>
          </cell>
          <cell r="AF454">
            <v>0</v>
          </cell>
          <cell r="AG454">
            <v>0</v>
          </cell>
          <cell r="AH454">
            <v>0</v>
          </cell>
          <cell r="AI454" t="str">
            <v>1CBASD</v>
          </cell>
          <cell r="AJ454" t="str">
            <v>SHUTDOWN/BLOWDOWN VALVES</v>
          </cell>
          <cell r="AK454">
            <v>0</v>
          </cell>
          <cell r="AL454">
            <v>0</v>
          </cell>
          <cell r="AM454">
            <v>0</v>
          </cell>
          <cell r="AN454">
            <v>0</v>
          </cell>
          <cell r="AO454">
            <v>0</v>
          </cell>
          <cell r="AP454">
            <v>0</v>
          </cell>
          <cell r="AQ454">
            <v>0</v>
          </cell>
          <cell r="AR454">
            <v>0</v>
          </cell>
        </row>
        <row r="455">
          <cell r="X455" t="str">
            <v>1CBBB</v>
          </cell>
          <cell r="Y455" t="str">
            <v>NFGP UPGRADE  - FAB/DELIVERY BULKS - STRUCTURAL</v>
          </cell>
          <cell r="AF455">
            <v>0</v>
          </cell>
          <cell r="AG455">
            <v>0</v>
          </cell>
          <cell r="AH455">
            <v>0</v>
          </cell>
          <cell r="AI455" t="str">
            <v>1CBASE</v>
          </cell>
          <cell r="AJ455" t="str">
            <v>CCTV AND TELECOMMUNICATION SYSTEM</v>
          </cell>
          <cell r="AK455">
            <v>0</v>
          </cell>
          <cell r="AL455">
            <v>0</v>
          </cell>
          <cell r="AM455">
            <v>0</v>
          </cell>
          <cell r="AN455">
            <v>0</v>
          </cell>
          <cell r="AO455">
            <v>0</v>
          </cell>
          <cell r="AP455">
            <v>0</v>
          </cell>
          <cell r="AQ455">
            <v>0</v>
          </cell>
          <cell r="AR455">
            <v>0</v>
          </cell>
        </row>
        <row r="456">
          <cell r="X456" t="str">
            <v>1CBBC</v>
          </cell>
          <cell r="Y456" t="str">
            <v>NFGP UPGRADE  - FAB/DELIVERY BULKS - PIPING &amp; VALVES</v>
          </cell>
          <cell r="Z456">
            <v>0</v>
          </cell>
          <cell r="AA456">
            <v>0</v>
          </cell>
          <cell r="AB456">
            <v>0</v>
          </cell>
          <cell r="AC456">
            <v>0</v>
          </cell>
          <cell r="AD456">
            <v>0</v>
          </cell>
          <cell r="AE456">
            <v>0</v>
          </cell>
          <cell r="AF456">
            <v>0</v>
          </cell>
          <cell r="AI456" t="str">
            <v>1CBASX</v>
          </cell>
          <cell r="AJ456" t="str">
            <v>OTHER INSTRUMENTATION EQUIPMENT</v>
          </cell>
          <cell r="AQ456">
            <v>0</v>
          </cell>
        </row>
        <row r="457">
          <cell r="X457" t="str">
            <v>1CBBD</v>
          </cell>
          <cell r="Y457" t="str">
            <v>NFGP UPGRADE  - FAB/DELIVERY BULKS - ELECTRICAL</v>
          </cell>
          <cell r="Z457">
            <v>0</v>
          </cell>
          <cell r="AA457">
            <v>0</v>
          </cell>
          <cell r="AB457">
            <v>0</v>
          </cell>
          <cell r="AC457">
            <v>0</v>
          </cell>
          <cell r="AD457">
            <v>0</v>
          </cell>
          <cell r="AE457">
            <v>0</v>
          </cell>
          <cell r="AF457">
            <v>0</v>
          </cell>
          <cell r="AI457" t="str">
            <v>1CBAS-</v>
          </cell>
          <cell r="AJ457" t="str">
            <v>SUBTOTAL INSTRUMENTATION EQUIPMENT</v>
          </cell>
          <cell r="AK457">
            <v>0</v>
          </cell>
          <cell r="AL457">
            <v>0</v>
          </cell>
          <cell r="AM457">
            <v>0</v>
          </cell>
          <cell r="AN457">
            <v>0</v>
          </cell>
          <cell r="AO457">
            <v>0</v>
          </cell>
          <cell r="AP457">
            <v>0</v>
          </cell>
          <cell r="AQ457">
            <v>0</v>
          </cell>
        </row>
        <row r="458">
          <cell r="X458" t="str">
            <v>1CBBE</v>
          </cell>
          <cell r="Y458" t="str">
            <v>NFGP UPGRADE  - FAB/DELIVERY BULKS - INSTRUMENTATION</v>
          </cell>
          <cell r="Z458">
            <v>0</v>
          </cell>
          <cell r="AA458">
            <v>0</v>
          </cell>
          <cell r="AB458">
            <v>0</v>
          </cell>
          <cell r="AC458">
            <v>0</v>
          </cell>
          <cell r="AD458">
            <v>0</v>
          </cell>
          <cell r="AE458">
            <v>0</v>
          </cell>
          <cell r="AF458">
            <v>0</v>
          </cell>
        </row>
        <row r="459">
          <cell r="X459" t="str">
            <v>1CBB-</v>
          </cell>
          <cell r="Y459" t="str">
            <v>SUBTOTAL - NFGP UPGRADE  - FAB/DELIVERY BULKS</v>
          </cell>
          <cell r="Z459">
            <v>0</v>
          </cell>
          <cell r="AA459" t="str">
            <v>N/A</v>
          </cell>
          <cell r="AB459">
            <v>0</v>
          </cell>
          <cell r="AC459">
            <v>0</v>
          </cell>
          <cell r="AD459">
            <v>0</v>
          </cell>
          <cell r="AE459">
            <v>0</v>
          </cell>
          <cell r="AF459">
            <v>0</v>
          </cell>
          <cell r="AI459" t="str">
            <v>1CBAXA</v>
          </cell>
          <cell r="AJ459" t="str">
            <v>SPECIFY EQUIPMENT</v>
          </cell>
          <cell r="AQ459">
            <v>0</v>
          </cell>
        </row>
        <row r="460">
          <cell r="AI460" t="str">
            <v>1CBAXX</v>
          </cell>
          <cell r="AJ460" t="str">
            <v>OTHER EQUIPMENT</v>
          </cell>
          <cell r="AQ460">
            <v>0</v>
          </cell>
        </row>
        <row r="461">
          <cell r="X461" t="str">
            <v>1CBCA</v>
          </cell>
          <cell r="Y461" t="str">
            <v>NFGP UPGRADE  - FAB/DELIVERY ENG. SPECIALTIES - BUILDINGS</v>
          </cell>
          <cell r="AF461">
            <v>0</v>
          </cell>
          <cell r="AG461">
            <v>0</v>
          </cell>
          <cell r="AH461">
            <v>0</v>
          </cell>
          <cell r="AI461" t="str">
            <v>1CBAX-</v>
          </cell>
          <cell r="AJ461" t="str">
            <v>SUBTOTAL OTHER EQUIPMENT</v>
          </cell>
          <cell r="AK461">
            <v>0</v>
          </cell>
          <cell r="AL461">
            <v>0</v>
          </cell>
          <cell r="AM461">
            <v>0</v>
          </cell>
          <cell r="AN461">
            <v>0</v>
          </cell>
          <cell r="AO461">
            <v>0</v>
          </cell>
          <cell r="AP461">
            <v>0</v>
          </cell>
          <cell r="AQ461">
            <v>0</v>
          </cell>
          <cell r="AR461">
            <v>0</v>
          </cell>
        </row>
        <row r="462">
          <cell r="X462" t="str">
            <v>1CBCB</v>
          </cell>
          <cell r="Y462" t="str">
            <v>NFGP UPGRADE  - FAB/DELIVERY ENG. SPECIALTIES - GENERAL</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X463" t="str">
            <v>1CBC-</v>
          </cell>
          <cell r="Y463" t="str">
            <v>SUBTOTAL - NFGP UPGRADE  - FAB/DEL. ENGINEERING SPECIALTIES</v>
          </cell>
          <cell r="Z463">
            <v>0</v>
          </cell>
          <cell r="AA463" t="str">
            <v>N/A</v>
          </cell>
          <cell r="AB463">
            <v>0</v>
          </cell>
          <cell r="AC463">
            <v>0</v>
          </cell>
          <cell r="AD463">
            <v>0</v>
          </cell>
          <cell r="AE463">
            <v>0</v>
          </cell>
          <cell r="AF463">
            <v>0</v>
          </cell>
          <cell r="AI463" t="str">
            <v>1CBBCA</v>
          </cell>
          <cell r="AJ463" t="str">
            <v>PIPING &amp; FITTING MATERIAL - CARBON STEEL</v>
          </cell>
          <cell r="AQ463">
            <v>0</v>
          </cell>
        </row>
        <row r="464">
          <cell r="AI464" t="str">
            <v>1CBBCB</v>
          </cell>
          <cell r="AJ464" t="str">
            <v>PIPING VALVES - CARBON STEEL</v>
          </cell>
          <cell r="AQ464">
            <v>0</v>
          </cell>
        </row>
        <row r="465">
          <cell r="AI465" t="str">
            <v>1CBBCC</v>
          </cell>
          <cell r="AJ465" t="str">
            <v>PIPING &amp; FITTING MATERIAL - LOW TEMERATURE CARBON STEEL</v>
          </cell>
          <cell r="AQ465">
            <v>0</v>
          </cell>
        </row>
        <row r="466">
          <cell r="AI466" t="str">
            <v>1CBBCD</v>
          </cell>
          <cell r="AJ466" t="str">
            <v>PIPING VALVES - LOW TEMERATURE CARBON STEEL</v>
          </cell>
          <cell r="AQ466">
            <v>0</v>
          </cell>
        </row>
        <row r="467">
          <cell r="AI467" t="str">
            <v>1CBBCE</v>
          </cell>
          <cell r="AJ467" t="str">
            <v>PIPING &amp; FITTING MATERIAL - CARBON STEEL NACE</v>
          </cell>
          <cell r="AQ467">
            <v>0</v>
          </cell>
        </row>
        <row r="468">
          <cell r="AI468" t="str">
            <v>1CBBCF</v>
          </cell>
          <cell r="AJ468" t="str">
            <v>PIPING VALVES - CARBON STEEL NACE</v>
          </cell>
          <cell r="AQ468">
            <v>0</v>
          </cell>
        </row>
        <row r="469">
          <cell r="AI469" t="str">
            <v>1CBBCG</v>
          </cell>
          <cell r="AJ469" t="str">
            <v>PIPING &amp; FITTING MATERIAL - STAINLESS STEEL</v>
          </cell>
          <cell r="AQ469">
            <v>0</v>
          </cell>
        </row>
        <row r="470">
          <cell r="AI470" t="str">
            <v>1CBBCH</v>
          </cell>
          <cell r="AJ470" t="str">
            <v>PIPING VALVES - STAINLESS STEEL</v>
          </cell>
          <cell r="AQ470">
            <v>0</v>
          </cell>
        </row>
        <row r="471">
          <cell r="AI471" t="str">
            <v>1CBBCI</v>
          </cell>
          <cell r="AJ471" t="str">
            <v>PIPING &amp; FITTING MATERIAL - NON-METALLIC</v>
          </cell>
          <cell r="AQ471">
            <v>0</v>
          </cell>
        </row>
        <row r="472">
          <cell r="AI472" t="str">
            <v>1CBBCJ</v>
          </cell>
          <cell r="AJ472" t="str">
            <v>PIPING VALVES - NON-METALLIC</v>
          </cell>
          <cell r="AQ472">
            <v>0</v>
          </cell>
        </row>
        <row r="473">
          <cell r="AI473" t="str">
            <v>1CBBCX</v>
          </cell>
          <cell r="AJ473" t="str">
            <v>PIPING MATERIALS - OTHER</v>
          </cell>
          <cell r="AQ473">
            <v>0</v>
          </cell>
        </row>
        <row r="474">
          <cell r="AI474" t="str">
            <v>1CBBC-</v>
          </cell>
          <cell r="AJ474" t="str">
            <v>SUBTOTAL PIPING &amp; VALVES BULKS</v>
          </cell>
          <cell r="AK474">
            <v>0</v>
          </cell>
          <cell r="AL474">
            <v>0</v>
          </cell>
          <cell r="AM474">
            <v>0</v>
          </cell>
          <cell r="AN474">
            <v>0</v>
          </cell>
          <cell r="AO474">
            <v>0</v>
          </cell>
          <cell r="AP474">
            <v>0</v>
          </cell>
          <cell r="AQ474">
            <v>0</v>
          </cell>
        </row>
        <row r="486">
          <cell r="W486" t="str">
            <v>LEVEL 2 NFGP UPGRADE PG.3</v>
          </cell>
          <cell r="X486" t="str">
            <v>WBS CODE</v>
          </cell>
          <cell r="Y486" t="str">
            <v>DESCRIPTION</v>
          </cell>
          <cell r="Z486" t="str">
            <v>QUANTITY</v>
          </cell>
          <cell r="AA486" t="str">
            <v>UNITS</v>
          </cell>
          <cell r="AB486" t="str">
            <v>TOTAL MANHOURS</v>
          </cell>
          <cell r="AC486" t="str">
            <v>TOTAL LABOR COST</v>
          </cell>
          <cell r="AD486" t="str">
            <v>TOTAL MAT'L COST</v>
          </cell>
          <cell r="AE486" t="str">
            <v>TOTAL S/C COST</v>
          </cell>
          <cell r="AF486" t="str">
            <v>TOTAL COST</v>
          </cell>
          <cell r="AH486" t="str">
            <v>LEVEL 3 NFGP UPGRADE PG 3</v>
          </cell>
          <cell r="AI486" t="str">
            <v>WBS CODE</v>
          </cell>
          <cell r="AJ486" t="str">
            <v>DESCRIPTION</v>
          </cell>
          <cell r="AK486" t="str">
            <v>QUANTITY</v>
          </cell>
          <cell r="AL486" t="str">
            <v>UNITS</v>
          </cell>
          <cell r="AM486" t="str">
            <v>TOTAL MANHOURS</v>
          </cell>
          <cell r="AN486" t="str">
            <v>TOTAL LABOR COST</v>
          </cell>
          <cell r="AO486" t="str">
            <v>TOTAL MAT'L COST</v>
          </cell>
          <cell r="AP486" t="str">
            <v>TOTAL S/C COST</v>
          </cell>
          <cell r="AQ486" t="str">
            <v>TOTAL COST</v>
          </cell>
        </row>
        <row r="488">
          <cell r="X488" t="str">
            <v>1CCAA</v>
          </cell>
          <cell r="Y488" t="str">
            <v>NFGP UPGRADE  - CONSTRUCTION, CIVIL - SITE WORK</v>
          </cell>
          <cell r="AF488">
            <v>0</v>
          </cell>
          <cell r="AG488">
            <v>0</v>
          </cell>
          <cell r="AH488">
            <v>0</v>
          </cell>
          <cell r="AI488" t="str">
            <v>1CBBDA</v>
          </cell>
          <cell r="AJ488" t="str">
            <v>LV CABLE</v>
          </cell>
          <cell r="AK488">
            <v>0</v>
          </cell>
          <cell r="AL488">
            <v>0</v>
          </cell>
          <cell r="AM488">
            <v>0</v>
          </cell>
          <cell r="AN488">
            <v>0</v>
          </cell>
          <cell r="AO488">
            <v>0</v>
          </cell>
          <cell r="AP488">
            <v>0</v>
          </cell>
          <cell r="AQ488">
            <v>0</v>
          </cell>
          <cell r="AR488">
            <v>0</v>
          </cell>
        </row>
        <row r="489">
          <cell r="X489" t="str">
            <v>1CCAB</v>
          </cell>
          <cell r="Y489" t="str">
            <v>NFGP UPGRADE  - CONSTRUCTION, CIVIL - FOUNDATIONS</v>
          </cell>
          <cell r="AF489">
            <v>0</v>
          </cell>
          <cell r="AG489">
            <v>0</v>
          </cell>
          <cell r="AH489">
            <v>0</v>
          </cell>
          <cell r="AI489" t="str">
            <v>1CBBDB</v>
          </cell>
          <cell r="AJ489" t="str">
            <v>HV CABLE</v>
          </cell>
          <cell r="AK489">
            <v>0</v>
          </cell>
          <cell r="AL489">
            <v>0</v>
          </cell>
          <cell r="AM489">
            <v>0</v>
          </cell>
          <cell r="AN489">
            <v>0</v>
          </cell>
          <cell r="AO489">
            <v>0</v>
          </cell>
          <cell r="AP489">
            <v>0</v>
          </cell>
          <cell r="AQ489">
            <v>0</v>
          </cell>
          <cell r="AR489">
            <v>0</v>
          </cell>
        </row>
        <row r="490">
          <cell r="X490" t="str">
            <v>1CCA</v>
          </cell>
          <cell r="Y490" t="str">
            <v>SUBTOTAL - NFGP UPGRADE  - CONSTRUCTION, CIVIL</v>
          </cell>
          <cell r="Z490">
            <v>0</v>
          </cell>
          <cell r="AA490" t="str">
            <v>N/A</v>
          </cell>
          <cell r="AB490">
            <v>0</v>
          </cell>
          <cell r="AC490">
            <v>0</v>
          </cell>
          <cell r="AD490">
            <v>0</v>
          </cell>
          <cell r="AE490">
            <v>0</v>
          </cell>
          <cell r="AF490">
            <v>0</v>
          </cell>
          <cell r="AI490" t="str">
            <v>1CBBDC</v>
          </cell>
          <cell r="AJ490" t="str">
            <v>CABLE TRAY / CABLE LADDERS</v>
          </cell>
          <cell r="AQ490">
            <v>0</v>
          </cell>
        </row>
        <row r="491">
          <cell r="AI491" t="str">
            <v>1CBBDD</v>
          </cell>
          <cell r="AJ491" t="str">
            <v>CABLE FITTINGS &amp; JUNCTION BOXES</v>
          </cell>
          <cell r="AQ491">
            <v>0</v>
          </cell>
        </row>
        <row r="492">
          <cell r="X492" t="str">
            <v>1CCBA</v>
          </cell>
          <cell r="Y492" t="str">
            <v>NFGP UPGRADE  - CONSTRUCTION, MAJOR EQUIPMENT - PRESSURE VESSELS</v>
          </cell>
          <cell r="Z492">
            <v>215.3</v>
          </cell>
          <cell r="AA492" t="str">
            <v>TON</v>
          </cell>
          <cell r="AB492">
            <v>19270</v>
          </cell>
          <cell r="AC492">
            <v>143200</v>
          </cell>
          <cell r="AF492">
            <v>143200</v>
          </cell>
          <cell r="AG492">
            <v>0</v>
          </cell>
          <cell r="AH492">
            <v>0</v>
          </cell>
          <cell r="AI492" t="str">
            <v>1CBBDE</v>
          </cell>
          <cell r="AJ492" t="str">
            <v>EARTHING MATERIALS</v>
          </cell>
          <cell r="AK492">
            <v>0</v>
          </cell>
          <cell r="AL492">
            <v>0</v>
          </cell>
          <cell r="AM492">
            <v>0</v>
          </cell>
          <cell r="AN492">
            <v>0</v>
          </cell>
          <cell r="AO492">
            <v>0</v>
          </cell>
          <cell r="AP492">
            <v>0</v>
          </cell>
          <cell r="AQ492">
            <v>0</v>
          </cell>
          <cell r="AR492">
            <v>0</v>
          </cell>
        </row>
        <row r="493">
          <cell r="X493" t="str">
            <v>1CCBB</v>
          </cell>
          <cell r="Y493" t="str">
            <v>NFGP UPGRADE  - CONSTRUCTION, MAJOR EQUIPMENT - COLUMNS</v>
          </cell>
          <cell r="Z493">
            <v>181.1</v>
          </cell>
          <cell r="AA493" t="str">
            <v>TON</v>
          </cell>
          <cell r="AB493">
            <v>16670</v>
          </cell>
          <cell r="AC493">
            <v>130100</v>
          </cell>
          <cell r="AF493">
            <v>130100</v>
          </cell>
          <cell r="AG493">
            <v>0</v>
          </cell>
          <cell r="AH493">
            <v>0</v>
          </cell>
          <cell r="AI493" t="str">
            <v>1CBBDF</v>
          </cell>
          <cell r="AJ493" t="str">
            <v>LIGHTING AND OTHER ACCESSORIES</v>
          </cell>
          <cell r="AK493">
            <v>0</v>
          </cell>
          <cell r="AL493">
            <v>0</v>
          </cell>
          <cell r="AM493">
            <v>0</v>
          </cell>
          <cell r="AN493">
            <v>0</v>
          </cell>
          <cell r="AO493">
            <v>0</v>
          </cell>
          <cell r="AP493">
            <v>0</v>
          </cell>
          <cell r="AQ493">
            <v>0</v>
          </cell>
          <cell r="AR493">
            <v>0</v>
          </cell>
        </row>
        <row r="494">
          <cell r="X494" t="str">
            <v>1CCBE</v>
          </cell>
          <cell r="Y494" t="str">
            <v>NFGP UPGRADE  - CONSTRUCTION, MAJOR EQUIPMENT - PUMPS &amp; MOTORS</v>
          </cell>
          <cell r="Z494">
            <v>11.8</v>
          </cell>
          <cell r="AA494" t="str">
            <v>TON</v>
          </cell>
          <cell r="AB494">
            <v>950</v>
          </cell>
          <cell r="AC494">
            <v>10100</v>
          </cell>
          <cell r="AF494">
            <v>10100</v>
          </cell>
          <cell r="AG494">
            <v>0</v>
          </cell>
          <cell r="AH494">
            <v>0</v>
          </cell>
          <cell r="AI494" t="str">
            <v>1CBBDG</v>
          </cell>
          <cell r="AJ494" t="str">
            <v>CATHODIC PROTECTION SYSTEM(S)</v>
          </cell>
          <cell r="AK494">
            <v>0</v>
          </cell>
          <cell r="AL494">
            <v>0</v>
          </cell>
          <cell r="AM494">
            <v>0</v>
          </cell>
          <cell r="AN494">
            <v>0</v>
          </cell>
          <cell r="AO494">
            <v>0</v>
          </cell>
          <cell r="AP494">
            <v>0</v>
          </cell>
          <cell r="AQ494">
            <v>0</v>
          </cell>
          <cell r="AR494">
            <v>0</v>
          </cell>
        </row>
        <row r="495">
          <cell r="X495" t="str">
            <v>1CCBF</v>
          </cell>
          <cell r="Y495" t="str">
            <v>NFGP UPGRADE  - CONSTRUCTION, MAJOR EQUIPMENT - HEAT EXCHANGERS S&amp;T</v>
          </cell>
          <cell r="Z495">
            <v>712.9</v>
          </cell>
          <cell r="AA495" t="str">
            <v>TON</v>
          </cell>
          <cell r="AB495">
            <v>60496</v>
          </cell>
          <cell r="AC495">
            <v>485600</v>
          </cell>
          <cell r="AF495">
            <v>485600</v>
          </cell>
          <cell r="AG495">
            <v>0</v>
          </cell>
          <cell r="AH495">
            <v>0</v>
          </cell>
          <cell r="AI495" t="str">
            <v>1CBBDX</v>
          </cell>
          <cell r="AJ495" t="str">
            <v>OTHER ELECTRICAL BULKS</v>
          </cell>
          <cell r="AK495">
            <v>0</v>
          </cell>
          <cell r="AL495">
            <v>0</v>
          </cell>
          <cell r="AM495">
            <v>0</v>
          </cell>
          <cell r="AN495">
            <v>0</v>
          </cell>
          <cell r="AO495">
            <v>0</v>
          </cell>
          <cell r="AP495">
            <v>0</v>
          </cell>
          <cell r="AQ495">
            <v>0</v>
          </cell>
          <cell r="AR495">
            <v>0</v>
          </cell>
        </row>
        <row r="496">
          <cell r="X496" t="str">
            <v>1CCBI</v>
          </cell>
          <cell r="Y496" t="str">
            <v>NFGP UPGRADE  - CONSTRUCTION, MAJOR EQUIPMENT - COMPRESSORS &amp; DRIVERS</v>
          </cell>
          <cell r="Z496">
            <v>30</v>
          </cell>
          <cell r="AA496" t="str">
            <v>TON</v>
          </cell>
          <cell r="AB496">
            <v>2750</v>
          </cell>
          <cell r="AC496">
            <v>31700</v>
          </cell>
          <cell r="AF496">
            <v>31700</v>
          </cell>
          <cell r="AG496">
            <v>0</v>
          </cell>
          <cell r="AH496">
            <v>0</v>
          </cell>
          <cell r="AI496" t="str">
            <v>1CBBD-</v>
          </cell>
          <cell r="AJ496" t="str">
            <v>SUBTOTAL ELECTRICAL BULKS</v>
          </cell>
          <cell r="AK496">
            <v>0</v>
          </cell>
          <cell r="AL496">
            <v>0</v>
          </cell>
          <cell r="AM496">
            <v>0</v>
          </cell>
          <cell r="AN496">
            <v>0</v>
          </cell>
          <cell r="AO496">
            <v>0</v>
          </cell>
          <cell r="AP496">
            <v>0</v>
          </cell>
          <cell r="AQ496">
            <v>0</v>
          </cell>
          <cell r="AR496">
            <v>0</v>
          </cell>
        </row>
        <row r="497">
          <cell r="X497" t="str">
            <v>1CCBR</v>
          </cell>
          <cell r="Y497" t="str">
            <v>NFGP UPGRADE  - CONSTRUCTION, MAJOR EQUIPMENT - ELECTRICAL EQUIPMENT</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X498" t="str">
            <v>1CCBS</v>
          </cell>
          <cell r="Y498" t="str">
            <v>NFGP UPGRADE  - CONSTRUCTION, MAJOR EQUIP. - INSTRUMENTATION EQUIPMENT</v>
          </cell>
          <cell r="AF498">
            <v>0</v>
          </cell>
          <cell r="AG498">
            <v>0</v>
          </cell>
          <cell r="AH498">
            <v>0</v>
          </cell>
          <cell r="AI498" t="str">
            <v>1CBBEA</v>
          </cell>
          <cell r="AJ498" t="str">
            <v>CABLE AND CABLE FITTINGS</v>
          </cell>
          <cell r="AK498">
            <v>0</v>
          </cell>
          <cell r="AL498">
            <v>0</v>
          </cell>
          <cell r="AM498">
            <v>0</v>
          </cell>
          <cell r="AN498">
            <v>0</v>
          </cell>
          <cell r="AO498">
            <v>0</v>
          </cell>
          <cell r="AP498">
            <v>0</v>
          </cell>
          <cell r="AQ498">
            <v>0</v>
          </cell>
          <cell r="AR498">
            <v>0</v>
          </cell>
        </row>
        <row r="499">
          <cell r="X499" t="str">
            <v>1CCBX</v>
          </cell>
          <cell r="Y499" t="str">
            <v>NFGP UPGRADE  - CONSTRUCTION, MAJOR EQUIPMENT - OTHERS</v>
          </cell>
          <cell r="Z499">
            <v>47</v>
          </cell>
          <cell r="AA499" t="str">
            <v>TON</v>
          </cell>
          <cell r="AB499">
            <v>7130</v>
          </cell>
          <cell r="AC499">
            <v>64000</v>
          </cell>
          <cell r="AF499">
            <v>64000</v>
          </cell>
          <cell r="AG499">
            <v>0</v>
          </cell>
          <cell r="AH499">
            <v>0</v>
          </cell>
          <cell r="AI499" t="str">
            <v>1CBBEB</v>
          </cell>
          <cell r="AJ499" t="str">
            <v>CABLE TRAY / CABLE LADDERS</v>
          </cell>
          <cell r="AK499">
            <v>0</v>
          </cell>
          <cell r="AL499">
            <v>0</v>
          </cell>
          <cell r="AM499">
            <v>0</v>
          </cell>
          <cell r="AN499">
            <v>0</v>
          </cell>
          <cell r="AO499">
            <v>0</v>
          </cell>
          <cell r="AP499">
            <v>0</v>
          </cell>
          <cell r="AQ499">
            <v>0</v>
          </cell>
          <cell r="AR499">
            <v>0</v>
          </cell>
        </row>
        <row r="500">
          <cell r="X500" t="str">
            <v>1CCB-</v>
          </cell>
          <cell r="Y500" t="str">
            <v>SUBTOTAL - NFGP UPGRADE  - CONSTRUCTION, MAJOR EQUIPMENT</v>
          </cell>
          <cell r="Z500">
            <v>1198.0999999999999</v>
          </cell>
          <cell r="AA500" t="str">
            <v>N/A</v>
          </cell>
          <cell r="AB500">
            <v>107266</v>
          </cell>
          <cell r="AC500">
            <v>864700</v>
          </cell>
          <cell r="AD500">
            <v>0</v>
          </cell>
          <cell r="AE500">
            <v>0</v>
          </cell>
          <cell r="AF500">
            <v>864700</v>
          </cell>
          <cell r="AI500" t="str">
            <v>1CBBEC</v>
          </cell>
          <cell r="AJ500" t="str">
            <v>INSTRUMENT TUBING AND FITTINGS</v>
          </cell>
          <cell r="AQ500">
            <v>0</v>
          </cell>
        </row>
        <row r="501">
          <cell r="AI501" t="str">
            <v>1CBBED</v>
          </cell>
          <cell r="AJ501" t="str">
            <v>MOUNTING ACCESSORIES</v>
          </cell>
          <cell r="AQ501">
            <v>0</v>
          </cell>
        </row>
        <row r="502">
          <cell r="X502" t="str">
            <v>1CCCA</v>
          </cell>
          <cell r="Y502" t="str">
            <v>NFGP UPGRADE  - CONSTRUCTION, BULKS - STRUCTURAL</v>
          </cell>
          <cell r="AF502">
            <v>0</v>
          </cell>
          <cell r="AG502">
            <v>0</v>
          </cell>
          <cell r="AH502">
            <v>0</v>
          </cell>
          <cell r="AI502" t="str">
            <v>1CBBEE</v>
          </cell>
          <cell r="AJ502" t="str">
            <v>EARTHING MATERIALS</v>
          </cell>
          <cell r="AK502">
            <v>0</v>
          </cell>
          <cell r="AL502">
            <v>0</v>
          </cell>
          <cell r="AM502">
            <v>0</v>
          </cell>
          <cell r="AN502">
            <v>0</v>
          </cell>
          <cell r="AO502">
            <v>0</v>
          </cell>
          <cell r="AP502">
            <v>0</v>
          </cell>
          <cell r="AQ502">
            <v>0</v>
          </cell>
          <cell r="AR502">
            <v>0</v>
          </cell>
        </row>
        <row r="503">
          <cell r="X503" t="str">
            <v>1CCCB</v>
          </cell>
          <cell r="Y503" t="str">
            <v>NFGP UPGRADE  - CONSTRUCTION, BULKS - PIPING &amp; VALVES</v>
          </cell>
          <cell r="AF503">
            <v>0</v>
          </cell>
          <cell r="AG503">
            <v>0</v>
          </cell>
          <cell r="AH503">
            <v>0</v>
          </cell>
          <cell r="AI503" t="str">
            <v>1CBBEF</v>
          </cell>
          <cell r="AJ503" t="str">
            <v>FIRE AND GAS DETECTION EQUIPMENT</v>
          </cell>
          <cell r="AK503">
            <v>0</v>
          </cell>
          <cell r="AL503">
            <v>0</v>
          </cell>
          <cell r="AM503">
            <v>0</v>
          </cell>
          <cell r="AN503">
            <v>0</v>
          </cell>
          <cell r="AO503">
            <v>0</v>
          </cell>
          <cell r="AP503">
            <v>0</v>
          </cell>
          <cell r="AQ503">
            <v>0</v>
          </cell>
          <cell r="AR503">
            <v>0</v>
          </cell>
        </row>
        <row r="504">
          <cell r="X504" t="str">
            <v>1CCCC</v>
          </cell>
          <cell r="Y504" t="str">
            <v>NFGP UPGRADE  - CONSTRUCTION, BULKS - ELECTRICAL</v>
          </cell>
          <cell r="AF504">
            <v>0</v>
          </cell>
          <cell r="AG504">
            <v>0</v>
          </cell>
          <cell r="AH504">
            <v>0</v>
          </cell>
          <cell r="AI504" t="str">
            <v>1CBBEX</v>
          </cell>
          <cell r="AJ504" t="str">
            <v>OTHER INSTRUMENTATION BULKS</v>
          </cell>
          <cell r="AK504">
            <v>0</v>
          </cell>
          <cell r="AL504">
            <v>0</v>
          </cell>
          <cell r="AM504">
            <v>0</v>
          </cell>
          <cell r="AN504">
            <v>0</v>
          </cell>
          <cell r="AO504">
            <v>0</v>
          </cell>
          <cell r="AP504">
            <v>0</v>
          </cell>
          <cell r="AQ504">
            <v>0</v>
          </cell>
          <cell r="AR504">
            <v>0</v>
          </cell>
        </row>
        <row r="505">
          <cell r="X505" t="str">
            <v>1CCCD</v>
          </cell>
          <cell r="Y505" t="str">
            <v>NFGP UPGRADE  - CONSTRUCTION, BULKS - INSTRUMENTATION</v>
          </cell>
          <cell r="AF505">
            <v>0</v>
          </cell>
          <cell r="AG505">
            <v>0</v>
          </cell>
          <cell r="AH505">
            <v>0</v>
          </cell>
          <cell r="AI505" t="str">
            <v>1CBBE-</v>
          </cell>
          <cell r="AJ505" t="str">
            <v>SUBTOTAL INSTRUMENTATION BULKS</v>
          </cell>
          <cell r="AK505">
            <v>0</v>
          </cell>
          <cell r="AL505">
            <v>0</v>
          </cell>
          <cell r="AM505">
            <v>0</v>
          </cell>
          <cell r="AN505">
            <v>0</v>
          </cell>
          <cell r="AO505">
            <v>0</v>
          </cell>
          <cell r="AP505">
            <v>0</v>
          </cell>
          <cell r="AQ505">
            <v>0</v>
          </cell>
          <cell r="AR505">
            <v>0</v>
          </cell>
        </row>
        <row r="506">
          <cell r="X506" t="str">
            <v>1CCC-</v>
          </cell>
          <cell r="Y506" t="str">
            <v xml:space="preserve">SUBTOTAL - NFGP UPGRADE  - CONSTRUCTION, BULKS </v>
          </cell>
          <cell r="Z506">
            <v>0</v>
          </cell>
          <cell r="AA506" t="str">
            <v>N/A</v>
          </cell>
          <cell r="AB506">
            <v>0</v>
          </cell>
          <cell r="AC506">
            <v>0</v>
          </cell>
          <cell r="AD506">
            <v>0</v>
          </cell>
          <cell r="AE506">
            <v>0</v>
          </cell>
          <cell r="AF506">
            <v>0</v>
          </cell>
        </row>
        <row r="508">
          <cell r="X508" t="str">
            <v>1CCDA</v>
          </cell>
          <cell r="Y508" t="str">
            <v>NFGP UPGRADE  - CONSTRUCTION SPECIALTIES - BUILDINGS</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X509" t="str">
            <v>1CCDB</v>
          </cell>
          <cell r="Y509" t="str">
            <v>NFGP UPGRADE  - CONSTRUCTION SPECIALTIES - GENERAL</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X510" t="str">
            <v>1CCD-</v>
          </cell>
          <cell r="Y510" t="str">
            <v>SUBTOTAL - NFGP UPGRADE  - CONSTRUCTION SPECIALTIES</v>
          </cell>
          <cell r="Z510">
            <v>0</v>
          </cell>
          <cell r="AA510" t="str">
            <v>N/A</v>
          </cell>
          <cell r="AB510">
            <v>0</v>
          </cell>
          <cell r="AC510">
            <v>0</v>
          </cell>
          <cell r="AD510">
            <v>0</v>
          </cell>
          <cell r="AE510">
            <v>0</v>
          </cell>
          <cell r="AF510">
            <v>0</v>
          </cell>
        </row>
        <row r="512">
          <cell r="X512" t="str">
            <v>1CCEA</v>
          </cell>
          <cell r="Y512" t="str">
            <v>NFGP UPGRADE  - CONSTRUCTION, OTHER DIRECT WORK - FIRE PROTECTION</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X513" t="str">
            <v>1CCEB</v>
          </cell>
          <cell r="Y513" t="str">
            <v>NFGP UPGRADE  - CONSTRUCTION, OTHER DIRECT WORK - FIREPROOFING</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X514" t="str">
            <v>1CCEC</v>
          </cell>
          <cell r="Y514" t="str">
            <v>NFGP UPGRADE  - CONSTRUCTION, OTHER DIRECT WORK - INSULATION</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X515" t="str">
            <v>1CCED</v>
          </cell>
          <cell r="Y515" t="str">
            <v>NFGP UPGRADE  - CONSTRUCTION, OTHER DIRECT WORK - PAINTING</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X516" t="str">
            <v>1CCEE</v>
          </cell>
          <cell r="Y516" t="str">
            <v>NFGP UPGRADE  - CONSTRUCTION, OTHER DIRECT WORK - SHUTDOWN</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X517" t="str">
            <v>1CCEF</v>
          </cell>
          <cell r="Y517" t="str">
            <v>NFGP UPGRADE  - CONSTRUCTION, OTHER DIRECT WORK - PRE-COMMISSIONING</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X518" t="str">
            <v>1CCEG</v>
          </cell>
          <cell r="Y518" t="str">
            <v>NFGP UPGRADE  - CONSTRUCTION, OTHER DIRECT WORK - ENVIRONMENTAL</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X519" t="str">
            <v>1CCEX</v>
          </cell>
          <cell r="Y519" t="str">
            <v>NFGP UPGRADE  - CONSTRUCTION, OTHER DIRECT WORK - OTHER</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X520" t="str">
            <v>1CCE</v>
          </cell>
          <cell r="Y520" t="str">
            <v xml:space="preserve">SUBTOTAL - NFGP UPGRADE  - CONSTRUCTION, OTHER DIRECT WORK - </v>
          </cell>
          <cell r="Z520">
            <v>0</v>
          </cell>
          <cell r="AA520" t="str">
            <v>N/A</v>
          </cell>
          <cell r="AB520">
            <v>0</v>
          </cell>
          <cell r="AC520">
            <v>0</v>
          </cell>
          <cell r="AD520">
            <v>0</v>
          </cell>
          <cell r="AE520">
            <v>0</v>
          </cell>
          <cell r="AF520">
            <v>0</v>
          </cell>
        </row>
        <row r="530">
          <cell r="W530" t="str">
            <v>LEVEL 2 NFGP UPGRADE PG.4</v>
          </cell>
          <cell r="X530" t="str">
            <v>WBS CODE</v>
          </cell>
          <cell r="Y530" t="str">
            <v>DESCRIPTION</v>
          </cell>
          <cell r="Z530" t="str">
            <v>QUANTITY</v>
          </cell>
          <cell r="AA530" t="str">
            <v>UNITS</v>
          </cell>
          <cell r="AB530" t="str">
            <v>TOTAL MANHOURS</v>
          </cell>
          <cell r="AC530" t="str">
            <v>TOTAL LABOR COST</v>
          </cell>
          <cell r="AD530" t="str">
            <v>TOTAL MAT'L COST</v>
          </cell>
          <cell r="AE530" t="str">
            <v>TOTAL S/C COST</v>
          </cell>
          <cell r="AF530" t="str">
            <v>TOTAL COST</v>
          </cell>
        </row>
        <row r="532">
          <cell r="X532" t="str">
            <v>1CCFA</v>
          </cell>
          <cell r="Y532" t="str">
            <v>NFGP UPGRADE  - CONSTRUCTION INDIRECTS</v>
          </cell>
          <cell r="AF532">
            <v>0</v>
          </cell>
          <cell r="AG532">
            <v>0</v>
          </cell>
        </row>
        <row r="533">
          <cell r="X533" t="str">
            <v>1CCF</v>
          </cell>
          <cell r="Y533" t="str">
            <v>SUBTOTAL - NFGP UPGRADE  - CONSTRUCTION INDIRECTS</v>
          </cell>
          <cell r="Z533">
            <v>0</v>
          </cell>
          <cell r="AA533" t="str">
            <v>N/A</v>
          </cell>
          <cell r="AB533">
            <v>0</v>
          </cell>
          <cell r="AC533">
            <v>0</v>
          </cell>
          <cell r="AD533">
            <v>0</v>
          </cell>
          <cell r="AE533">
            <v>0</v>
          </cell>
          <cell r="AF533">
            <v>0</v>
          </cell>
        </row>
        <row r="535">
          <cell r="X535" t="str">
            <v>1CDAA</v>
          </cell>
          <cell r="Y535" t="str">
            <v>NFGP UPGRADE  - COMMISSIONING - PROCESS</v>
          </cell>
          <cell r="AF535">
            <v>0</v>
          </cell>
          <cell r="AG535">
            <v>0</v>
          </cell>
        </row>
        <row r="536">
          <cell r="X536" t="str">
            <v>1CDAB</v>
          </cell>
          <cell r="Y536" t="str">
            <v>NFGP UPGRADE  - COMMISSIONING - UTILITIES</v>
          </cell>
          <cell r="AF536">
            <v>0</v>
          </cell>
          <cell r="AG536">
            <v>0</v>
          </cell>
        </row>
        <row r="537">
          <cell r="X537" t="str">
            <v>1CDA-</v>
          </cell>
          <cell r="Y537" t="str">
            <v>SUBTOTAL - NFGP UPGRADE  - COMMISSIONING</v>
          </cell>
          <cell r="Z537">
            <v>0</v>
          </cell>
          <cell r="AA537" t="str">
            <v>N/A</v>
          </cell>
          <cell r="AB537">
            <v>0</v>
          </cell>
          <cell r="AC537">
            <v>0</v>
          </cell>
          <cell r="AD537">
            <v>0</v>
          </cell>
          <cell r="AE537">
            <v>0</v>
          </cell>
          <cell r="AF537">
            <v>0</v>
          </cell>
        </row>
        <row r="539">
          <cell r="X539" t="str">
            <v>1CDBA</v>
          </cell>
          <cell r="Y539" t="str">
            <v>NFGP UPGRADE  - PERFORMANCE TEST - PROCESS</v>
          </cell>
          <cell r="AF539">
            <v>0</v>
          </cell>
          <cell r="AG539">
            <v>0</v>
          </cell>
        </row>
        <row r="540">
          <cell r="X540" t="str">
            <v>1CDBB</v>
          </cell>
          <cell r="Y540" t="str">
            <v>NFGP UPGRADE  - PERFORMANCE TEST - UTILITIES</v>
          </cell>
          <cell r="AF540">
            <v>0</v>
          </cell>
          <cell r="AG540">
            <v>0</v>
          </cell>
        </row>
        <row r="541">
          <cell r="X541" t="str">
            <v>1CDB-</v>
          </cell>
          <cell r="Y541" t="str">
            <v>SUBTOTAL - NFGP UPGRADE  - PERFORMANCE TEST</v>
          </cell>
          <cell r="Z541">
            <v>0</v>
          </cell>
          <cell r="AA541" t="str">
            <v>N/A</v>
          </cell>
          <cell r="AB541">
            <v>0</v>
          </cell>
          <cell r="AC541">
            <v>0</v>
          </cell>
          <cell r="AD541">
            <v>0</v>
          </cell>
          <cell r="AE541">
            <v>0</v>
          </cell>
          <cell r="AF541">
            <v>0</v>
          </cell>
        </row>
        <row r="574">
          <cell r="L574" t="str">
            <v>CYCLE &amp; LVL 1    PIPELINE</v>
          </cell>
          <cell r="M574" t="str">
            <v>WBS CODE</v>
          </cell>
          <cell r="N574" t="str">
            <v>DESCRIPTION</v>
          </cell>
          <cell r="O574" t="str">
            <v>QUANTITY</v>
          </cell>
          <cell r="P574" t="str">
            <v>UNITS</v>
          </cell>
          <cell r="Q574" t="str">
            <v>TOTAL MANHOURS</v>
          </cell>
          <cell r="R574" t="str">
            <v>TOTAL LABOR COST</v>
          </cell>
          <cell r="S574" t="str">
            <v>TOTAL MAT'L COST</v>
          </cell>
          <cell r="T574" t="str">
            <v>TOTAL S/C COST</v>
          </cell>
          <cell r="U574" t="str">
            <v>TOTAL COST</v>
          </cell>
          <cell r="W574" t="str">
            <v>LEVEL 2 PIPELINE PG.1</v>
          </cell>
          <cell r="X574" t="str">
            <v>WBS CODE</v>
          </cell>
          <cell r="Y574" t="str">
            <v>DESCRIPTION</v>
          </cell>
          <cell r="Z574" t="str">
            <v>QUANTITY</v>
          </cell>
          <cell r="AA574" t="str">
            <v>UNITS</v>
          </cell>
          <cell r="AB574" t="str">
            <v>TOTAL MANHOURS</v>
          </cell>
          <cell r="AC574" t="str">
            <v>TOTAL LABOR COST</v>
          </cell>
          <cell r="AD574" t="str">
            <v>TOTAL MAT'L COST</v>
          </cell>
          <cell r="AE574" t="str">
            <v>TOTAL S/C COST</v>
          </cell>
          <cell r="AF574" t="str">
            <v>TOTAL COST</v>
          </cell>
          <cell r="AG574">
            <v>0</v>
          </cell>
          <cell r="AH574" t="str">
            <v>LEVEL 3 PIPELINE PG 1</v>
          </cell>
          <cell r="AI574" t="str">
            <v>WBS CODE</v>
          </cell>
          <cell r="AJ574" t="str">
            <v>DESCRIPTION</v>
          </cell>
          <cell r="AK574" t="str">
            <v>QUANTITY</v>
          </cell>
          <cell r="AL574" t="str">
            <v>UNITS</v>
          </cell>
          <cell r="AM574" t="str">
            <v>TOTAL MANHOURS</v>
          </cell>
          <cell r="AN574" t="str">
            <v>TOTAL LABOR COST</v>
          </cell>
          <cell r="AO574" t="str">
            <v>TOTAL MAT'L COST</v>
          </cell>
          <cell r="AP574" t="str">
            <v>TOTAL S/C COST</v>
          </cell>
          <cell r="AQ574" t="str">
            <v>TOTAL COST</v>
          </cell>
          <cell r="AR574">
            <v>0</v>
          </cell>
        </row>
        <row r="576">
          <cell r="M576" t="str">
            <v>1DAA-</v>
          </cell>
          <cell r="N576" t="str">
            <v>PIPELINE - DIRECT ENGINEERING</v>
          </cell>
          <cell r="Q576">
            <v>0</v>
          </cell>
          <cell r="R576">
            <v>0</v>
          </cell>
          <cell r="S576">
            <v>0</v>
          </cell>
          <cell r="T576">
            <v>0</v>
          </cell>
          <cell r="U576">
            <v>0</v>
          </cell>
          <cell r="X576" t="str">
            <v>1DAAA</v>
          </cell>
          <cell r="Y576" t="str">
            <v>PIPELINE - DIR. ENG.  PROCESS</v>
          </cell>
          <cell r="AF576">
            <v>0</v>
          </cell>
          <cell r="AG576">
            <v>0</v>
          </cell>
          <cell r="AH576">
            <v>0</v>
          </cell>
          <cell r="AI576" t="str">
            <v>1DAAIA</v>
          </cell>
          <cell r="AJ576" t="str">
            <v>SPECIFY PIPELINE</v>
          </cell>
          <cell r="AK576">
            <v>0</v>
          </cell>
          <cell r="AL576">
            <v>0</v>
          </cell>
          <cell r="AM576">
            <v>0</v>
          </cell>
          <cell r="AN576">
            <v>0</v>
          </cell>
          <cell r="AO576">
            <v>0</v>
          </cell>
          <cell r="AP576">
            <v>0</v>
          </cell>
          <cell r="AQ576">
            <v>0</v>
          </cell>
          <cell r="AR576">
            <v>0</v>
          </cell>
        </row>
        <row r="577">
          <cell r="M577" t="str">
            <v>1DAI-</v>
          </cell>
          <cell r="N577" t="str">
            <v>PIPELINE - ENGINEERING PROCUREMENT</v>
          </cell>
          <cell r="Q577">
            <v>0</v>
          </cell>
          <cell r="R577">
            <v>0</v>
          </cell>
          <cell r="S577">
            <v>0</v>
          </cell>
          <cell r="T577">
            <v>0</v>
          </cell>
          <cell r="U577">
            <v>0</v>
          </cell>
          <cell r="X577" t="str">
            <v>1DAAB</v>
          </cell>
          <cell r="Y577" t="str">
            <v>PIPELINE - DIR. ENG.  PERMITS</v>
          </cell>
          <cell r="AF577">
            <v>0</v>
          </cell>
          <cell r="AG577">
            <v>0</v>
          </cell>
          <cell r="AH577">
            <v>0</v>
          </cell>
          <cell r="AI577" t="str">
            <v>1DAAIX</v>
          </cell>
          <cell r="AJ577" t="str">
            <v>DIRECT ENG. -  OTHER PIPELINES</v>
          </cell>
          <cell r="AK577">
            <v>0</v>
          </cell>
          <cell r="AL577">
            <v>0</v>
          </cell>
          <cell r="AM577">
            <v>0</v>
          </cell>
          <cell r="AN577">
            <v>0</v>
          </cell>
          <cell r="AO577">
            <v>0</v>
          </cell>
          <cell r="AP577">
            <v>0</v>
          </cell>
          <cell r="AQ577">
            <v>0</v>
          </cell>
          <cell r="AR577">
            <v>0</v>
          </cell>
        </row>
        <row r="578">
          <cell r="M578" t="str">
            <v>1DAJ-</v>
          </cell>
          <cell r="N578" t="str">
            <v>PIPELINE - INDIRECT ENGINEERING</v>
          </cell>
          <cell r="Q578">
            <v>0</v>
          </cell>
          <cell r="R578">
            <v>0</v>
          </cell>
          <cell r="S578">
            <v>0</v>
          </cell>
          <cell r="T578">
            <v>0</v>
          </cell>
          <cell r="U578">
            <v>0</v>
          </cell>
          <cell r="X578" t="str">
            <v>1DAAC</v>
          </cell>
          <cell r="Y578" t="str">
            <v>PIPELINE - DIR. ENG.  CIVIL/STRUCTURAL</v>
          </cell>
          <cell r="AF578">
            <v>0</v>
          </cell>
          <cell r="AG578">
            <v>0</v>
          </cell>
          <cell r="AH578">
            <v>0</v>
          </cell>
          <cell r="AI578" t="str">
            <v>1DAAI-</v>
          </cell>
          <cell r="AJ578" t="str">
            <v>SUBTOTAL - DIRECT ENGINEERING - PIPELINES</v>
          </cell>
          <cell r="AK578">
            <v>0</v>
          </cell>
          <cell r="AL578">
            <v>0</v>
          </cell>
          <cell r="AM578">
            <v>0</v>
          </cell>
          <cell r="AN578">
            <v>0</v>
          </cell>
          <cell r="AO578">
            <v>0</v>
          </cell>
          <cell r="AP578">
            <v>0</v>
          </cell>
          <cell r="AQ578">
            <v>0</v>
          </cell>
          <cell r="AR578">
            <v>0</v>
          </cell>
        </row>
        <row r="579">
          <cell r="M579" t="str">
            <v>1DA--</v>
          </cell>
          <cell r="N579" t="str">
            <v>SUBTOTAL PIPELINE - ENGINEERING/PROCUREMENT</v>
          </cell>
          <cell r="Q579">
            <v>0</v>
          </cell>
          <cell r="R579">
            <v>0</v>
          </cell>
          <cell r="S579">
            <v>0</v>
          </cell>
          <cell r="T579">
            <v>0</v>
          </cell>
          <cell r="U579">
            <v>0</v>
          </cell>
          <cell r="X579" t="str">
            <v>1DAAD</v>
          </cell>
          <cell r="Y579" t="str">
            <v>PIPELINE - DIR. ENG.  MECHANICAL</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X580" t="str">
            <v>1DAAE</v>
          </cell>
          <cell r="Y580" t="str">
            <v>PIPELINE - DIR. ENG.  PIPING</v>
          </cell>
          <cell r="AF580">
            <v>0</v>
          </cell>
          <cell r="AG580">
            <v>0</v>
          </cell>
          <cell r="AH580">
            <v>0</v>
          </cell>
          <cell r="AI580" t="str">
            <v>1DBASA</v>
          </cell>
          <cell r="AJ580" t="str">
            <v>FIELD INSTRUMENTATION, SCADA, AND TELECOMMUNICATIONS SYSTEM</v>
          </cell>
          <cell r="AK580">
            <v>0</v>
          </cell>
          <cell r="AL580">
            <v>0</v>
          </cell>
          <cell r="AM580">
            <v>0</v>
          </cell>
          <cell r="AN580">
            <v>0</v>
          </cell>
          <cell r="AO580">
            <v>0</v>
          </cell>
          <cell r="AP580">
            <v>0</v>
          </cell>
          <cell r="AQ580">
            <v>0</v>
          </cell>
          <cell r="AR580">
            <v>0</v>
          </cell>
        </row>
        <row r="581">
          <cell r="M581" t="str">
            <v>1DBA-</v>
          </cell>
          <cell r="N581" t="str">
            <v>PIPELINE - FAB/DELIVERY - MAJOR EQUIPMENT</v>
          </cell>
          <cell r="Q581">
            <v>0</v>
          </cell>
          <cell r="R581">
            <v>0</v>
          </cell>
          <cell r="S581">
            <v>0</v>
          </cell>
          <cell r="T581">
            <v>0</v>
          </cell>
          <cell r="U581">
            <v>0</v>
          </cell>
          <cell r="X581" t="str">
            <v>1DAAF</v>
          </cell>
          <cell r="Y581" t="str">
            <v>PIPELINE - DIR. ENG.  ELECTRICAL</v>
          </cell>
          <cell r="AF581">
            <v>0</v>
          </cell>
          <cell r="AG581">
            <v>0</v>
          </cell>
          <cell r="AH581">
            <v>0</v>
          </cell>
          <cell r="AI581" t="str">
            <v>1DBASG</v>
          </cell>
          <cell r="AJ581" t="str">
            <v>FIBER OPTIC CABLE &amp; EQUIPMENT</v>
          </cell>
          <cell r="AK581">
            <v>0</v>
          </cell>
          <cell r="AL581">
            <v>0</v>
          </cell>
          <cell r="AM581">
            <v>0</v>
          </cell>
          <cell r="AN581">
            <v>0</v>
          </cell>
          <cell r="AO581">
            <v>0</v>
          </cell>
          <cell r="AP581">
            <v>0</v>
          </cell>
          <cell r="AQ581">
            <v>0</v>
          </cell>
          <cell r="AR581">
            <v>0</v>
          </cell>
        </row>
        <row r="582">
          <cell r="M582" t="str">
            <v>1DBB-</v>
          </cell>
          <cell r="N582" t="str">
            <v>PIPELINE - FAB/DELIVERY - BULKS</v>
          </cell>
          <cell r="Q582">
            <v>0</v>
          </cell>
          <cell r="R582">
            <v>0</v>
          </cell>
          <cell r="S582">
            <v>0</v>
          </cell>
          <cell r="T582">
            <v>0</v>
          </cell>
          <cell r="U582">
            <v>0</v>
          </cell>
          <cell r="X582" t="str">
            <v>1DAAG</v>
          </cell>
          <cell r="Y582" t="str">
            <v>PIPELINE - DIR. ENG.  INSTRUMENTATION</v>
          </cell>
          <cell r="AF582">
            <v>0</v>
          </cell>
          <cell r="AG582">
            <v>0</v>
          </cell>
          <cell r="AH582">
            <v>0</v>
          </cell>
          <cell r="AI582" t="str">
            <v>1DBASX</v>
          </cell>
          <cell r="AJ582" t="str">
            <v>OTHER EQUIPMENT -  OTHER</v>
          </cell>
          <cell r="AK582">
            <v>0</v>
          </cell>
          <cell r="AL582">
            <v>0</v>
          </cell>
          <cell r="AM582">
            <v>0</v>
          </cell>
          <cell r="AN582">
            <v>0</v>
          </cell>
          <cell r="AO582">
            <v>0</v>
          </cell>
          <cell r="AP582">
            <v>0</v>
          </cell>
          <cell r="AQ582">
            <v>0</v>
          </cell>
          <cell r="AR582">
            <v>0</v>
          </cell>
        </row>
        <row r="583">
          <cell r="M583" t="str">
            <v>1DBC-</v>
          </cell>
          <cell r="N583" t="str">
            <v>PIPELINE - FAB/DELIVERY - ENGINEERING SPECIALTIES</v>
          </cell>
          <cell r="Q583">
            <v>0</v>
          </cell>
          <cell r="R583">
            <v>0</v>
          </cell>
          <cell r="S583">
            <v>0</v>
          </cell>
          <cell r="T583">
            <v>0</v>
          </cell>
          <cell r="U583">
            <v>0</v>
          </cell>
          <cell r="X583" t="str">
            <v>1DAAH</v>
          </cell>
          <cell r="Y583" t="str">
            <v>PIPELINE - DIR. ENG.  ARCHITECTURAL</v>
          </cell>
          <cell r="AF583">
            <v>0</v>
          </cell>
          <cell r="AG583">
            <v>0</v>
          </cell>
          <cell r="AH583">
            <v>0</v>
          </cell>
          <cell r="AI583" t="str">
            <v>1DBAS-</v>
          </cell>
          <cell r="AJ583" t="str">
            <v>SUBTOTAL INSTRUMENTATION EQUIPMENT</v>
          </cell>
          <cell r="AK583">
            <v>0</v>
          </cell>
          <cell r="AL583">
            <v>0</v>
          </cell>
          <cell r="AM583">
            <v>0</v>
          </cell>
          <cell r="AN583">
            <v>0</v>
          </cell>
          <cell r="AO583">
            <v>0</v>
          </cell>
          <cell r="AP583">
            <v>0</v>
          </cell>
          <cell r="AQ583">
            <v>0</v>
          </cell>
          <cell r="AR583">
            <v>0</v>
          </cell>
        </row>
        <row r="584">
          <cell r="M584" t="str">
            <v>1DB--</v>
          </cell>
          <cell r="N584" t="str">
            <v>SUBTOTAL PIPELINE - FABRICATION/DELIVERY</v>
          </cell>
          <cell r="Q584">
            <v>0</v>
          </cell>
          <cell r="R584">
            <v>0</v>
          </cell>
          <cell r="S584">
            <v>0</v>
          </cell>
          <cell r="T584">
            <v>0</v>
          </cell>
          <cell r="U584">
            <v>0</v>
          </cell>
          <cell r="X584" t="str">
            <v>1DAAI</v>
          </cell>
          <cell r="Y584" t="str">
            <v>PIPELINE - DIR. ENG.  PIPELINES</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X585" t="str">
            <v>1DAA-</v>
          </cell>
          <cell r="Y585" t="str">
            <v>SUBTOTAL - PIPELINE - DIRECT ENGINEERING</v>
          </cell>
          <cell r="Z585">
            <v>0</v>
          </cell>
          <cell r="AA585" t="str">
            <v>N/A</v>
          </cell>
          <cell r="AB585">
            <v>0</v>
          </cell>
          <cell r="AC585">
            <v>0</v>
          </cell>
          <cell r="AD585">
            <v>0</v>
          </cell>
          <cell r="AE585">
            <v>0</v>
          </cell>
          <cell r="AF585">
            <v>0</v>
          </cell>
          <cell r="AI585" t="str">
            <v>1DBAXA</v>
          </cell>
          <cell r="AJ585" t="str">
            <v>PIG LAUNCHING AND RECEIVING PACKAGES</v>
          </cell>
          <cell r="AQ585">
            <v>0</v>
          </cell>
        </row>
        <row r="586">
          <cell r="M586" t="str">
            <v>1DCA-</v>
          </cell>
          <cell r="N586" t="str">
            <v>PIPELINE - CONSTRUCTION - CIVIL</v>
          </cell>
          <cell r="Q586">
            <v>0</v>
          </cell>
          <cell r="R586">
            <v>0</v>
          </cell>
          <cell r="S586">
            <v>0</v>
          </cell>
          <cell r="T586">
            <v>0</v>
          </cell>
          <cell r="U586">
            <v>0</v>
          </cell>
          <cell r="AI586" t="str">
            <v>1DBAXB</v>
          </cell>
          <cell r="AJ586" t="str">
            <v>LINE BREAK VALVES</v>
          </cell>
          <cell r="AQ586">
            <v>0</v>
          </cell>
        </row>
        <row r="587">
          <cell r="M587" t="str">
            <v>1DCB-</v>
          </cell>
          <cell r="N587" t="str">
            <v>PIPELINE - CONSTRUCTION - MAJOR EQUIPMENT</v>
          </cell>
          <cell r="Q587">
            <v>0</v>
          </cell>
          <cell r="R587">
            <v>0</v>
          </cell>
          <cell r="S587">
            <v>0</v>
          </cell>
          <cell r="T587">
            <v>0</v>
          </cell>
          <cell r="U587">
            <v>0</v>
          </cell>
          <cell r="X587" t="str">
            <v>1DAIJ</v>
          </cell>
          <cell r="Y587" t="str">
            <v>PIPELINE  - PROCUREMENT   EMERGENCY DIESEL GENERATOR</v>
          </cell>
          <cell r="AF587">
            <v>0</v>
          </cell>
          <cell r="AG587">
            <v>0</v>
          </cell>
          <cell r="AH587">
            <v>0</v>
          </cell>
          <cell r="AI587" t="str">
            <v>1DBAXC</v>
          </cell>
          <cell r="AJ587" t="str">
            <v>CHEMICAL INJECTION SYSTEM ICL. CHEM TRANSFER PUMP</v>
          </cell>
          <cell r="AK587">
            <v>0</v>
          </cell>
          <cell r="AL587">
            <v>0</v>
          </cell>
          <cell r="AM587">
            <v>0</v>
          </cell>
          <cell r="AN587">
            <v>0</v>
          </cell>
          <cell r="AO587">
            <v>0</v>
          </cell>
          <cell r="AP587">
            <v>0</v>
          </cell>
          <cell r="AQ587">
            <v>0</v>
          </cell>
          <cell r="AR587">
            <v>0</v>
          </cell>
        </row>
        <row r="588">
          <cell r="M588" t="str">
            <v>1DCC-</v>
          </cell>
          <cell r="N588" t="str">
            <v>PIPELINE - CONSTRUCTION - BULKS</v>
          </cell>
          <cell r="Q588">
            <v>0</v>
          </cell>
          <cell r="R588">
            <v>0</v>
          </cell>
          <cell r="S588">
            <v>0</v>
          </cell>
          <cell r="T588">
            <v>0</v>
          </cell>
          <cell r="U588">
            <v>0</v>
          </cell>
          <cell r="X588" t="str">
            <v>1DAIS</v>
          </cell>
          <cell r="Y588" t="str">
            <v>PIPELINE  - PROCUREMENT   INSTRUMENTATION EQUIPMENT</v>
          </cell>
          <cell r="AF588">
            <v>0</v>
          </cell>
          <cell r="AG588">
            <v>0</v>
          </cell>
          <cell r="AH588">
            <v>0</v>
          </cell>
          <cell r="AI588" t="str">
            <v>1DBAXD</v>
          </cell>
          <cell r="AJ588" t="str">
            <v>CORROSION MONITORING SYSTEM</v>
          </cell>
          <cell r="AK588">
            <v>0</v>
          </cell>
          <cell r="AL588">
            <v>0</v>
          </cell>
          <cell r="AM588">
            <v>0</v>
          </cell>
          <cell r="AN588">
            <v>0</v>
          </cell>
          <cell r="AO588">
            <v>0</v>
          </cell>
          <cell r="AP588">
            <v>0</v>
          </cell>
          <cell r="AQ588">
            <v>0</v>
          </cell>
          <cell r="AR588">
            <v>0</v>
          </cell>
        </row>
        <row r="589">
          <cell r="M589" t="str">
            <v>1DCD-</v>
          </cell>
          <cell r="N589" t="str">
            <v>PIPELINE - CONSTRUCTION - CONSTRUCTION SPECIALTIES</v>
          </cell>
          <cell r="Q589">
            <v>0</v>
          </cell>
          <cell r="R589">
            <v>0</v>
          </cell>
          <cell r="S589">
            <v>0</v>
          </cell>
          <cell r="T589">
            <v>0</v>
          </cell>
          <cell r="U589">
            <v>0</v>
          </cell>
          <cell r="X589" t="str">
            <v>1DAIT</v>
          </cell>
          <cell r="Y589" t="str">
            <v>PIPELINE - PROCUREMENT   BULKS</v>
          </cell>
          <cell r="AF589">
            <v>0</v>
          </cell>
          <cell r="AG589">
            <v>0</v>
          </cell>
          <cell r="AH589">
            <v>0</v>
          </cell>
          <cell r="AI589" t="str">
            <v>1DBAXE</v>
          </cell>
          <cell r="AJ589" t="str">
            <v>CATHODIC PROTECTION  SYSTEM</v>
          </cell>
          <cell r="AK589">
            <v>0</v>
          </cell>
          <cell r="AL589">
            <v>0</v>
          </cell>
          <cell r="AM589">
            <v>0</v>
          </cell>
          <cell r="AN589">
            <v>0</v>
          </cell>
          <cell r="AO589">
            <v>0</v>
          </cell>
          <cell r="AP589">
            <v>0</v>
          </cell>
          <cell r="AQ589">
            <v>0</v>
          </cell>
          <cell r="AR589">
            <v>0</v>
          </cell>
        </row>
        <row r="590">
          <cell r="M590" t="str">
            <v>1DCE-</v>
          </cell>
          <cell r="N590" t="str">
            <v>PIPELINE - CONSTRUCTION - OTHER DIRECT WORK</v>
          </cell>
          <cell r="Q590">
            <v>0</v>
          </cell>
          <cell r="R590">
            <v>0</v>
          </cell>
          <cell r="S590">
            <v>0</v>
          </cell>
          <cell r="T590">
            <v>0</v>
          </cell>
          <cell r="U590">
            <v>0</v>
          </cell>
          <cell r="X590" t="str">
            <v>1DAIX</v>
          </cell>
          <cell r="Y590" t="str">
            <v>PIPELINE - PROCUREMENT   OTHER</v>
          </cell>
          <cell r="AF590">
            <v>0</v>
          </cell>
          <cell r="AG590">
            <v>0</v>
          </cell>
          <cell r="AH590">
            <v>0</v>
          </cell>
          <cell r="AI590" t="str">
            <v>1DBAXX</v>
          </cell>
          <cell r="AJ590" t="str">
            <v>OTHER EQUIPMENT -  OTHER</v>
          </cell>
          <cell r="AK590">
            <v>0</v>
          </cell>
          <cell r="AL590">
            <v>0</v>
          </cell>
          <cell r="AM590">
            <v>0</v>
          </cell>
          <cell r="AN590">
            <v>0</v>
          </cell>
          <cell r="AO590">
            <v>0</v>
          </cell>
          <cell r="AP590">
            <v>0</v>
          </cell>
          <cell r="AQ590">
            <v>0</v>
          </cell>
          <cell r="AR590">
            <v>0</v>
          </cell>
        </row>
        <row r="591">
          <cell r="M591" t="str">
            <v>1DCF-</v>
          </cell>
          <cell r="N591" t="str">
            <v>PIPELINE - CONSTRUCTION - INDIRECTS</v>
          </cell>
          <cell r="Q591">
            <v>0</v>
          </cell>
          <cell r="R591">
            <v>0</v>
          </cell>
          <cell r="S591">
            <v>0</v>
          </cell>
          <cell r="T591">
            <v>0</v>
          </cell>
          <cell r="U591">
            <v>0</v>
          </cell>
          <cell r="X591" t="str">
            <v>1DAI-</v>
          </cell>
          <cell r="Y591" t="str">
            <v>SUBTOTAL - PIPELINE - PROCUREMENT</v>
          </cell>
          <cell r="Z591">
            <v>0</v>
          </cell>
          <cell r="AA591" t="str">
            <v>N/A</v>
          </cell>
          <cell r="AB591">
            <v>0</v>
          </cell>
          <cell r="AC591">
            <v>0</v>
          </cell>
          <cell r="AD591">
            <v>0</v>
          </cell>
          <cell r="AE591">
            <v>0</v>
          </cell>
          <cell r="AF591">
            <v>0</v>
          </cell>
          <cell r="AG591">
            <v>0</v>
          </cell>
          <cell r="AH591">
            <v>0</v>
          </cell>
          <cell r="AI591" t="str">
            <v>1DBAX-</v>
          </cell>
          <cell r="AJ591" t="str">
            <v>SUBTOTAL OTHER EQUIPMENT</v>
          </cell>
          <cell r="AK591">
            <v>0</v>
          </cell>
          <cell r="AL591">
            <v>0</v>
          </cell>
          <cell r="AM591">
            <v>0</v>
          </cell>
          <cell r="AN591">
            <v>0</v>
          </cell>
          <cell r="AO591">
            <v>0</v>
          </cell>
          <cell r="AP591">
            <v>0</v>
          </cell>
          <cell r="AQ591">
            <v>0</v>
          </cell>
          <cell r="AR591">
            <v>0</v>
          </cell>
        </row>
        <row r="592">
          <cell r="M592" t="str">
            <v>1DC--</v>
          </cell>
          <cell r="N592" t="str">
            <v>SUBTOTAL PIPELINE - CONSTRUCTION</v>
          </cell>
          <cell r="Q592">
            <v>0</v>
          </cell>
          <cell r="R592">
            <v>0</v>
          </cell>
          <cell r="S592">
            <v>0</v>
          </cell>
          <cell r="T592">
            <v>0</v>
          </cell>
          <cell r="U592">
            <v>0</v>
          </cell>
        </row>
        <row r="593">
          <cell r="X593" t="str">
            <v>1DAJA</v>
          </cell>
          <cell r="Y593" t="str">
            <v>PIPELINE - INDIRECT ENG'G CONTRACTS</v>
          </cell>
          <cell r="AF593">
            <v>0</v>
          </cell>
          <cell r="AG593">
            <v>0</v>
          </cell>
          <cell r="AH593">
            <v>0</v>
          </cell>
          <cell r="AI593" t="str">
            <v>1DBBEA</v>
          </cell>
          <cell r="AJ593" t="str">
            <v>FAB/DELIVERY BULKS - SEAMLESS COATED PIPE</v>
          </cell>
          <cell r="AK593">
            <v>0</v>
          </cell>
          <cell r="AL593">
            <v>0</v>
          </cell>
          <cell r="AM593">
            <v>0</v>
          </cell>
          <cell r="AN593">
            <v>0</v>
          </cell>
          <cell r="AO593">
            <v>0</v>
          </cell>
          <cell r="AP593">
            <v>0</v>
          </cell>
          <cell r="AQ593">
            <v>0</v>
          </cell>
          <cell r="AR593">
            <v>0</v>
          </cell>
        </row>
        <row r="594">
          <cell r="M594" t="str">
            <v>1DDA-</v>
          </cell>
          <cell r="N594" t="str">
            <v>PIPELINE - COMMISSIONING</v>
          </cell>
          <cell r="Q594">
            <v>0</v>
          </cell>
          <cell r="R594">
            <v>0</v>
          </cell>
          <cell r="S594">
            <v>0</v>
          </cell>
          <cell r="T594">
            <v>0</v>
          </cell>
          <cell r="U594">
            <v>0</v>
          </cell>
          <cell r="X594" t="str">
            <v>1DAJB</v>
          </cell>
          <cell r="Y594" t="str">
            <v>PIPELINE - INDIRECT ENG'G PROJECT MANAGEMENT</v>
          </cell>
          <cell r="AF594">
            <v>0</v>
          </cell>
          <cell r="AG594">
            <v>0</v>
          </cell>
          <cell r="AH594">
            <v>0</v>
          </cell>
          <cell r="AI594" t="str">
            <v>1DBBEB</v>
          </cell>
          <cell r="AJ594" t="str">
            <v>FAB/DELIVERY BULKS - BARRED TEES</v>
          </cell>
          <cell r="AK594">
            <v>0</v>
          </cell>
          <cell r="AL594">
            <v>0</v>
          </cell>
          <cell r="AM594">
            <v>0</v>
          </cell>
          <cell r="AN594">
            <v>0</v>
          </cell>
          <cell r="AO594">
            <v>0</v>
          </cell>
          <cell r="AP594">
            <v>0</v>
          </cell>
          <cell r="AQ594">
            <v>0</v>
          </cell>
          <cell r="AR594">
            <v>0</v>
          </cell>
        </row>
        <row r="595">
          <cell r="M595" t="str">
            <v>1DD--</v>
          </cell>
          <cell r="N595" t="str">
            <v>SUBTOTAL PIPELINE - COMMISSIONING</v>
          </cell>
          <cell r="Q595">
            <v>0</v>
          </cell>
          <cell r="R595">
            <v>0</v>
          </cell>
          <cell r="S595">
            <v>0</v>
          </cell>
          <cell r="T595">
            <v>0</v>
          </cell>
          <cell r="U595">
            <v>0</v>
          </cell>
          <cell r="X595" t="str">
            <v>1DAJC</v>
          </cell>
          <cell r="Y595" t="str">
            <v>PIPELINE - INDIRECT ENG'G ENGINEERING/NON-TECH</v>
          </cell>
          <cell r="AF595">
            <v>0</v>
          </cell>
          <cell r="AG595">
            <v>0</v>
          </cell>
          <cell r="AH595">
            <v>0</v>
          </cell>
          <cell r="AI595" t="str">
            <v>1DBBEC</v>
          </cell>
          <cell r="AJ595" t="str">
            <v>FAB/DELIVERY BULKS - PIPELINE - SPECIFY</v>
          </cell>
          <cell r="AK595">
            <v>0</v>
          </cell>
          <cell r="AL595">
            <v>0</v>
          </cell>
          <cell r="AM595">
            <v>0</v>
          </cell>
          <cell r="AN595">
            <v>0</v>
          </cell>
          <cell r="AO595">
            <v>0</v>
          </cell>
          <cell r="AP595">
            <v>0</v>
          </cell>
          <cell r="AQ595">
            <v>0</v>
          </cell>
          <cell r="AR595">
            <v>0</v>
          </cell>
        </row>
        <row r="596">
          <cell r="X596" t="str">
            <v>1DAJX</v>
          </cell>
          <cell r="Y596" t="str">
            <v>PIPELINE - INDIRECT ENG'G OTHER</v>
          </cell>
          <cell r="AF596">
            <v>0</v>
          </cell>
          <cell r="AG596">
            <v>0</v>
          </cell>
          <cell r="AH596">
            <v>0</v>
          </cell>
          <cell r="AI596" t="str">
            <v>1DBBEX</v>
          </cell>
          <cell r="AJ596" t="str">
            <v>FAB/DELIVERY BULKS -  OTHER PIPELINES</v>
          </cell>
          <cell r="AK596">
            <v>0</v>
          </cell>
          <cell r="AL596">
            <v>0</v>
          </cell>
          <cell r="AM596">
            <v>0</v>
          </cell>
          <cell r="AN596">
            <v>0</v>
          </cell>
          <cell r="AO596">
            <v>0</v>
          </cell>
          <cell r="AP596">
            <v>0</v>
          </cell>
          <cell r="AQ596">
            <v>0</v>
          </cell>
          <cell r="AR596">
            <v>0</v>
          </cell>
        </row>
        <row r="597">
          <cell r="X597" t="str">
            <v>1DAJ-</v>
          </cell>
          <cell r="Y597" t="str">
            <v>SUBTOTAL - PIPELINE - INDIRECT ENGINEERING</v>
          </cell>
          <cell r="Z597">
            <v>0</v>
          </cell>
          <cell r="AA597" t="str">
            <v>N/A</v>
          </cell>
          <cell r="AB597">
            <v>0</v>
          </cell>
          <cell r="AC597">
            <v>0</v>
          </cell>
          <cell r="AD597">
            <v>0</v>
          </cell>
          <cell r="AE597">
            <v>0</v>
          </cell>
          <cell r="AF597">
            <v>0</v>
          </cell>
          <cell r="AI597" t="str">
            <v>1DBBE-</v>
          </cell>
          <cell r="AJ597" t="str">
            <v>SUBTOTAL - FAB/DELIVERY BULKS -PIPELINES</v>
          </cell>
          <cell r="AK597">
            <v>0</v>
          </cell>
          <cell r="AL597">
            <v>0</v>
          </cell>
          <cell r="AM597">
            <v>0</v>
          </cell>
          <cell r="AN597">
            <v>0</v>
          </cell>
          <cell r="AO597">
            <v>0</v>
          </cell>
          <cell r="AP597">
            <v>0</v>
          </cell>
          <cell r="AQ597">
            <v>0</v>
          </cell>
        </row>
        <row r="600">
          <cell r="AI600" t="str">
            <v>1DCBSA</v>
          </cell>
          <cell r="AJ600" t="str">
            <v>FIBER-OPTIC CABLE</v>
          </cell>
          <cell r="AQ600">
            <v>0</v>
          </cell>
        </row>
        <row r="601">
          <cell r="AI601" t="str">
            <v>1DCBSB</v>
          </cell>
          <cell r="AJ601" t="str">
            <v>SCADA</v>
          </cell>
          <cell r="AQ601">
            <v>0</v>
          </cell>
        </row>
        <row r="602">
          <cell r="AI602" t="str">
            <v>1DCBSX</v>
          </cell>
          <cell r="AJ602" t="str">
            <v>OTHER</v>
          </cell>
          <cell r="AQ602">
            <v>0</v>
          </cell>
        </row>
        <row r="603">
          <cell r="AI603" t="str">
            <v>1DCBJ-</v>
          </cell>
          <cell r="AJ603" t="str">
            <v>SUBTOTAL - CONST.-  INSTRUMENTATION EQUIPMENT</v>
          </cell>
          <cell r="AK603">
            <v>0</v>
          </cell>
          <cell r="AL603">
            <v>0</v>
          </cell>
          <cell r="AM603">
            <v>0</v>
          </cell>
          <cell r="AN603">
            <v>0</v>
          </cell>
          <cell r="AO603">
            <v>0</v>
          </cell>
          <cell r="AP603">
            <v>0</v>
          </cell>
          <cell r="AQ603">
            <v>0</v>
          </cell>
        </row>
        <row r="605">
          <cell r="AI605" t="str">
            <v>1DCCEA</v>
          </cell>
          <cell r="AJ605" t="str">
            <v>TRENCHING</v>
          </cell>
          <cell r="AQ605">
            <v>0</v>
          </cell>
        </row>
        <row r="606">
          <cell r="AI606" t="str">
            <v>1DCCEB</v>
          </cell>
          <cell r="AJ606" t="str">
            <v>CONSTRUCTION</v>
          </cell>
          <cell r="AQ606">
            <v>0</v>
          </cell>
        </row>
        <row r="607">
          <cell r="AI607" t="str">
            <v>1DCCEC</v>
          </cell>
          <cell r="AJ607" t="str">
            <v>HYDROTESTING</v>
          </cell>
          <cell r="AQ607">
            <v>0</v>
          </cell>
        </row>
        <row r="608">
          <cell r="AI608" t="str">
            <v>1DCCED</v>
          </cell>
          <cell r="AJ608" t="str">
            <v>LBV STATIONS</v>
          </cell>
          <cell r="AQ608">
            <v>0</v>
          </cell>
        </row>
        <row r="609">
          <cell r="AI609" t="str">
            <v>1DCCEX</v>
          </cell>
          <cell r="AJ609" t="str">
            <v>OTHER</v>
          </cell>
          <cell r="AQ609">
            <v>0</v>
          </cell>
        </row>
        <row r="610">
          <cell r="AI610" t="str">
            <v>1DCCE-</v>
          </cell>
          <cell r="AJ610" t="str">
            <v>SUBTOTAL - CONSTRUCTION, BULKS - PIPELINES</v>
          </cell>
          <cell r="AK610">
            <v>0</v>
          </cell>
          <cell r="AL610">
            <v>0</v>
          </cell>
          <cell r="AM610">
            <v>0</v>
          </cell>
          <cell r="AN610">
            <v>0</v>
          </cell>
          <cell r="AO610">
            <v>0</v>
          </cell>
          <cell r="AP610">
            <v>0</v>
          </cell>
          <cell r="AQ610">
            <v>0</v>
          </cell>
        </row>
        <row r="618">
          <cell r="W618" t="str">
            <v>LEVEL 2 PIPELINE PG.2</v>
          </cell>
          <cell r="X618" t="str">
            <v>WBS CODE</v>
          </cell>
          <cell r="Y618" t="str">
            <v>DESCRIPTION</v>
          </cell>
          <cell r="Z618" t="str">
            <v>QUANTITY</v>
          </cell>
          <cell r="AA618" t="str">
            <v>UNITS</v>
          </cell>
          <cell r="AB618" t="str">
            <v>TOTAL MANHOURS</v>
          </cell>
          <cell r="AC618" t="str">
            <v>TOTAL LABOR COST</v>
          </cell>
          <cell r="AD618" t="str">
            <v>TOTAL MAT'L COST</v>
          </cell>
          <cell r="AE618" t="str">
            <v>TOTAL S/C COST</v>
          </cell>
          <cell r="AF618" t="str">
            <v>TOTAL COST</v>
          </cell>
        </row>
        <row r="620">
          <cell r="X620" t="str">
            <v>1DBAJ</v>
          </cell>
          <cell r="Y620" t="str">
            <v>PIPELINE  - FAB/DELIVERY MAJOR EQUIP EMEGENCY DIESEL GENERATOR</v>
          </cell>
          <cell r="AF620">
            <v>0</v>
          </cell>
          <cell r="AG620">
            <v>0</v>
          </cell>
        </row>
        <row r="621">
          <cell r="X621" t="str">
            <v>1DBAS</v>
          </cell>
          <cell r="Y621" t="str">
            <v>PIPELINE  - FAB/DELIVERY MAJOR EQUIP INSTRUMENTATION EQUIPMENT</v>
          </cell>
          <cell r="Z621">
            <v>0</v>
          </cell>
          <cell r="AA621">
            <v>0</v>
          </cell>
          <cell r="AB621">
            <v>0</v>
          </cell>
          <cell r="AC621">
            <v>0</v>
          </cell>
          <cell r="AD621">
            <v>0</v>
          </cell>
          <cell r="AE621">
            <v>0</v>
          </cell>
          <cell r="AF621">
            <v>0</v>
          </cell>
        </row>
        <row r="622">
          <cell r="X622" t="str">
            <v>1DBAX</v>
          </cell>
          <cell r="Y622" t="str">
            <v>PIPELINE - FAB/DELIVERY MAJOR EQUIP OTHER</v>
          </cell>
          <cell r="Z622">
            <v>0</v>
          </cell>
          <cell r="AA622">
            <v>0</v>
          </cell>
          <cell r="AB622">
            <v>0</v>
          </cell>
          <cell r="AC622">
            <v>0</v>
          </cell>
          <cell r="AD622">
            <v>0</v>
          </cell>
          <cell r="AE622">
            <v>0</v>
          </cell>
          <cell r="AF622">
            <v>0</v>
          </cell>
        </row>
        <row r="623">
          <cell r="X623" t="str">
            <v>1DBA-</v>
          </cell>
          <cell r="Y623" t="str">
            <v>SUBTOTAL - PIPELINE - FAB/DELIVERY MAJOR EQUIP.</v>
          </cell>
          <cell r="Z623">
            <v>0</v>
          </cell>
          <cell r="AA623" t="str">
            <v>N/A</v>
          </cell>
          <cell r="AB623">
            <v>0</v>
          </cell>
          <cell r="AC623">
            <v>0</v>
          </cell>
          <cell r="AD623">
            <v>0</v>
          </cell>
          <cell r="AE623">
            <v>0</v>
          </cell>
          <cell r="AF623">
            <v>0</v>
          </cell>
        </row>
        <row r="625">
          <cell r="X625" t="str">
            <v>1DBBA</v>
          </cell>
          <cell r="Y625" t="str">
            <v>PIPELINE - FAB/DELIVERY BULKS - STRUCTURAL</v>
          </cell>
          <cell r="AF625">
            <v>0</v>
          </cell>
          <cell r="AG625">
            <v>0</v>
          </cell>
        </row>
        <row r="626">
          <cell r="X626" t="str">
            <v>1DBBB</v>
          </cell>
          <cell r="Y626" t="str">
            <v>PIPELINE - FAB/DELIVERY BULKS - PIPING &amp; VALVES</v>
          </cell>
          <cell r="AF626">
            <v>0</v>
          </cell>
          <cell r="AG626">
            <v>0</v>
          </cell>
        </row>
        <row r="627">
          <cell r="X627" t="str">
            <v>1DBBC</v>
          </cell>
          <cell r="Y627" t="str">
            <v>PIPELINE - FAB/DELIVERY BULKS - ELECTRICAL</v>
          </cell>
          <cell r="AF627">
            <v>0</v>
          </cell>
          <cell r="AG627">
            <v>0</v>
          </cell>
        </row>
        <row r="628">
          <cell r="X628" t="str">
            <v>1DBBD</v>
          </cell>
          <cell r="Y628" t="str">
            <v>PIPELINE - FAB/DELIVERY BULKS - INSTRUMENTATION</v>
          </cell>
          <cell r="AF628">
            <v>0</v>
          </cell>
          <cell r="AG628">
            <v>0</v>
          </cell>
        </row>
        <row r="629">
          <cell r="X629" t="str">
            <v>1DBBE</v>
          </cell>
          <cell r="Y629" t="str">
            <v>PIPELINE - FAB/DELIVERY BULKS - PIPELINES</v>
          </cell>
          <cell r="Z629">
            <v>0</v>
          </cell>
          <cell r="AA629">
            <v>0</v>
          </cell>
          <cell r="AB629">
            <v>0</v>
          </cell>
          <cell r="AC629">
            <v>0</v>
          </cell>
          <cell r="AD629">
            <v>0</v>
          </cell>
          <cell r="AE629">
            <v>0</v>
          </cell>
          <cell r="AF629">
            <v>0</v>
          </cell>
        </row>
        <row r="630">
          <cell r="X630" t="str">
            <v>1DBB-</v>
          </cell>
          <cell r="Y630" t="str">
            <v>SUBTOTAL - PIPELINE - FAB/DELIVERY BULKS</v>
          </cell>
          <cell r="Z630">
            <v>0</v>
          </cell>
          <cell r="AA630" t="str">
            <v>N/A</v>
          </cell>
          <cell r="AB630">
            <v>0</v>
          </cell>
          <cell r="AC630">
            <v>0</v>
          </cell>
          <cell r="AD630">
            <v>0</v>
          </cell>
          <cell r="AE630">
            <v>0</v>
          </cell>
          <cell r="AF630">
            <v>0</v>
          </cell>
        </row>
        <row r="632">
          <cell r="X632" t="str">
            <v>1DBCX</v>
          </cell>
          <cell r="Y632" t="str">
            <v>PIPELINE - FAB/DEL ENG. SPEC.IALTIES - SPECIFY</v>
          </cell>
          <cell r="AF632">
            <v>0</v>
          </cell>
          <cell r="AG632">
            <v>0</v>
          </cell>
        </row>
        <row r="633">
          <cell r="X633" t="str">
            <v>1DBC-</v>
          </cell>
          <cell r="Y633" t="str">
            <v>SUBTOTAL - PIPELINE - FAB/DELIVERY ENGINEERING SPECIALTIES</v>
          </cell>
          <cell r="Z633">
            <v>0</v>
          </cell>
          <cell r="AA633" t="str">
            <v>N/A</v>
          </cell>
          <cell r="AB633">
            <v>0</v>
          </cell>
          <cell r="AC633">
            <v>0</v>
          </cell>
          <cell r="AD633">
            <v>0</v>
          </cell>
          <cell r="AE633">
            <v>0</v>
          </cell>
          <cell r="AF633">
            <v>0</v>
          </cell>
        </row>
        <row r="635">
          <cell r="X635" t="str">
            <v>1DCAA</v>
          </cell>
          <cell r="Y635" t="str">
            <v>PIPELINE - CONSTRUCTION, CIVIL - SITE WORK</v>
          </cell>
          <cell r="AF635">
            <v>0</v>
          </cell>
          <cell r="AG635">
            <v>0</v>
          </cell>
        </row>
        <row r="636">
          <cell r="X636" t="str">
            <v>1DCAB</v>
          </cell>
          <cell r="Y636" t="str">
            <v>PIPELINE - CONSTRUCTION, CIVIL - FOUNDATIONS</v>
          </cell>
          <cell r="AF636">
            <v>0</v>
          </cell>
          <cell r="AG636">
            <v>0</v>
          </cell>
        </row>
        <row r="637">
          <cell r="X637" t="str">
            <v>1DCA</v>
          </cell>
          <cell r="Y637" t="str">
            <v>SUBTOTAL - PIPELINE - CONSTRUCTION, CIVIL</v>
          </cell>
          <cell r="Z637">
            <v>0</v>
          </cell>
          <cell r="AA637" t="str">
            <v>N/A</v>
          </cell>
          <cell r="AB637">
            <v>0</v>
          </cell>
          <cell r="AC637">
            <v>0</v>
          </cell>
          <cell r="AD637">
            <v>0</v>
          </cell>
          <cell r="AE637">
            <v>0</v>
          </cell>
          <cell r="AF637">
            <v>0</v>
          </cell>
        </row>
        <row r="639">
          <cell r="X639" t="str">
            <v>1DCBJ</v>
          </cell>
          <cell r="Y639" t="str">
            <v>PIPELINE  - CONSTRUCTION MAJOR EQUIP EMEGENCY DIESEL GENERATOR</v>
          </cell>
          <cell r="AF639">
            <v>0</v>
          </cell>
          <cell r="AG639">
            <v>0</v>
          </cell>
        </row>
        <row r="640">
          <cell r="X640" t="str">
            <v>1DCBS</v>
          </cell>
          <cell r="Y640" t="str">
            <v>PIPELINE  - CONSTRUCTION MAJOR EQUIP -  INSTRUMENTATION EQUIPMENT</v>
          </cell>
          <cell r="Z640">
            <v>0</v>
          </cell>
          <cell r="AA640">
            <v>0</v>
          </cell>
          <cell r="AB640">
            <v>0</v>
          </cell>
          <cell r="AC640">
            <v>0</v>
          </cell>
          <cell r="AD640">
            <v>0</v>
          </cell>
          <cell r="AE640">
            <v>0</v>
          </cell>
          <cell r="AF640">
            <v>0</v>
          </cell>
        </row>
        <row r="641">
          <cell r="X641" t="str">
            <v>1DCBX</v>
          </cell>
          <cell r="Y641" t="str">
            <v>PIPELINE  - CONSTRUCTION MAJOR EQUIP - OTHER</v>
          </cell>
          <cell r="AF641">
            <v>0</v>
          </cell>
          <cell r="AG641">
            <v>0</v>
          </cell>
        </row>
        <row r="642">
          <cell r="X642" t="str">
            <v>1DCB-</v>
          </cell>
          <cell r="Y642" t="str">
            <v>SUBTOTAL - PIPELINE - CONST., MAJOR EQUIPMENT</v>
          </cell>
          <cell r="Z642">
            <v>0</v>
          </cell>
          <cell r="AA642" t="str">
            <v>N/A</v>
          </cell>
          <cell r="AB642">
            <v>0</v>
          </cell>
          <cell r="AC642">
            <v>0</v>
          </cell>
          <cell r="AD642">
            <v>0</v>
          </cell>
          <cell r="AE642">
            <v>0</v>
          </cell>
          <cell r="AF642">
            <v>0</v>
          </cell>
        </row>
        <row r="644">
          <cell r="X644" t="str">
            <v>1DCCA</v>
          </cell>
          <cell r="Y644" t="str">
            <v>PIPELINE - CONSTRUCTION, BULKS - STRUCTURAL</v>
          </cell>
          <cell r="AF644">
            <v>0</v>
          </cell>
          <cell r="AG644">
            <v>0</v>
          </cell>
        </row>
        <row r="645">
          <cell r="X645" t="str">
            <v>1DCCB</v>
          </cell>
          <cell r="Y645" t="str">
            <v>PIPELINE - CONSTRUCTION, BULKS - PIPING &amp; VALVES</v>
          </cell>
          <cell r="AF645">
            <v>0</v>
          </cell>
          <cell r="AG645">
            <v>0</v>
          </cell>
        </row>
        <row r="646">
          <cell r="X646" t="str">
            <v>1DCCC</v>
          </cell>
          <cell r="Y646" t="str">
            <v>PIPELINE - CONSTRUCTION, BULKS - ELECTRICAL</v>
          </cell>
          <cell r="AF646">
            <v>0</v>
          </cell>
          <cell r="AG646">
            <v>0</v>
          </cell>
        </row>
        <row r="647">
          <cell r="X647" t="str">
            <v>1DCCD</v>
          </cell>
          <cell r="Y647" t="str">
            <v>PIPELINE - CONSTRUCTION, BULKS - INSTRUMENTATION</v>
          </cell>
          <cell r="AF647">
            <v>0</v>
          </cell>
          <cell r="AG647">
            <v>0</v>
          </cell>
        </row>
        <row r="648">
          <cell r="X648" t="str">
            <v>1DCCE</v>
          </cell>
          <cell r="Y648" t="str">
            <v>PIPELINE - CONSTRUCTION, BULKS - PIPELINES</v>
          </cell>
          <cell r="Z648">
            <v>0</v>
          </cell>
          <cell r="AA648">
            <v>0</v>
          </cell>
          <cell r="AB648">
            <v>0</v>
          </cell>
          <cell r="AC648">
            <v>0</v>
          </cell>
          <cell r="AD648">
            <v>0</v>
          </cell>
          <cell r="AE648">
            <v>0</v>
          </cell>
          <cell r="AF648">
            <v>0</v>
          </cell>
        </row>
        <row r="649">
          <cell r="X649" t="str">
            <v>1DCC-</v>
          </cell>
          <cell r="Y649" t="str">
            <v xml:space="preserve">SUBTOTAL - PIPELINE - CONSTRUCTION, BULKS </v>
          </cell>
          <cell r="Z649">
            <v>0</v>
          </cell>
          <cell r="AA649" t="str">
            <v>N/A</v>
          </cell>
          <cell r="AB649">
            <v>0</v>
          </cell>
          <cell r="AC649">
            <v>0</v>
          </cell>
          <cell r="AD649">
            <v>0</v>
          </cell>
          <cell r="AE649">
            <v>0</v>
          </cell>
          <cell r="AF649">
            <v>0</v>
          </cell>
        </row>
        <row r="651">
          <cell r="X651" t="str">
            <v>1DCDB</v>
          </cell>
          <cell r="Y651" t="str">
            <v>PIPELINE - CONSTRUCTION SPECIALTIES - GENERAL</v>
          </cell>
          <cell r="AF651">
            <v>0</v>
          </cell>
          <cell r="AG651">
            <v>0</v>
          </cell>
        </row>
        <row r="652">
          <cell r="X652" t="str">
            <v>1DCD-</v>
          </cell>
          <cell r="Y652" t="str">
            <v>SUBTOTAL - PIPELINE - CONSTRUCTION SPECIALTIES</v>
          </cell>
          <cell r="Z652">
            <v>0</v>
          </cell>
          <cell r="AA652" t="str">
            <v>N/A</v>
          </cell>
          <cell r="AB652">
            <v>0</v>
          </cell>
          <cell r="AC652">
            <v>0</v>
          </cell>
          <cell r="AD652">
            <v>0</v>
          </cell>
          <cell r="AE652">
            <v>0</v>
          </cell>
          <cell r="AF652">
            <v>0</v>
          </cell>
        </row>
        <row r="662">
          <cell r="W662" t="str">
            <v>LEVEL 2 PIPELINE PG.3</v>
          </cell>
          <cell r="X662" t="str">
            <v>WBS CODE</v>
          </cell>
          <cell r="Y662" t="str">
            <v>DESCRIPTION</v>
          </cell>
          <cell r="Z662" t="str">
            <v>QUANTITY</v>
          </cell>
          <cell r="AA662" t="str">
            <v>UNITS</v>
          </cell>
          <cell r="AB662" t="str">
            <v>TOTAL MANHOURS</v>
          </cell>
          <cell r="AC662" t="str">
            <v>TOTAL LABOR COST</v>
          </cell>
          <cell r="AD662" t="str">
            <v>TOTAL MAT'L COST</v>
          </cell>
          <cell r="AE662" t="str">
            <v>TOTAL S/C COST</v>
          </cell>
          <cell r="AF662" t="str">
            <v>TOTAL COST</v>
          </cell>
        </row>
        <row r="664">
          <cell r="X664" t="str">
            <v>1DCEA</v>
          </cell>
          <cell r="Y664" t="str">
            <v>PIPELINE - CONSTRUCTION, OTHER DIRECT WORK - FIRE PROTECTION</v>
          </cell>
          <cell r="AF664">
            <v>0</v>
          </cell>
          <cell r="AG664">
            <v>0</v>
          </cell>
        </row>
        <row r="665">
          <cell r="X665" t="str">
            <v>1DCEB</v>
          </cell>
          <cell r="Y665" t="str">
            <v>PIPELINE - CONSTRUCTION, OTHER DIRECT WORK - FIREPROOFING</v>
          </cell>
          <cell r="AF665">
            <v>0</v>
          </cell>
          <cell r="AG665">
            <v>0</v>
          </cell>
        </row>
        <row r="666">
          <cell r="X666" t="str">
            <v>1DCEC</v>
          </cell>
          <cell r="Y666" t="str">
            <v>PIPELINE - CONSTRUCTION, OTHER DIRECT WORK - INSULATION</v>
          </cell>
          <cell r="AF666">
            <v>0</v>
          </cell>
          <cell r="AG666">
            <v>0</v>
          </cell>
        </row>
        <row r="667">
          <cell r="X667" t="str">
            <v>1DCED</v>
          </cell>
          <cell r="Y667" t="str">
            <v>PIPELINE - CONSTRUCTION, OTHER DIRECT WORK - PAINTING</v>
          </cell>
          <cell r="AF667">
            <v>0</v>
          </cell>
          <cell r="AG667">
            <v>0</v>
          </cell>
        </row>
        <row r="668">
          <cell r="X668" t="str">
            <v>1DCEE</v>
          </cell>
          <cell r="Y668" t="str">
            <v>PIPELINE - CONSTRUCTION, OTHER DIRECT WORK - SHUTDOWN</v>
          </cell>
          <cell r="AF668">
            <v>0</v>
          </cell>
          <cell r="AG668">
            <v>0</v>
          </cell>
        </row>
        <row r="669">
          <cell r="X669" t="str">
            <v>1DCEF</v>
          </cell>
          <cell r="Y669" t="str">
            <v>PIPELINE - CONSTRUCTION, OTHER DIRECT WORK - PRE-COMMISSIONING</v>
          </cell>
          <cell r="AF669">
            <v>0</v>
          </cell>
          <cell r="AG669">
            <v>0</v>
          </cell>
        </row>
        <row r="670">
          <cell r="X670" t="str">
            <v>1DCEG</v>
          </cell>
          <cell r="Y670" t="str">
            <v>PIPELINE - CONSTRUCTION, OTHER DIRECT WORK - ENVIRONMENTAL</v>
          </cell>
          <cell r="AF670">
            <v>0</v>
          </cell>
          <cell r="AG670">
            <v>0</v>
          </cell>
        </row>
        <row r="671">
          <cell r="X671" t="str">
            <v>1DCEX</v>
          </cell>
          <cell r="Y671" t="str">
            <v>PIPELINE - CONSTRUCTION, OTHER DIRECT WORK - OTHER</v>
          </cell>
          <cell r="AF671">
            <v>0</v>
          </cell>
          <cell r="AG671">
            <v>0</v>
          </cell>
        </row>
        <row r="672">
          <cell r="X672" t="str">
            <v>1DCE</v>
          </cell>
          <cell r="Y672" t="str">
            <v xml:space="preserve">SUBTOTAL - PIPELINE - CONSTRUCTION, OTHER DIRECT WORK - </v>
          </cell>
          <cell r="Z672">
            <v>0</v>
          </cell>
          <cell r="AA672" t="str">
            <v>N/A</v>
          </cell>
          <cell r="AB672">
            <v>0</v>
          </cell>
          <cell r="AC672">
            <v>0</v>
          </cell>
          <cell r="AD672">
            <v>0</v>
          </cell>
          <cell r="AE672">
            <v>0</v>
          </cell>
          <cell r="AF672">
            <v>0</v>
          </cell>
        </row>
        <row r="674">
          <cell r="X674" t="str">
            <v>1DCFA</v>
          </cell>
          <cell r="Y674" t="str">
            <v>PIPELINE - CONSTRUCTION INDIRECTS</v>
          </cell>
          <cell r="AF674">
            <v>0</v>
          </cell>
          <cell r="AG674">
            <v>0</v>
          </cell>
        </row>
        <row r="675">
          <cell r="X675" t="str">
            <v>1DCF</v>
          </cell>
          <cell r="Y675" t="str">
            <v>SUBTOTAL - PIPELINE - CONSTRUCTION INDIRECTS</v>
          </cell>
          <cell r="Z675">
            <v>0</v>
          </cell>
          <cell r="AA675" t="str">
            <v>N/A</v>
          </cell>
          <cell r="AB675">
            <v>0</v>
          </cell>
          <cell r="AC675">
            <v>0</v>
          </cell>
          <cell r="AD675">
            <v>0</v>
          </cell>
          <cell r="AE675">
            <v>0</v>
          </cell>
          <cell r="AF675">
            <v>0</v>
          </cell>
        </row>
        <row r="677">
          <cell r="X677" t="str">
            <v>1DDAA</v>
          </cell>
          <cell r="Y677" t="str">
            <v>PIPELINE - COMMISSIONING - PROCESS</v>
          </cell>
          <cell r="AF677">
            <v>0</v>
          </cell>
          <cell r="AG677">
            <v>0</v>
          </cell>
        </row>
        <row r="678">
          <cell r="X678" t="str">
            <v>1DDAB</v>
          </cell>
          <cell r="Y678" t="str">
            <v>PIPELINE - COMMISSIONING - UTILITIES</v>
          </cell>
          <cell r="AF678">
            <v>0</v>
          </cell>
          <cell r="AG678">
            <v>0</v>
          </cell>
        </row>
        <row r="679">
          <cell r="X679" t="str">
            <v>1DDA-</v>
          </cell>
          <cell r="Y679" t="str">
            <v>SUBTOTAL - PIPELINE - COMMISSIONING</v>
          </cell>
          <cell r="Z679">
            <v>0</v>
          </cell>
          <cell r="AA679" t="str">
            <v>N/A</v>
          </cell>
          <cell r="AB679">
            <v>0</v>
          </cell>
          <cell r="AC679">
            <v>0</v>
          </cell>
          <cell r="AD679">
            <v>0</v>
          </cell>
          <cell r="AE679">
            <v>0</v>
          </cell>
          <cell r="AF679">
            <v>0</v>
          </cell>
        </row>
        <row r="706">
          <cell r="L706" t="str">
            <v>CYCLE &amp; LVL 1    TANK</v>
          </cell>
          <cell r="M706" t="str">
            <v>WBS CODE</v>
          </cell>
          <cell r="N706" t="str">
            <v>DESCRIPTION</v>
          </cell>
          <cell r="O706" t="str">
            <v>QUANTITY</v>
          </cell>
          <cell r="P706" t="str">
            <v>UNITS</v>
          </cell>
          <cell r="Q706" t="str">
            <v>TOTAL MANHOURS</v>
          </cell>
          <cell r="R706" t="str">
            <v>TOTAL LABOR COST</v>
          </cell>
          <cell r="S706" t="str">
            <v>TOTAL MAT'L COST</v>
          </cell>
          <cell r="T706" t="str">
            <v>TOTAL S/C COST</v>
          </cell>
          <cell r="U706" t="str">
            <v>TOTAL COST</v>
          </cell>
          <cell r="W706" t="str">
            <v>LEVEL 2 TANK PG.1</v>
          </cell>
          <cell r="X706" t="str">
            <v>WBS CODE</v>
          </cell>
          <cell r="Y706" t="str">
            <v>DESCRIPTION</v>
          </cell>
          <cell r="Z706" t="str">
            <v>QUANTITY</v>
          </cell>
          <cell r="AA706" t="str">
            <v>UNITS</v>
          </cell>
          <cell r="AB706" t="str">
            <v>TOTAL MANHOURS</v>
          </cell>
          <cell r="AC706" t="str">
            <v>TOTAL LABOR COST</v>
          </cell>
          <cell r="AD706" t="str">
            <v>TOTAL MAT'L COST</v>
          </cell>
          <cell r="AE706" t="str">
            <v>TOTAL S/C COST</v>
          </cell>
          <cell r="AF706" t="str">
            <v>TOTAL COST</v>
          </cell>
          <cell r="AG706">
            <v>0</v>
          </cell>
          <cell r="AH706" t="str">
            <v>LEVEL 3 TANK PG 1</v>
          </cell>
          <cell r="AI706" t="str">
            <v>WBS CODE</v>
          </cell>
          <cell r="AJ706" t="str">
            <v>DESCRIPTION</v>
          </cell>
          <cell r="AK706" t="str">
            <v>QUANTITY</v>
          </cell>
          <cell r="AL706" t="str">
            <v>UNITS</v>
          </cell>
          <cell r="AM706" t="str">
            <v>TOTAL MANHOURS</v>
          </cell>
          <cell r="AN706" t="str">
            <v>TOTAL LABOR COST</v>
          </cell>
          <cell r="AO706" t="str">
            <v>TOTAL MAT'L COST</v>
          </cell>
          <cell r="AP706" t="str">
            <v>TOTAL S/C COST</v>
          </cell>
          <cell r="AQ706" t="str">
            <v>TOTAL COST</v>
          </cell>
          <cell r="AR706">
            <v>0</v>
          </cell>
        </row>
        <row r="708">
          <cell r="M708" t="str">
            <v>1EAA-</v>
          </cell>
          <cell r="N708" t="str">
            <v>TANK - DIRECT ENGINEERING</v>
          </cell>
          <cell r="Q708">
            <v>0</v>
          </cell>
          <cell r="R708">
            <v>0</v>
          </cell>
          <cell r="S708">
            <v>0</v>
          </cell>
          <cell r="T708">
            <v>0</v>
          </cell>
          <cell r="U708">
            <v>0</v>
          </cell>
          <cell r="X708" t="str">
            <v>1EAAA</v>
          </cell>
          <cell r="Y708" t="str">
            <v>TANK - DIR. ENG.  PROCESS</v>
          </cell>
          <cell r="AF708">
            <v>0</v>
          </cell>
          <cell r="AG708">
            <v>0</v>
          </cell>
          <cell r="AH708">
            <v>0</v>
          </cell>
          <cell r="AI708" t="str">
            <v>1EBARA</v>
          </cell>
          <cell r="AJ708" t="str">
            <v>SWITCHGEAR</v>
          </cell>
          <cell r="AK708">
            <v>0</v>
          </cell>
          <cell r="AL708">
            <v>0</v>
          </cell>
          <cell r="AM708">
            <v>0</v>
          </cell>
          <cell r="AN708">
            <v>0</v>
          </cell>
          <cell r="AO708">
            <v>0</v>
          </cell>
          <cell r="AP708">
            <v>0</v>
          </cell>
          <cell r="AQ708">
            <v>0</v>
          </cell>
          <cell r="AR708">
            <v>0</v>
          </cell>
        </row>
        <row r="709">
          <cell r="M709" t="str">
            <v>1EAI-</v>
          </cell>
          <cell r="N709" t="str">
            <v>TANK - ENGINEERING PROCUREMENT</v>
          </cell>
          <cell r="Q709">
            <v>0</v>
          </cell>
          <cell r="R709">
            <v>0</v>
          </cell>
          <cell r="S709">
            <v>0</v>
          </cell>
          <cell r="T709">
            <v>0</v>
          </cell>
          <cell r="U709">
            <v>0</v>
          </cell>
          <cell r="X709" t="str">
            <v>1EAAB</v>
          </cell>
          <cell r="Y709" t="str">
            <v>TANK - DIR. ENG.  PERMITS</v>
          </cell>
          <cell r="AF709">
            <v>0</v>
          </cell>
          <cell r="AG709">
            <v>0</v>
          </cell>
          <cell r="AH709">
            <v>0</v>
          </cell>
          <cell r="AI709" t="str">
            <v>1EBARB</v>
          </cell>
          <cell r="AJ709" t="str">
            <v>TRANSFORMER</v>
          </cell>
          <cell r="AK709">
            <v>0</v>
          </cell>
          <cell r="AL709">
            <v>0</v>
          </cell>
          <cell r="AM709">
            <v>0</v>
          </cell>
          <cell r="AN709">
            <v>0</v>
          </cell>
          <cell r="AO709">
            <v>0</v>
          </cell>
          <cell r="AP709">
            <v>0</v>
          </cell>
          <cell r="AQ709">
            <v>0</v>
          </cell>
          <cell r="AR709">
            <v>0</v>
          </cell>
        </row>
        <row r="710">
          <cell r="M710" t="str">
            <v>1EAJ-</v>
          </cell>
          <cell r="N710" t="str">
            <v>TANK - INDIRECT ENGINEERING</v>
          </cell>
          <cell r="Q710">
            <v>0</v>
          </cell>
          <cell r="R710">
            <v>0</v>
          </cell>
          <cell r="S710">
            <v>0</v>
          </cell>
          <cell r="T710">
            <v>0</v>
          </cell>
          <cell r="U710">
            <v>0</v>
          </cell>
          <cell r="X710" t="str">
            <v>1EAAC</v>
          </cell>
          <cell r="Y710" t="str">
            <v>TANK - DIR. ENG.  CIVIL/STRUCTURAL</v>
          </cell>
          <cell r="AF710">
            <v>0</v>
          </cell>
          <cell r="AG710">
            <v>0</v>
          </cell>
          <cell r="AH710">
            <v>0</v>
          </cell>
          <cell r="AI710" t="str">
            <v>1EBARC</v>
          </cell>
          <cell r="AJ710" t="str">
            <v>MCC</v>
          </cell>
          <cell r="AK710">
            <v>0</v>
          </cell>
          <cell r="AL710">
            <v>0</v>
          </cell>
          <cell r="AM710">
            <v>0</v>
          </cell>
          <cell r="AN710">
            <v>0</v>
          </cell>
          <cell r="AO710">
            <v>0</v>
          </cell>
          <cell r="AP710">
            <v>0</v>
          </cell>
          <cell r="AQ710">
            <v>0</v>
          </cell>
          <cell r="AR710">
            <v>0</v>
          </cell>
        </row>
        <row r="711">
          <cell r="M711" t="str">
            <v>1EA--</v>
          </cell>
          <cell r="N711" t="str">
            <v>SUBTOTAL TANK - ENGINEERING/PROCUREMENT</v>
          </cell>
          <cell r="Q711">
            <v>0</v>
          </cell>
          <cell r="R711">
            <v>0</v>
          </cell>
          <cell r="S711">
            <v>0</v>
          </cell>
          <cell r="T711">
            <v>0</v>
          </cell>
          <cell r="U711">
            <v>0</v>
          </cell>
          <cell r="X711" t="str">
            <v>1EAAD</v>
          </cell>
          <cell r="Y711" t="str">
            <v>TANK - DIR. ENG.  MECHANICAL</v>
          </cell>
          <cell r="AF711">
            <v>0</v>
          </cell>
          <cell r="AG711">
            <v>0</v>
          </cell>
          <cell r="AH711">
            <v>0</v>
          </cell>
          <cell r="AI711" t="str">
            <v>1EBARX</v>
          </cell>
          <cell r="AJ711" t="str">
            <v>OTHER ELECTRICAL EQUIPMENT</v>
          </cell>
          <cell r="AK711">
            <v>0</v>
          </cell>
          <cell r="AL711">
            <v>0</v>
          </cell>
          <cell r="AM711">
            <v>0</v>
          </cell>
          <cell r="AN711">
            <v>0</v>
          </cell>
          <cell r="AO711">
            <v>0</v>
          </cell>
          <cell r="AP711">
            <v>0</v>
          </cell>
          <cell r="AQ711">
            <v>0</v>
          </cell>
          <cell r="AR711">
            <v>0</v>
          </cell>
        </row>
        <row r="712">
          <cell r="X712" t="str">
            <v>1EAAE</v>
          </cell>
          <cell r="Y712" t="str">
            <v>TANK - DIR. ENG.  PIPING</v>
          </cell>
          <cell r="AF712">
            <v>0</v>
          </cell>
          <cell r="AG712">
            <v>0</v>
          </cell>
          <cell r="AH712">
            <v>0</v>
          </cell>
          <cell r="AI712" t="str">
            <v>1EBAR-</v>
          </cell>
          <cell r="AJ712" t="str">
            <v>SUBTOTAL ELECTRICAL EQUIPMENT</v>
          </cell>
          <cell r="AK712">
            <v>0</v>
          </cell>
          <cell r="AL712">
            <v>0</v>
          </cell>
          <cell r="AM712">
            <v>0</v>
          </cell>
          <cell r="AN712">
            <v>0</v>
          </cell>
          <cell r="AO712">
            <v>0</v>
          </cell>
          <cell r="AP712">
            <v>0</v>
          </cell>
          <cell r="AQ712">
            <v>0</v>
          </cell>
          <cell r="AR712">
            <v>0</v>
          </cell>
        </row>
        <row r="713">
          <cell r="M713" t="str">
            <v>1EBA-</v>
          </cell>
          <cell r="N713" t="str">
            <v>TANK - FAB/DELIVERY - MAJOR EQUIPMENT</v>
          </cell>
          <cell r="Q713">
            <v>0</v>
          </cell>
          <cell r="R713">
            <v>0</v>
          </cell>
          <cell r="S713">
            <v>0</v>
          </cell>
          <cell r="T713">
            <v>0</v>
          </cell>
          <cell r="U713">
            <v>0</v>
          </cell>
          <cell r="X713" t="str">
            <v>1EAAF</v>
          </cell>
          <cell r="Y713" t="str">
            <v>TANK - DIR. ENG.  ELECTRICAL</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row>
        <row r="714">
          <cell r="M714" t="str">
            <v>1EBB-</v>
          </cell>
          <cell r="N714" t="str">
            <v>TANK - FAB/DELIVERY - BULKS</v>
          </cell>
          <cell r="Q714">
            <v>0</v>
          </cell>
          <cell r="R714">
            <v>0</v>
          </cell>
          <cell r="S714">
            <v>0</v>
          </cell>
          <cell r="T714">
            <v>0</v>
          </cell>
          <cell r="U714">
            <v>0</v>
          </cell>
          <cell r="X714" t="str">
            <v>1EAAG</v>
          </cell>
          <cell r="Y714" t="str">
            <v>TANK - DIR. ENG.  INSTRUMENTATION</v>
          </cell>
          <cell r="AF714">
            <v>0</v>
          </cell>
          <cell r="AG714">
            <v>0</v>
          </cell>
          <cell r="AH714">
            <v>0</v>
          </cell>
          <cell r="AI714" t="str">
            <v>1EBASA</v>
          </cell>
          <cell r="AJ714" t="str">
            <v>M.O.V. PANEL</v>
          </cell>
          <cell r="AK714">
            <v>0</v>
          </cell>
          <cell r="AL714">
            <v>0</v>
          </cell>
          <cell r="AM714">
            <v>0</v>
          </cell>
          <cell r="AN714">
            <v>0</v>
          </cell>
          <cell r="AO714">
            <v>0</v>
          </cell>
          <cell r="AP714">
            <v>0</v>
          </cell>
          <cell r="AQ714">
            <v>0</v>
          </cell>
          <cell r="AR714">
            <v>0</v>
          </cell>
        </row>
        <row r="715">
          <cell r="M715" t="str">
            <v>1EBC-</v>
          </cell>
          <cell r="N715" t="str">
            <v>TANK - FAB/DELIVERY - ENGINEERING SPECIALTIES</v>
          </cell>
          <cell r="Q715">
            <v>0</v>
          </cell>
          <cell r="R715">
            <v>0</v>
          </cell>
          <cell r="S715">
            <v>0</v>
          </cell>
          <cell r="T715">
            <v>0</v>
          </cell>
          <cell r="U715">
            <v>0</v>
          </cell>
          <cell r="X715" t="str">
            <v>1EAAH</v>
          </cell>
          <cell r="Y715" t="str">
            <v>TANK - DIR. ENG.  ARCHITECTURAL</v>
          </cell>
          <cell r="AF715">
            <v>0</v>
          </cell>
          <cell r="AG715">
            <v>0</v>
          </cell>
          <cell r="AH715">
            <v>0</v>
          </cell>
          <cell r="AI715" t="str">
            <v>1EBASB</v>
          </cell>
          <cell r="AJ715" t="str">
            <v>DCS/SCADA</v>
          </cell>
          <cell r="AK715">
            <v>0</v>
          </cell>
          <cell r="AL715">
            <v>0</v>
          </cell>
          <cell r="AM715">
            <v>0</v>
          </cell>
          <cell r="AN715">
            <v>0</v>
          </cell>
          <cell r="AO715">
            <v>0</v>
          </cell>
          <cell r="AP715">
            <v>0</v>
          </cell>
          <cell r="AQ715">
            <v>0</v>
          </cell>
          <cell r="AR715">
            <v>0</v>
          </cell>
        </row>
        <row r="716">
          <cell r="M716" t="str">
            <v>1EB--</v>
          </cell>
          <cell r="N716" t="str">
            <v>SUBTOTAL TANK - FABRICATION/DELIVERY</v>
          </cell>
          <cell r="Q716">
            <v>0</v>
          </cell>
          <cell r="R716">
            <v>0</v>
          </cell>
          <cell r="S716">
            <v>0</v>
          </cell>
          <cell r="T716">
            <v>0</v>
          </cell>
          <cell r="U716">
            <v>0</v>
          </cell>
          <cell r="X716" t="str">
            <v>1EAA-</v>
          </cell>
          <cell r="Y716" t="str">
            <v>SUBTOTAL - TANK - DIRECT ENGINEERING</v>
          </cell>
          <cell r="Z716">
            <v>0</v>
          </cell>
          <cell r="AA716" t="str">
            <v>N/A</v>
          </cell>
          <cell r="AB716">
            <v>0</v>
          </cell>
          <cell r="AC716">
            <v>0</v>
          </cell>
          <cell r="AD716">
            <v>0</v>
          </cell>
          <cell r="AE716">
            <v>0</v>
          </cell>
          <cell r="AF716">
            <v>0</v>
          </cell>
          <cell r="AG716">
            <v>0</v>
          </cell>
          <cell r="AH716">
            <v>0</v>
          </cell>
          <cell r="AI716" t="str">
            <v>1EBASC</v>
          </cell>
          <cell r="AJ716" t="str">
            <v>INTERFACE</v>
          </cell>
          <cell r="AK716">
            <v>0</v>
          </cell>
          <cell r="AL716">
            <v>0</v>
          </cell>
          <cell r="AM716">
            <v>0</v>
          </cell>
          <cell r="AN716">
            <v>0</v>
          </cell>
          <cell r="AO716">
            <v>0</v>
          </cell>
          <cell r="AP716">
            <v>0</v>
          </cell>
          <cell r="AQ716">
            <v>0</v>
          </cell>
          <cell r="AR716">
            <v>0</v>
          </cell>
        </row>
        <row r="717">
          <cell r="AI717" t="str">
            <v>1EBASD</v>
          </cell>
          <cell r="AJ717" t="str">
            <v xml:space="preserve">TANK GAUGING </v>
          </cell>
          <cell r="AQ717">
            <v>0</v>
          </cell>
        </row>
        <row r="718">
          <cell r="M718" t="str">
            <v>1ECA-</v>
          </cell>
          <cell r="N718" t="str">
            <v>TANK - CONSTRUCTION - CIVIL</v>
          </cell>
          <cell r="Q718">
            <v>0</v>
          </cell>
          <cell r="R718">
            <v>0</v>
          </cell>
          <cell r="S718">
            <v>0</v>
          </cell>
          <cell r="T718">
            <v>0</v>
          </cell>
          <cell r="U718">
            <v>0</v>
          </cell>
          <cell r="AI718" t="str">
            <v>1EBASE</v>
          </cell>
          <cell r="AJ718" t="str">
            <v>FIELD INSTRUMENTATION</v>
          </cell>
          <cell r="AQ718">
            <v>0</v>
          </cell>
        </row>
        <row r="719">
          <cell r="M719" t="str">
            <v>1ECB-</v>
          </cell>
          <cell r="N719" t="str">
            <v>TANK - CONSTRUCTION - MAJOR EQUIPMENT</v>
          </cell>
          <cell r="Q719">
            <v>0</v>
          </cell>
          <cell r="R719">
            <v>0</v>
          </cell>
          <cell r="S719">
            <v>0</v>
          </cell>
          <cell r="T719">
            <v>0</v>
          </cell>
          <cell r="U719">
            <v>0</v>
          </cell>
          <cell r="X719" t="str">
            <v>1EAIA</v>
          </cell>
          <cell r="Y719" t="str">
            <v>TANK  - PROCUREMENT PRESSURE VESSELS</v>
          </cell>
          <cell r="AF719">
            <v>0</v>
          </cell>
          <cell r="AG719">
            <v>0</v>
          </cell>
          <cell r="AH719">
            <v>0</v>
          </cell>
          <cell r="AI719" t="str">
            <v>1EBASF</v>
          </cell>
          <cell r="AJ719" t="str">
            <v>CONTROL VALVES, RELIEF VALVES</v>
          </cell>
          <cell r="AK719">
            <v>0</v>
          </cell>
          <cell r="AL719">
            <v>0</v>
          </cell>
          <cell r="AM719">
            <v>0</v>
          </cell>
          <cell r="AN719">
            <v>0</v>
          </cell>
          <cell r="AO719">
            <v>0</v>
          </cell>
          <cell r="AP719">
            <v>0</v>
          </cell>
          <cell r="AQ719">
            <v>0</v>
          </cell>
          <cell r="AR719">
            <v>0</v>
          </cell>
        </row>
        <row r="720">
          <cell r="M720" t="str">
            <v>1ECC-</v>
          </cell>
          <cell r="N720" t="str">
            <v>TANK - CONSTRUCTION - BULKS</v>
          </cell>
          <cell r="Q720">
            <v>0</v>
          </cell>
          <cell r="R720">
            <v>0</v>
          </cell>
          <cell r="S720">
            <v>0</v>
          </cell>
          <cell r="T720">
            <v>0</v>
          </cell>
          <cell r="U720">
            <v>0</v>
          </cell>
          <cell r="X720" t="str">
            <v>1EAIE</v>
          </cell>
          <cell r="Y720" t="str">
            <v>TANK - PROCUREMENT   PUMPS &amp; MOTORS</v>
          </cell>
          <cell r="AF720">
            <v>0</v>
          </cell>
          <cell r="AG720">
            <v>0</v>
          </cell>
          <cell r="AH720">
            <v>0</v>
          </cell>
          <cell r="AI720" t="str">
            <v>1EBASX</v>
          </cell>
          <cell r="AJ720" t="str">
            <v>OTHER INSTRUMENTATION EQUIPMENT</v>
          </cell>
          <cell r="AK720">
            <v>0</v>
          </cell>
          <cell r="AL720">
            <v>0</v>
          </cell>
          <cell r="AM720">
            <v>0</v>
          </cell>
          <cell r="AN720">
            <v>0</v>
          </cell>
          <cell r="AO720">
            <v>0</v>
          </cell>
          <cell r="AP720">
            <v>0</v>
          </cell>
          <cell r="AQ720">
            <v>0</v>
          </cell>
          <cell r="AR720">
            <v>0</v>
          </cell>
        </row>
        <row r="721">
          <cell r="M721" t="str">
            <v>1ECD-</v>
          </cell>
          <cell r="N721" t="str">
            <v>TANK - CONSTRUCTION - CONSTRUCTION SPECIALTIES</v>
          </cell>
          <cell r="Q721">
            <v>0</v>
          </cell>
          <cell r="R721">
            <v>0</v>
          </cell>
          <cell r="S721">
            <v>0</v>
          </cell>
          <cell r="T721">
            <v>0</v>
          </cell>
          <cell r="U721">
            <v>0</v>
          </cell>
          <cell r="X721" t="str">
            <v>1EAIJ</v>
          </cell>
          <cell r="Y721" t="str">
            <v>TANK - PROCUREMENT   EMERGENCY DIESEL GENERATOR</v>
          </cell>
          <cell r="AF721">
            <v>0</v>
          </cell>
          <cell r="AG721">
            <v>0</v>
          </cell>
          <cell r="AH721">
            <v>0</v>
          </cell>
          <cell r="AI721" t="str">
            <v>1EBAS-</v>
          </cell>
          <cell r="AJ721" t="str">
            <v>SUBTOTAL INSTRUMENTATION EQUIPMENT</v>
          </cell>
          <cell r="AK721">
            <v>0</v>
          </cell>
          <cell r="AL721">
            <v>0</v>
          </cell>
          <cell r="AM721">
            <v>0</v>
          </cell>
          <cell r="AN721">
            <v>0</v>
          </cell>
          <cell r="AO721">
            <v>0</v>
          </cell>
          <cell r="AP721">
            <v>0</v>
          </cell>
          <cell r="AQ721">
            <v>0</v>
          </cell>
          <cell r="AR721">
            <v>0</v>
          </cell>
        </row>
        <row r="722">
          <cell r="M722" t="str">
            <v>1ECE-</v>
          </cell>
          <cell r="N722" t="str">
            <v>TANK - CONSTRUCTION - OTHER DIRECT WORK</v>
          </cell>
          <cell r="Q722">
            <v>0</v>
          </cell>
          <cell r="R722">
            <v>0</v>
          </cell>
          <cell r="S722">
            <v>0</v>
          </cell>
          <cell r="T722">
            <v>0</v>
          </cell>
          <cell r="U722">
            <v>0</v>
          </cell>
          <cell r="X722" t="str">
            <v>1EAIR</v>
          </cell>
          <cell r="Y722" t="str">
            <v>TANK - PROCUREMENT   ELECTRICAL EQUIPMENT</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row>
        <row r="723">
          <cell r="M723" t="str">
            <v>1ECF-</v>
          </cell>
          <cell r="N723" t="str">
            <v>TANK - CONSTRUCTION - INDIRECTS</v>
          </cell>
          <cell r="Q723">
            <v>0</v>
          </cell>
          <cell r="R723">
            <v>0</v>
          </cell>
          <cell r="S723">
            <v>0</v>
          </cell>
          <cell r="T723">
            <v>0</v>
          </cell>
          <cell r="U723">
            <v>0</v>
          </cell>
          <cell r="X723" t="str">
            <v>1EAIS</v>
          </cell>
          <cell r="Y723" t="str">
            <v>TANK - PROCUREMENT   INSTRUMENTATION EQUIPMENT</v>
          </cell>
          <cell r="AF723">
            <v>0</v>
          </cell>
          <cell r="AG723">
            <v>0</v>
          </cell>
          <cell r="AH723">
            <v>0</v>
          </cell>
          <cell r="AI723" t="str">
            <v>1EBAXA</v>
          </cell>
          <cell r="AJ723" t="str">
            <v>TANK BOTTOM HEATING AND ACCESSORIES</v>
          </cell>
          <cell r="AK723">
            <v>0</v>
          </cell>
          <cell r="AL723">
            <v>0</v>
          </cell>
          <cell r="AM723">
            <v>0</v>
          </cell>
          <cell r="AN723">
            <v>0</v>
          </cell>
          <cell r="AO723">
            <v>0</v>
          </cell>
          <cell r="AP723">
            <v>0</v>
          </cell>
          <cell r="AQ723">
            <v>0</v>
          </cell>
          <cell r="AR723">
            <v>0</v>
          </cell>
        </row>
        <row r="724">
          <cell r="M724" t="str">
            <v>1EC--</v>
          </cell>
          <cell r="N724" t="str">
            <v>SUBTOTAL TANK - CONSTRUCTION</v>
          </cell>
          <cell r="Q724">
            <v>0</v>
          </cell>
          <cell r="R724">
            <v>0</v>
          </cell>
          <cell r="S724">
            <v>0</v>
          </cell>
          <cell r="T724">
            <v>0</v>
          </cell>
          <cell r="U724">
            <v>0</v>
          </cell>
          <cell r="X724" t="str">
            <v>1EAIT</v>
          </cell>
          <cell r="Y724" t="str">
            <v>TANK - PROCUREMENT   BULKS</v>
          </cell>
          <cell r="AF724">
            <v>0</v>
          </cell>
          <cell r="AG724">
            <v>0</v>
          </cell>
          <cell r="AH724">
            <v>0</v>
          </cell>
          <cell r="AI724" t="str">
            <v>1EBAXB</v>
          </cell>
          <cell r="AJ724" t="str">
            <v>FIRE FIGHTING SYSTEM</v>
          </cell>
          <cell r="AK724">
            <v>0</v>
          </cell>
          <cell r="AL724">
            <v>0</v>
          </cell>
          <cell r="AM724">
            <v>0</v>
          </cell>
          <cell r="AN724">
            <v>0</v>
          </cell>
          <cell r="AO724">
            <v>0</v>
          </cell>
          <cell r="AP724">
            <v>0</v>
          </cell>
          <cell r="AQ724">
            <v>0</v>
          </cell>
          <cell r="AR724">
            <v>0</v>
          </cell>
        </row>
        <row r="725">
          <cell r="X725" t="str">
            <v>1EAIX</v>
          </cell>
          <cell r="Y725" t="str">
            <v>TANK - PROCUREMENT   OTHER</v>
          </cell>
          <cell r="AF725">
            <v>0</v>
          </cell>
          <cell r="AG725">
            <v>0</v>
          </cell>
          <cell r="AH725">
            <v>0</v>
          </cell>
          <cell r="AI725" t="str">
            <v>1EBAXX</v>
          </cell>
          <cell r="AJ725" t="str">
            <v>OTHER</v>
          </cell>
          <cell r="AK725">
            <v>0</v>
          </cell>
          <cell r="AL725">
            <v>0</v>
          </cell>
          <cell r="AM725">
            <v>0</v>
          </cell>
          <cell r="AN725">
            <v>0</v>
          </cell>
          <cell r="AO725">
            <v>0</v>
          </cell>
          <cell r="AP725">
            <v>0</v>
          </cell>
          <cell r="AQ725">
            <v>0</v>
          </cell>
          <cell r="AR725">
            <v>0</v>
          </cell>
        </row>
        <row r="726">
          <cell r="M726" t="str">
            <v>1EDA-</v>
          </cell>
          <cell r="N726" t="str">
            <v>TANK - COMMISSIONING</v>
          </cell>
          <cell r="Q726">
            <v>0</v>
          </cell>
          <cell r="R726">
            <v>0</v>
          </cell>
          <cell r="S726">
            <v>0</v>
          </cell>
          <cell r="T726">
            <v>0</v>
          </cell>
          <cell r="U726">
            <v>0</v>
          </cell>
          <cell r="X726" t="str">
            <v>1EAI-</v>
          </cell>
          <cell r="Y726" t="str">
            <v>SUBTOTAL - TANK - PROCUREMENT</v>
          </cell>
          <cell r="Z726">
            <v>0</v>
          </cell>
          <cell r="AA726" t="str">
            <v>N/A</v>
          </cell>
          <cell r="AB726">
            <v>0</v>
          </cell>
          <cell r="AC726">
            <v>0</v>
          </cell>
          <cell r="AD726">
            <v>0</v>
          </cell>
          <cell r="AE726">
            <v>0</v>
          </cell>
          <cell r="AF726">
            <v>0</v>
          </cell>
          <cell r="AG726">
            <v>0</v>
          </cell>
          <cell r="AH726">
            <v>0</v>
          </cell>
          <cell r="AI726" t="str">
            <v>1EBAX-</v>
          </cell>
          <cell r="AJ726" t="str">
            <v>TANK - FAB/DELIVERY, MAJOR EQUIPMENT - OTHER</v>
          </cell>
          <cell r="AK726">
            <v>0</v>
          </cell>
          <cell r="AL726">
            <v>0</v>
          </cell>
          <cell r="AM726">
            <v>0</v>
          </cell>
          <cell r="AN726">
            <v>0</v>
          </cell>
          <cell r="AO726">
            <v>0</v>
          </cell>
          <cell r="AP726">
            <v>0</v>
          </cell>
          <cell r="AQ726">
            <v>0</v>
          </cell>
          <cell r="AR726">
            <v>0</v>
          </cell>
        </row>
        <row r="727">
          <cell r="M727" t="str">
            <v>1ED--</v>
          </cell>
          <cell r="N727" t="str">
            <v>SUBTOTAL TANK - COMMISSIONING</v>
          </cell>
          <cell r="Q727">
            <v>0</v>
          </cell>
          <cell r="R727">
            <v>0</v>
          </cell>
          <cell r="S727">
            <v>0</v>
          </cell>
          <cell r="T727">
            <v>0</v>
          </cell>
          <cell r="U727">
            <v>0</v>
          </cell>
        </row>
        <row r="728">
          <cell r="X728" t="str">
            <v>1EAJA</v>
          </cell>
          <cell r="Y728" t="str">
            <v>TANK - INDIRECT ENG'G CONTRACTS</v>
          </cell>
          <cell r="AF728">
            <v>0</v>
          </cell>
          <cell r="AG728">
            <v>0</v>
          </cell>
          <cell r="AH728">
            <v>0</v>
          </cell>
          <cell r="AI728" t="str">
            <v>1ECCCA</v>
          </cell>
          <cell r="AJ728" t="str">
            <v>SWITCHGEAR / LER ROOM</v>
          </cell>
          <cell r="AK728">
            <v>0</v>
          </cell>
          <cell r="AL728">
            <v>0</v>
          </cell>
          <cell r="AM728">
            <v>0</v>
          </cell>
          <cell r="AN728">
            <v>0</v>
          </cell>
          <cell r="AO728">
            <v>0</v>
          </cell>
          <cell r="AP728">
            <v>0</v>
          </cell>
          <cell r="AQ728">
            <v>0</v>
          </cell>
          <cell r="AR728">
            <v>0</v>
          </cell>
        </row>
        <row r="729">
          <cell r="X729" t="str">
            <v>1EAJB</v>
          </cell>
          <cell r="Y729" t="str">
            <v>TANK - INDIRECT ENG'G PROJECT MANAGEMENT</v>
          </cell>
          <cell r="AF729">
            <v>0</v>
          </cell>
          <cell r="AG729">
            <v>0</v>
          </cell>
          <cell r="AH729">
            <v>0</v>
          </cell>
          <cell r="AI729" t="str">
            <v>1ECCCB</v>
          </cell>
          <cell r="AJ729" t="str">
            <v>TRANSFORMER</v>
          </cell>
          <cell r="AK729">
            <v>0</v>
          </cell>
          <cell r="AL729">
            <v>0</v>
          </cell>
          <cell r="AM729">
            <v>0</v>
          </cell>
          <cell r="AN729">
            <v>0</v>
          </cell>
          <cell r="AO729">
            <v>0</v>
          </cell>
          <cell r="AP729">
            <v>0</v>
          </cell>
          <cell r="AQ729">
            <v>0</v>
          </cell>
          <cell r="AR729">
            <v>0</v>
          </cell>
        </row>
        <row r="730">
          <cell r="X730" t="str">
            <v>1EAJC</v>
          </cell>
          <cell r="Y730" t="str">
            <v>TANK - INDIRECT ENG'G ENGINEERING/NON-TECH</v>
          </cell>
          <cell r="AF730">
            <v>0</v>
          </cell>
          <cell r="AG730">
            <v>0</v>
          </cell>
          <cell r="AH730">
            <v>0</v>
          </cell>
          <cell r="AI730" t="str">
            <v>1ECCCC</v>
          </cell>
          <cell r="AJ730" t="str">
            <v>MCC</v>
          </cell>
          <cell r="AK730">
            <v>0</v>
          </cell>
          <cell r="AL730">
            <v>0</v>
          </cell>
          <cell r="AM730">
            <v>0</v>
          </cell>
          <cell r="AN730">
            <v>0</v>
          </cell>
          <cell r="AO730">
            <v>0</v>
          </cell>
          <cell r="AP730">
            <v>0</v>
          </cell>
          <cell r="AQ730">
            <v>0</v>
          </cell>
          <cell r="AR730">
            <v>0</v>
          </cell>
        </row>
        <row r="731">
          <cell r="X731" t="str">
            <v>1EAJX</v>
          </cell>
          <cell r="Y731" t="str">
            <v>TANK - INDIRECT ENG'G OTHER</v>
          </cell>
          <cell r="AF731">
            <v>0</v>
          </cell>
          <cell r="AG731">
            <v>0</v>
          </cell>
          <cell r="AH731">
            <v>0</v>
          </cell>
          <cell r="AI731" t="str">
            <v>1ECCCX</v>
          </cell>
          <cell r="AJ731" t="str">
            <v>OTHER</v>
          </cell>
          <cell r="AK731">
            <v>0</v>
          </cell>
          <cell r="AL731">
            <v>0</v>
          </cell>
          <cell r="AM731">
            <v>0</v>
          </cell>
          <cell r="AN731">
            <v>0</v>
          </cell>
          <cell r="AO731">
            <v>0</v>
          </cell>
          <cell r="AP731">
            <v>0</v>
          </cell>
          <cell r="AQ731">
            <v>0</v>
          </cell>
          <cell r="AR731">
            <v>0</v>
          </cell>
        </row>
        <row r="732">
          <cell r="X732" t="str">
            <v>1EAJ-</v>
          </cell>
          <cell r="Y732" t="str">
            <v>SUBTOTAL - TANK - INDIRECT ENGINEERING</v>
          </cell>
          <cell r="Z732">
            <v>0</v>
          </cell>
          <cell r="AA732" t="str">
            <v>N/A</v>
          </cell>
          <cell r="AB732">
            <v>0</v>
          </cell>
          <cell r="AC732">
            <v>0</v>
          </cell>
          <cell r="AD732">
            <v>0</v>
          </cell>
          <cell r="AE732">
            <v>0</v>
          </cell>
          <cell r="AF732">
            <v>0</v>
          </cell>
          <cell r="AI732" t="str">
            <v>1ECCC-</v>
          </cell>
          <cell r="AJ732" t="str">
            <v>SUBTOTAL - CONSTRUCTION BULKS - ELECTRICAL</v>
          </cell>
          <cell r="AK732">
            <v>0</v>
          </cell>
          <cell r="AL732">
            <v>0</v>
          </cell>
          <cell r="AM732">
            <v>0</v>
          </cell>
          <cell r="AN732">
            <v>0</v>
          </cell>
          <cell r="AO732">
            <v>0</v>
          </cell>
          <cell r="AP732">
            <v>0</v>
          </cell>
          <cell r="AQ732">
            <v>0</v>
          </cell>
        </row>
        <row r="734">
          <cell r="AI734" t="str">
            <v>1ECCDA</v>
          </cell>
          <cell r="AJ734" t="str">
            <v>M.O.V. PANEL</v>
          </cell>
          <cell r="AQ734">
            <v>0</v>
          </cell>
        </row>
        <row r="735">
          <cell r="AI735" t="str">
            <v>1ECCDB</v>
          </cell>
          <cell r="AJ735" t="str">
            <v>DCS/SCADA</v>
          </cell>
          <cell r="AQ735">
            <v>0</v>
          </cell>
        </row>
        <row r="736">
          <cell r="AI736" t="str">
            <v>1ECCDC</v>
          </cell>
          <cell r="AJ736" t="str">
            <v>INTERFACE</v>
          </cell>
          <cell r="AQ736">
            <v>0</v>
          </cell>
        </row>
        <row r="737">
          <cell r="AI737" t="str">
            <v>1ECCDX</v>
          </cell>
          <cell r="AJ737" t="str">
            <v>OTHER</v>
          </cell>
          <cell r="AQ737">
            <v>0</v>
          </cell>
        </row>
        <row r="738">
          <cell r="AI738" t="str">
            <v>1ECCD-</v>
          </cell>
          <cell r="AJ738" t="str">
            <v>SUBTOTAL - CONSTRUCTION BULKS - INSTRUMENTATION</v>
          </cell>
          <cell r="AK738">
            <v>0</v>
          </cell>
          <cell r="AL738">
            <v>0</v>
          </cell>
          <cell r="AM738">
            <v>0</v>
          </cell>
          <cell r="AN738">
            <v>0</v>
          </cell>
          <cell r="AO738">
            <v>0</v>
          </cell>
          <cell r="AP738">
            <v>0</v>
          </cell>
          <cell r="AQ738">
            <v>0</v>
          </cell>
        </row>
        <row r="740">
          <cell r="AI740" t="str">
            <v>1ECCXA</v>
          </cell>
          <cell r="AJ740" t="str">
            <v>FIRE FIGHTING SYSTEM</v>
          </cell>
          <cell r="AQ740">
            <v>0</v>
          </cell>
        </row>
        <row r="741">
          <cell r="AI741" t="str">
            <v>1ECCXB</v>
          </cell>
          <cell r="AJ741" t="str">
            <v>BOTTOM HEATING</v>
          </cell>
          <cell r="AQ741">
            <v>0</v>
          </cell>
        </row>
        <row r="742">
          <cell r="AI742" t="str">
            <v>1ECCXX</v>
          </cell>
          <cell r="AJ742" t="str">
            <v>OTHER</v>
          </cell>
          <cell r="AQ742">
            <v>0</v>
          </cell>
        </row>
        <row r="743">
          <cell r="AI743" t="str">
            <v>1ECCX-</v>
          </cell>
          <cell r="AJ743" t="str">
            <v>SUBTOTAL - CONSTRUCTION BULKS - OTHERS</v>
          </cell>
          <cell r="AK743">
            <v>0</v>
          </cell>
          <cell r="AL743">
            <v>0</v>
          </cell>
          <cell r="AM743">
            <v>0</v>
          </cell>
          <cell r="AN743">
            <v>0</v>
          </cell>
          <cell r="AO743">
            <v>0</v>
          </cell>
          <cell r="AP743">
            <v>0</v>
          </cell>
          <cell r="AQ743">
            <v>0</v>
          </cell>
        </row>
        <row r="750">
          <cell r="W750" t="str">
            <v>LEVEL 2 TANK PG.2</v>
          </cell>
          <cell r="X750" t="str">
            <v>WBS CODE</v>
          </cell>
          <cell r="Y750" t="str">
            <v>DESCRIPTION</v>
          </cell>
          <cell r="Z750" t="str">
            <v>QUANTITY</v>
          </cell>
          <cell r="AA750" t="str">
            <v>UNITS</v>
          </cell>
          <cell r="AB750" t="str">
            <v>TOTAL MANHOURS</v>
          </cell>
          <cell r="AC750" t="str">
            <v>TOTAL LABOR COST</v>
          </cell>
          <cell r="AD750" t="str">
            <v>TOTAL MAT'L COST</v>
          </cell>
          <cell r="AE750" t="str">
            <v>TOTAL S/C COST</v>
          </cell>
          <cell r="AF750" t="str">
            <v>TOTAL COST</v>
          </cell>
        </row>
        <row r="752">
          <cell r="X752" t="str">
            <v>1EBAA</v>
          </cell>
          <cell r="Y752" t="str">
            <v>TANK - FAB/DELIVERY EQUIPMENT - PRESSURE VESSELS</v>
          </cell>
          <cell r="AF752">
            <v>0</v>
          </cell>
          <cell r="AG752">
            <v>0</v>
          </cell>
        </row>
        <row r="753">
          <cell r="X753" t="str">
            <v>1EBAE</v>
          </cell>
          <cell r="Y753" t="str">
            <v>TANK - FAB/DELIVERY EQUIPMENT - PUMPS AND MOTORS</v>
          </cell>
          <cell r="AF753">
            <v>0</v>
          </cell>
          <cell r="AG753">
            <v>0</v>
          </cell>
        </row>
        <row r="754">
          <cell r="X754" t="str">
            <v>1EBAJ</v>
          </cell>
          <cell r="Y754" t="str">
            <v>TANK - FAB/DELIVERY EQUIPMENT - EMERGENCY DIESEL GENERATOR</v>
          </cell>
          <cell r="AF754">
            <v>0</v>
          </cell>
          <cell r="AG754">
            <v>0</v>
          </cell>
        </row>
        <row r="755">
          <cell r="X755" t="str">
            <v>1EBAR</v>
          </cell>
          <cell r="Y755" t="str">
            <v>TANK - FAB/DELIVERY EQUIPMENT - ELECTRICAL EQUIPMENT</v>
          </cell>
          <cell r="Z755">
            <v>0</v>
          </cell>
          <cell r="AA755">
            <v>0</v>
          </cell>
          <cell r="AB755">
            <v>0</v>
          </cell>
          <cell r="AC755">
            <v>0</v>
          </cell>
          <cell r="AD755">
            <v>0</v>
          </cell>
          <cell r="AE755">
            <v>0</v>
          </cell>
          <cell r="AF755">
            <v>0</v>
          </cell>
        </row>
        <row r="756">
          <cell r="X756" t="str">
            <v>1EBAS</v>
          </cell>
          <cell r="Y756" t="str">
            <v>TANK - FAB/DELIVERY EQUIPMENT - INSTRUMENTATION EQUIPMENT</v>
          </cell>
          <cell r="Z756">
            <v>0</v>
          </cell>
          <cell r="AA756">
            <v>0</v>
          </cell>
          <cell r="AB756">
            <v>0</v>
          </cell>
          <cell r="AC756">
            <v>0</v>
          </cell>
          <cell r="AD756">
            <v>0</v>
          </cell>
          <cell r="AE756">
            <v>0</v>
          </cell>
          <cell r="AF756">
            <v>0</v>
          </cell>
        </row>
        <row r="757">
          <cell r="X757" t="str">
            <v>1EBAX</v>
          </cell>
          <cell r="Y757" t="str">
            <v>TANK - FAB/DELIVERY EQUIPMENT - OTHER</v>
          </cell>
          <cell r="Z757">
            <v>0</v>
          </cell>
          <cell r="AA757">
            <v>0</v>
          </cell>
          <cell r="AB757">
            <v>0</v>
          </cell>
          <cell r="AC757">
            <v>0</v>
          </cell>
          <cell r="AD757">
            <v>0</v>
          </cell>
          <cell r="AE757">
            <v>0</v>
          </cell>
          <cell r="AF757">
            <v>0</v>
          </cell>
        </row>
        <row r="758">
          <cell r="X758" t="str">
            <v>1EBA-</v>
          </cell>
          <cell r="Y758" t="str">
            <v>SUBTOTAL - TANK - FAB/DELIVERY MAJOR EQUIP.</v>
          </cell>
          <cell r="Z758">
            <v>0</v>
          </cell>
          <cell r="AA758" t="str">
            <v>N/A</v>
          </cell>
          <cell r="AB758">
            <v>0</v>
          </cell>
          <cell r="AC758">
            <v>0</v>
          </cell>
          <cell r="AD758">
            <v>0</v>
          </cell>
          <cell r="AE758">
            <v>0</v>
          </cell>
          <cell r="AF758">
            <v>0</v>
          </cell>
        </row>
        <row r="760">
          <cell r="X760" t="str">
            <v>1EBBB</v>
          </cell>
          <cell r="Y760" t="str">
            <v>TANK - FAB/DELIVERY BULKS - STRUCTURAL</v>
          </cell>
          <cell r="AF760">
            <v>0</v>
          </cell>
          <cell r="AG760">
            <v>0</v>
          </cell>
        </row>
        <row r="761">
          <cell r="X761" t="str">
            <v>1EBBC</v>
          </cell>
          <cell r="Y761" t="str">
            <v>TANK - FAB/DELIVERY BULKS - PIPING &amp; VALVES</v>
          </cell>
          <cell r="AF761">
            <v>0</v>
          </cell>
          <cell r="AG761">
            <v>0</v>
          </cell>
        </row>
        <row r="762">
          <cell r="X762" t="str">
            <v>1EBBD</v>
          </cell>
          <cell r="Y762" t="str">
            <v>TANK - FAB/DELIVERY BULKS - ELECTRICAL</v>
          </cell>
          <cell r="AF762">
            <v>0</v>
          </cell>
          <cell r="AG762">
            <v>0</v>
          </cell>
        </row>
        <row r="763">
          <cell r="X763" t="str">
            <v>1EBBE</v>
          </cell>
          <cell r="Y763" t="str">
            <v>TANK - FAB/DELIVERY BULKS - INSTRUMENTATION</v>
          </cell>
          <cell r="AF763">
            <v>0</v>
          </cell>
          <cell r="AG763">
            <v>0</v>
          </cell>
        </row>
        <row r="764">
          <cell r="X764" t="str">
            <v>1EBB-</v>
          </cell>
          <cell r="Y764" t="str">
            <v>SUBTOTAL - TANK - FAB/DELIVERY BULKS</v>
          </cell>
          <cell r="Z764">
            <v>0</v>
          </cell>
          <cell r="AA764" t="str">
            <v>N/A</v>
          </cell>
          <cell r="AB764">
            <v>0</v>
          </cell>
          <cell r="AC764">
            <v>0</v>
          </cell>
          <cell r="AD764">
            <v>0</v>
          </cell>
          <cell r="AE764">
            <v>0</v>
          </cell>
          <cell r="AF764">
            <v>0</v>
          </cell>
        </row>
        <row r="766">
          <cell r="X766" t="str">
            <v>1EBCA</v>
          </cell>
          <cell r="Y766" t="str">
            <v>TANK - FAB/DELIVERY ENG. SPECIALTIES - BUILDINGS</v>
          </cell>
          <cell r="AF766">
            <v>0</v>
          </cell>
          <cell r="AG766">
            <v>0</v>
          </cell>
        </row>
        <row r="767">
          <cell r="X767" t="str">
            <v>1EBCB</v>
          </cell>
          <cell r="Y767" t="str">
            <v>TANK - FAB/DELIVERY ENG. SPECIALTIES - GENERAL</v>
          </cell>
          <cell r="AF767">
            <v>0</v>
          </cell>
          <cell r="AG767">
            <v>0</v>
          </cell>
        </row>
        <row r="768">
          <cell r="X768" t="str">
            <v>1EBC-</v>
          </cell>
          <cell r="Y768" t="str">
            <v>SUBTOTAL - TANK - FAB/DELIVERY ENGINEERING SPECIALTIES</v>
          </cell>
          <cell r="Z768">
            <v>0</v>
          </cell>
          <cell r="AA768" t="str">
            <v>N/A</v>
          </cell>
          <cell r="AB768">
            <v>0</v>
          </cell>
          <cell r="AC768">
            <v>0</v>
          </cell>
          <cell r="AD768">
            <v>0</v>
          </cell>
          <cell r="AE768">
            <v>0</v>
          </cell>
          <cell r="AF768">
            <v>0</v>
          </cell>
        </row>
        <row r="794">
          <cell r="W794" t="str">
            <v>LEVEL 2 TANK PG.3</v>
          </cell>
          <cell r="X794" t="str">
            <v>WBS CODE</v>
          </cell>
          <cell r="Y794" t="str">
            <v>DESCRIPTION</v>
          </cell>
          <cell r="Z794" t="str">
            <v>QUANTITY</v>
          </cell>
          <cell r="AA794" t="str">
            <v>UNITS</v>
          </cell>
          <cell r="AB794" t="str">
            <v>TOTAL MANHOURS</v>
          </cell>
          <cell r="AC794" t="str">
            <v>TOTAL LABOR COST</v>
          </cell>
          <cell r="AD794" t="str">
            <v>TOTAL MAT'L COST</v>
          </cell>
          <cell r="AE794" t="str">
            <v>TOTAL S/C COST</v>
          </cell>
          <cell r="AF794" t="str">
            <v>TOTAL COST</v>
          </cell>
        </row>
        <row r="796">
          <cell r="X796" t="str">
            <v>1ECAA</v>
          </cell>
          <cell r="Y796" t="str">
            <v>TANK - CONSTRUCTION, CIVIL - SITE WORK</v>
          </cell>
          <cell r="AF796">
            <v>0</v>
          </cell>
          <cell r="AG796">
            <v>0</v>
          </cell>
        </row>
        <row r="797">
          <cell r="X797" t="str">
            <v>1ECAB</v>
          </cell>
          <cell r="Y797" t="str">
            <v>TANK - CONSTRUCTION, CIVIL - FOUNDATIONS</v>
          </cell>
          <cell r="AF797">
            <v>0</v>
          </cell>
          <cell r="AG797">
            <v>0</v>
          </cell>
        </row>
        <row r="798">
          <cell r="X798" t="str">
            <v>1ECA</v>
          </cell>
          <cell r="Y798" t="str">
            <v>SUBTOTAL - TANK - CONSTRUCTION, CIVIL</v>
          </cell>
          <cell r="Z798">
            <v>0</v>
          </cell>
          <cell r="AA798" t="str">
            <v>N/A</v>
          </cell>
          <cell r="AB798">
            <v>0</v>
          </cell>
          <cell r="AC798">
            <v>0</v>
          </cell>
          <cell r="AD798">
            <v>0</v>
          </cell>
          <cell r="AE798">
            <v>0</v>
          </cell>
          <cell r="AF798">
            <v>0</v>
          </cell>
        </row>
        <row r="800">
          <cell r="X800" t="str">
            <v>1ECBA</v>
          </cell>
          <cell r="Y800" t="str">
            <v>TANK - CONSTRUCTION, MAJOR EQUIPMENT - PRESSURE VESSELS</v>
          </cell>
          <cell r="AF800">
            <v>0</v>
          </cell>
          <cell r="AG800">
            <v>0</v>
          </cell>
        </row>
        <row r="801">
          <cell r="X801" t="str">
            <v>1ECBE</v>
          </cell>
          <cell r="Y801" t="str">
            <v>TANK - CONSTRUCTION, MAJOR EQUIPMENT - PUMPS &amp; MOTORS</v>
          </cell>
          <cell r="AF801">
            <v>0</v>
          </cell>
          <cell r="AG801">
            <v>0</v>
          </cell>
        </row>
        <row r="802">
          <cell r="X802" t="str">
            <v>1ECBJ</v>
          </cell>
          <cell r="Y802" t="str">
            <v>TANK - CONSTRUCTION, MAJOR EQUIPMENT - EMERGENCY DEISEL GENERATOR</v>
          </cell>
          <cell r="AF802">
            <v>0</v>
          </cell>
          <cell r="AG802">
            <v>0</v>
          </cell>
        </row>
        <row r="803">
          <cell r="X803" t="str">
            <v>1ECBR</v>
          </cell>
          <cell r="Y803" t="str">
            <v>TANK - CONSTRUCTION, MAJOR EQUIPMENT - ELECTRICAL EQUIPMENT</v>
          </cell>
          <cell r="AF803">
            <v>0</v>
          </cell>
          <cell r="AG803">
            <v>0</v>
          </cell>
        </row>
        <row r="804">
          <cell r="X804" t="str">
            <v>1ECBS</v>
          </cell>
          <cell r="Y804" t="str">
            <v>TANK - CONSTRUCTION, MAJOR EQUIPMENT - INSTRUMENTATION EQUIPMENT</v>
          </cell>
          <cell r="AF804">
            <v>0</v>
          </cell>
          <cell r="AG804">
            <v>0</v>
          </cell>
        </row>
        <row r="805">
          <cell r="X805" t="str">
            <v>1ECBX</v>
          </cell>
          <cell r="Y805" t="str">
            <v>TANK - CONSTRUCTION, MAJOR EQUIPMENT - OTHERS</v>
          </cell>
          <cell r="AF805">
            <v>0</v>
          </cell>
          <cell r="AG805">
            <v>0</v>
          </cell>
        </row>
        <row r="806">
          <cell r="X806" t="str">
            <v>1ECB-</v>
          </cell>
          <cell r="Y806" t="str">
            <v>SUBTOTAL - TANK - CONSTRUCTION, MAJOR EQUIPMENT</v>
          </cell>
          <cell r="Z806">
            <v>0</v>
          </cell>
          <cell r="AA806" t="str">
            <v>N/A</v>
          </cell>
          <cell r="AB806">
            <v>0</v>
          </cell>
          <cell r="AC806">
            <v>0</v>
          </cell>
          <cell r="AD806">
            <v>0</v>
          </cell>
          <cell r="AE806">
            <v>0</v>
          </cell>
          <cell r="AF806">
            <v>0</v>
          </cell>
        </row>
        <row r="808">
          <cell r="X808" t="str">
            <v>1ECCA</v>
          </cell>
          <cell r="Y808" t="str">
            <v>TANK - CONSTRUCTION, BULKS - STRUCTURAL</v>
          </cell>
          <cell r="AF808">
            <v>0</v>
          </cell>
          <cell r="AG808">
            <v>0</v>
          </cell>
        </row>
        <row r="809">
          <cell r="X809" t="str">
            <v>1ECCB</v>
          </cell>
          <cell r="Y809" t="str">
            <v>TANK - CONSTRUCTION, BULKS - PIPING &amp; VALVES</v>
          </cell>
          <cell r="AF809">
            <v>0</v>
          </cell>
          <cell r="AG809">
            <v>0</v>
          </cell>
        </row>
        <row r="810">
          <cell r="X810" t="str">
            <v>1ECCC</v>
          </cell>
          <cell r="Y810" t="str">
            <v>TANK - CONSTRUCTION, BULKS - ELECTRICAL</v>
          </cell>
          <cell r="Z810">
            <v>0</v>
          </cell>
          <cell r="AA810">
            <v>0</v>
          </cell>
          <cell r="AB810">
            <v>0</v>
          </cell>
          <cell r="AC810">
            <v>0</v>
          </cell>
          <cell r="AD810">
            <v>0</v>
          </cell>
          <cell r="AE810">
            <v>0</v>
          </cell>
          <cell r="AF810">
            <v>0</v>
          </cell>
        </row>
        <row r="811">
          <cell r="X811" t="str">
            <v>1ECCD</v>
          </cell>
          <cell r="Y811" t="str">
            <v>TANK - CONSTRUCTION, BULKS - INSTRUMENTATION</v>
          </cell>
          <cell r="Z811">
            <v>0</v>
          </cell>
          <cell r="AA811">
            <v>0</v>
          </cell>
          <cell r="AB811">
            <v>0</v>
          </cell>
          <cell r="AC811">
            <v>0</v>
          </cell>
          <cell r="AD811">
            <v>0</v>
          </cell>
          <cell r="AE811">
            <v>0</v>
          </cell>
          <cell r="AF811">
            <v>0</v>
          </cell>
        </row>
        <row r="812">
          <cell r="X812" t="str">
            <v>1ECCX</v>
          </cell>
          <cell r="Y812" t="str">
            <v>TANK - CONSTRUCTION, BULKS - OTHERS</v>
          </cell>
          <cell r="Z812">
            <v>0</v>
          </cell>
          <cell r="AA812">
            <v>0</v>
          </cell>
          <cell r="AB812">
            <v>0</v>
          </cell>
          <cell r="AC812">
            <v>0</v>
          </cell>
          <cell r="AD812">
            <v>0</v>
          </cell>
          <cell r="AE812">
            <v>0</v>
          </cell>
          <cell r="AF812">
            <v>0</v>
          </cell>
        </row>
        <row r="813">
          <cell r="X813" t="str">
            <v>1ECC-</v>
          </cell>
          <cell r="Y813" t="str">
            <v xml:space="preserve">SUBTOTAL - TANK - CONSTRUCTION, BULKS </v>
          </cell>
          <cell r="Z813">
            <v>0</v>
          </cell>
          <cell r="AA813" t="str">
            <v>N/A</v>
          </cell>
          <cell r="AB813">
            <v>0</v>
          </cell>
          <cell r="AC813">
            <v>0</v>
          </cell>
          <cell r="AD813">
            <v>0</v>
          </cell>
          <cell r="AE813">
            <v>0</v>
          </cell>
          <cell r="AF813">
            <v>0</v>
          </cell>
        </row>
        <row r="815">
          <cell r="X815" t="str">
            <v>1ECDA</v>
          </cell>
          <cell r="Y815" t="str">
            <v>TANK - CONSTRUCTION SPECIALTIES - BUILDINGS</v>
          </cell>
          <cell r="AF815">
            <v>0</v>
          </cell>
          <cell r="AG815">
            <v>0</v>
          </cell>
        </row>
        <row r="816">
          <cell r="X816" t="str">
            <v>1ECDB</v>
          </cell>
          <cell r="Y816" t="str">
            <v>TANK - CONSTRUCTION SPECIALTIES - GENERAL</v>
          </cell>
          <cell r="AF816">
            <v>0</v>
          </cell>
          <cell r="AG816">
            <v>0</v>
          </cell>
        </row>
        <row r="817">
          <cell r="X817" t="str">
            <v>1ECD-</v>
          </cell>
          <cell r="Y817" t="str">
            <v>SUBTOTAL - TANK - CONSTRUCTION SPECIALTIES</v>
          </cell>
          <cell r="Z817">
            <v>0</v>
          </cell>
          <cell r="AA817" t="str">
            <v>N/A</v>
          </cell>
          <cell r="AB817">
            <v>0</v>
          </cell>
          <cell r="AC817">
            <v>0</v>
          </cell>
          <cell r="AD817">
            <v>0</v>
          </cell>
          <cell r="AE817">
            <v>0</v>
          </cell>
          <cell r="AF817">
            <v>0</v>
          </cell>
        </row>
        <row r="819">
          <cell r="X819" t="str">
            <v>1ECEA</v>
          </cell>
          <cell r="Y819" t="str">
            <v>TANK - CONSTRUCTION, OTHER DIRECT WORK - FIRE PROTECTION</v>
          </cell>
          <cell r="AF819">
            <v>0</v>
          </cell>
          <cell r="AG819">
            <v>0</v>
          </cell>
        </row>
        <row r="820">
          <cell r="X820" t="str">
            <v>1ECEB</v>
          </cell>
          <cell r="Y820" t="str">
            <v>TANK - CONSTRUCTION, OTHER DIRECT WORK - FIREPROOFING</v>
          </cell>
          <cell r="AF820">
            <v>0</v>
          </cell>
          <cell r="AG820">
            <v>0</v>
          </cell>
        </row>
        <row r="821">
          <cell r="X821" t="str">
            <v>1ECEC</v>
          </cell>
          <cell r="Y821" t="str">
            <v>TANK - CONSTRUCTION, OTHER DIRECT WORK - INSULATION</v>
          </cell>
          <cell r="AF821">
            <v>0</v>
          </cell>
          <cell r="AG821">
            <v>0</v>
          </cell>
        </row>
        <row r="822">
          <cell r="X822" t="str">
            <v>1ECED</v>
          </cell>
          <cell r="Y822" t="str">
            <v>TANK - CONSTRUCTION, OTHER DIRECT WORK - PAINTING</v>
          </cell>
          <cell r="AF822">
            <v>0</v>
          </cell>
          <cell r="AG822">
            <v>0</v>
          </cell>
        </row>
        <row r="823">
          <cell r="X823" t="str">
            <v>1ECEE</v>
          </cell>
          <cell r="Y823" t="str">
            <v>TANK - CONSTRUCTION, OTHER DIRECT WORK - SHUTDOWN</v>
          </cell>
          <cell r="AF823">
            <v>0</v>
          </cell>
          <cell r="AG823">
            <v>0</v>
          </cell>
        </row>
        <row r="824">
          <cell r="X824" t="str">
            <v>1ECEF</v>
          </cell>
          <cell r="Y824" t="str">
            <v>TANK - CONSTRUCTION, OTHER DIRECT WORK - PRE-COMMISSIONING</v>
          </cell>
          <cell r="AF824">
            <v>0</v>
          </cell>
          <cell r="AG824">
            <v>0</v>
          </cell>
        </row>
        <row r="825">
          <cell r="X825" t="str">
            <v>1ECEG</v>
          </cell>
          <cell r="Y825" t="str">
            <v>TANK - CONSTRUCTION, OTHER DIRECT WORK - ENVIRONMENTAL</v>
          </cell>
          <cell r="AF825">
            <v>0</v>
          </cell>
          <cell r="AG825">
            <v>0</v>
          </cell>
        </row>
        <row r="826">
          <cell r="X826" t="str">
            <v>1ECEX</v>
          </cell>
          <cell r="Y826" t="str">
            <v>TANK - CONSTRUCTION, OTHER DIRECT WORK - OTHER</v>
          </cell>
          <cell r="AF826">
            <v>0</v>
          </cell>
          <cell r="AG826">
            <v>0</v>
          </cell>
        </row>
        <row r="827">
          <cell r="X827" t="str">
            <v>1ECE</v>
          </cell>
          <cell r="Y827" t="str">
            <v xml:space="preserve">SUBTOTAL - TANK - CONSTRUCTION, OTHER DIRECT WORK - </v>
          </cell>
          <cell r="Z827">
            <v>0</v>
          </cell>
          <cell r="AA827" t="str">
            <v>N/A</v>
          </cell>
          <cell r="AB827">
            <v>0</v>
          </cell>
          <cell r="AC827">
            <v>0</v>
          </cell>
          <cell r="AD827">
            <v>0</v>
          </cell>
          <cell r="AE827">
            <v>0</v>
          </cell>
          <cell r="AF827">
            <v>0</v>
          </cell>
        </row>
        <row r="829">
          <cell r="X829" t="str">
            <v>1ECFA</v>
          </cell>
          <cell r="Y829" t="str">
            <v>TANK - CONSTRUCTION INDIRECTS</v>
          </cell>
          <cell r="AF829">
            <v>0</v>
          </cell>
          <cell r="AG829">
            <v>0</v>
          </cell>
        </row>
        <row r="830">
          <cell r="X830" t="str">
            <v>1ECF</v>
          </cell>
          <cell r="Y830" t="str">
            <v>SUBTOTAL - TANK - CONSTRUCTION INDIRECTS</v>
          </cell>
          <cell r="Z830">
            <v>0</v>
          </cell>
          <cell r="AA830" t="str">
            <v>N/A</v>
          </cell>
          <cell r="AB830">
            <v>0</v>
          </cell>
          <cell r="AC830">
            <v>0</v>
          </cell>
          <cell r="AD830">
            <v>0</v>
          </cell>
          <cell r="AE830">
            <v>0</v>
          </cell>
          <cell r="AF830">
            <v>0</v>
          </cell>
        </row>
        <row r="838">
          <cell r="W838" t="str">
            <v>LEVEL 2 TANK PG.4</v>
          </cell>
          <cell r="X838" t="str">
            <v>WBS CODE</v>
          </cell>
          <cell r="Y838" t="str">
            <v>DESCRIPTION</v>
          </cell>
          <cell r="Z838" t="str">
            <v>QUANTITY</v>
          </cell>
          <cell r="AA838" t="str">
            <v>UNITS</v>
          </cell>
          <cell r="AB838" t="str">
            <v>TOTAL MANHOURS</v>
          </cell>
          <cell r="AC838" t="str">
            <v>TOTAL LABOR COST</v>
          </cell>
          <cell r="AD838" t="str">
            <v>TOTAL MAT'L COST</v>
          </cell>
          <cell r="AE838" t="str">
            <v>TOTAL S/C COST</v>
          </cell>
          <cell r="AF838" t="str">
            <v>TOTAL COST</v>
          </cell>
        </row>
        <row r="840">
          <cell r="X840" t="str">
            <v>1EDAA</v>
          </cell>
          <cell r="Y840" t="str">
            <v>TANK - COMMISSIONING - PROCESS</v>
          </cell>
          <cell r="AF840">
            <v>0</v>
          </cell>
          <cell r="AG840">
            <v>0</v>
          </cell>
        </row>
        <row r="841">
          <cell r="X841" t="str">
            <v>1EDAB</v>
          </cell>
          <cell r="Y841" t="str">
            <v>TANK - COMMISSIONING - UTILITIES</v>
          </cell>
          <cell r="AF841">
            <v>0</v>
          </cell>
          <cell r="AG841">
            <v>0</v>
          </cell>
        </row>
        <row r="842">
          <cell r="X842" t="str">
            <v>1EDA-</v>
          </cell>
          <cell r="Y842" t="str">
            <v>SUBTOTAL - TANK - COMMISSIONING</v>
          </cell>
          <cell r="Z842">
            <v>0</v>
          </cell>
          <cell r="AA842" t="str">
            <v>N/A</v>
          </cell>
          <cell r="AB842">
            <v>0</v>
          </cell>
          <cell r="AC842">
            <v>0</v>
          </cell>
          <cell r="AD842">
            <v>0</v>
          </cell>
          <cell r="AE842">
            <v>0</v>
          </cell>
          <cell r="AF842">
            <v>0</v>
          </cell>
        </row>
        <row r="881">
          <cell r="M881" t="str">
            <v>PRELIMINARY AND GENERAL MATTERS</v>
          </cell>
          <cell r="X881" t="str">
            <v>LEVEL 2 PRELIMINARY AND GENERAL MATTERS PG.1</v>
          </cell>
        </row>
        <row r="882">
          <cell r="L882" t="str">
            <v>PRELIMINARY AND GENERAL MATTERS</v>
          </cell>
          <cell r="M882" t="str">
            <v>WBS CODE</v>
          </cell>
          <cell r="N882" t="str">
            <v>DESCRIPTION</v>
          </cell>
          <cell r="O882" t="str">
            <v>QUANTITY</v>
          </cell>
          <cell r="P882" t="str">
            <v>UNITS</v>
          </cell>
          <cell r="Q882" t="str">
            <v>TOTAL MANHOURS</v>
          </cell>
          <cell r="R882" t="str">
            <v>TOTAL LABOR COST</v>
          </cell>
          <cell r="S882" t="str">
            <v>TOTAL MAT'L COST</v>
          </cell>
          <cell r="T882" t="str">
            <v>TOTAL S/C COST</v>
          </cell>
          <cell r="U882" t="str">
            <v>TOTAL COST</v>
          </cell>
          <cell r="W882" t="str">
            <v>LEVEL 2 PRELIMINARY AND GENERAL MATTERS PG.1</v>
          </cell>
          <cell r="X882" t="str">
            <v>WBS CODE</v>
          </cell>
          <cell r="Y882" t="str">
            <v>DESCRIPTION</v>
          </cell>
          <cell r="Z882" t="str">
            <v>QUANTITY</v>
          </cell>
          <cell r="AA882" t="str">
            <v>UNITS</v>
          </cell>
          <cell r="AB882" t="str">
            <v>TOTAL MANHOURS</v>
          </cell>
          <cell r="AC882" t="str">
            <v>TOTAL LABOR COST</v>
          </cell>
          <cell r="AD882" t="str">
            <v>TOTAL MAT'L COST</v>
          </cell>
          <cell r="AE882" t="str">
            <v>TOTAL S/C COST</v>
          </cell>
          <cell r="AF882" t="str">
            <v>TOTAL COST</v>
          </cell>
          <cell r="AG882">
            <v>0</v>
          </cell>
        </row>
        <row r="884">
          <cell r="M884" t="str">
            <v>1FAA-</v>
          </cell>
          <cell r="N884" t="str">
            <v>PERFORMANCE BOND</v>
          </cell>
          <cell r="U884">
            <v>0</v>
          </cell>
          <cell r="X884" t="str">
            <v>1FACA</v>
          </cell>
          <cell r="Y884" t="str">
            <v>ARTICLE NO. …..</v>
          </cell>
          <cell r="AF884">
            <v>0</v>
          </cell>
          <cell r="AG884">
            <v>0</v>
          </cell>
        </row>
        <row r="885">
          <cell r="M885" t="str">
            <v>1FAB-</v>
          </cell>
          <cell r="N885" t="str">
            <v>INSURANCE</v>
          </cell>
          <cell r="U885">
            <v>0</v>
          </cell>
          <cell r="X885" t="str">
            <v>1FACB</v>
          </cell>
          <cell r="Y885" t="str">
            <v>ARTICLE NO. …..</v>
          </cell>
          <cell r="AF885">
            <v>0</v>
          </cell>
          <cell r="AG885">
            <v>0</v>
          </cell>
        </row>
        <row r="886">
          <cell r="M886" t="str">
            <v>1FAC-</v>
          </cell>
          <cell r="N886" t="str">
            <v>COMPLIANCE TO TERMS OF CONTRACT</v>
          </cell>
          <cell r="Q886">
            <v>0</v>
          </cell>
          <cell r="R886">
            <v>0</v>
          </cell>
          <cell r="S886">
            <v>0</v>
          </cell>
          <cell r="T886">
            <v>0</v>
          </cell>
          <cell r="U886">
            <v>0</v>
          </cell>
          <cell r="X886" t="str">
            <v>1FACC</v>
          </cell>
          <cell r="Y886" t="str">
            <v>ARTICLE NO. …..</v>
          </cell>
          <cell r="AF886">
            <v>0</v>
          </cell>
          <cell r="AG886">
            <v>0</v>
          </cell>
        </row>
        <row r="887">
          <cell r="M887" t="str">
            <v>1FAD-</v>
          </cell>
          <cell r="N887" t="str">
            <v>ENDORSEMENT OF DESIGN PACKAGE</v>
          </cell>
          <cell r="U887">
            <v>0</v>
          </cell>
          <cell r="X887" t="str">
            <v>1FACX</v>
          </cell>
          <cell r="Y887" t="str">
            <v>ARTICLE NO. …..</v>
          </cell>
          <cell r="AF887">
            <v>0</v>
          </cell>
          <cell r="AG887">
            <v>0</v>
          </cell>
        </row>
        <row r="888">
          <cell r="M888" t="str">
            <v>1FAE-</v>
          </cell>
          <cell r="N888" t="str">
            <v>MANAGEMENT OF LICENSORS' AGREEMENTS</v>
          </cell>
          <cell r="U888">
            <v>0</v>
          </cell>
          <cell r="X888" t="str">
            <v>1FAC-</v>
          </cell>
          <cell r="Y888" t="str">
            <v>SUBTOTAL - COMPLIANCE TO TERMS OF CONTRACT</v>
          </cell>
          <cell r="Z888">
            <v>0</v>
          </cell>
          <cell r="AA888" t="str">
            <v>N/A</v>
          </cell>
          <cell r="AB888">
            <v>0</v>
          </cell>
          <cell r="AC888">
            <v>0</v>
          </cell>
          <cell r="AD888">
            <v>0</v>
          </cell>
          <cell r="AE888">
            <v>0</v>
          </cell>
          <cell r="AF888">
            <v>0</v>
          </cell>
          <cell r="AG888">
            <v>0</v>
          </cell>
        </row>
        <row r="889">
          <cell r="M889" t="str">
            <v>1FA-</v>
          </cell>
          <cell r="N889" t="str">
            <v>SUBTOTAL - PRELIMINARY &amp; GENERAL MATTERS - GENERAL</v>
          </cell>
          <cell r="Q889">
            <v>0</v>
          </cell>
          <cell r="R889">
            <v>0</v>
          </cell>
          <cell r="S889">
            <v>0</v>
          </cell>
          <cell r="T889">
            <v>0</v>
          </cell>
          <cell r="U889">
            <v>0</v>
          </cell>
        </row>
        <row r="890">
          <cell r="X890" t="str">
            <v>1FBDA</v>
          </cell>
          <cell r="Y890" t="str">
            <v>ENGINEERING MANUALS, DATA BOOKS, ASBUILT DRAWINGS, ETC.</v>
          </cell>
          <cell r="AF890">
            <v>0</v>
          </cell>
          <cell r="AG890">
            <v>0</v>
          </cell>
        </row>
        <row r="891">
          <cell r="M891" t="str">
            <v>1FBA-</v>
          </cell>
          <cell r="N891" t="str">
            <v>CONTRACTOR'S MANAGEMENT - E&amp;P</v>
          </cell>
          <cell r="U891">
            <v>0</v>
          </cell>
          <cell r="X891" t="str">
            <v>1FBDB</v>
          </cell>
          <cell r="Y891" t="str">
            <v>MAINTENANCE MANUALS</v>
          </cell>
          <cell r="AF891">
            <v>0</v>
          </cell>
          <cell r="AG891">
            <v>0</v>
          </cell>
        </row>
        <row r="892">
          <cell r="M892" t="str">
            <v>1FBB-</v>
          </cell>
          <cell r="N892" t="str">
            <v>MOBILIZATION OF CONTRACTOR - E&amp;P</v>
          </cell>
          <cell r="U892">
            <v>0</v>
          </cell>
          <cell r="X892" t="str">
            <v>1FBDC</v>
          </cell>
          <cell r="Y892" t="str">
            <v>OPERATIONAL  MANUALS</v>
          </cell>
          <cell r="AF892">
            <v>0</v>
          </cell>
          <cell r="AG892">
            <v>0</v>
          </cell>
        </row>
        <row r="893">
          <cell r="M893" t="str">
            <v>1FBC-</v>
          </cell>
          <cell r="N893" t="str">
            <v>DEMOBILIZATION OF CONTRACTOR - E&amp;P</v>
          </cell>
          <cell r="U893">
            <v>0</v>
          </cell>
          <cell r="X893" t="str">
            <v>1FBDD</v>
          </cell>
          <cell r="Y893" t="str">
            <v>QUALITY MANUALS</v>
          </cell>
          <cell r="AF893">
            <v>0</v>
          </cell>
          <cell r="AG893">
            <v>0</v>
          </cell>
        </row>
        <row r="894">
          <cell r="M894" t="str">
            <v>1FBD-</v>
          </cell>
          <cell r="N894" t="str">
            <v>FINAL DOCUMENTATION</v>
          </cell>
          <cell r="Q894">
            <v>0</v>
          </cell>
          <cell r="R894">
            <v>0</v>
          </cell>
          <cell r="S894">
            <v>0</v>
          </cell>
          <cell r="T894">
            <v>0</v>
          </cell>
          <cell r="U894">
            <v>0</v>
          </cell>
          <cell r="X894" t="str">
            <v>1FBDE</v>
          </cell>
          <cell r="Y894" t="str">
            <v>ELECTRONIC FILING (TDMS)</v>
          </cell>
          <cell r="AF894">
            <v>0</v>
          </cell>
          <cell r="AG894">
            <v>0</v>
          </cell>
        </row>
        <row r="895">
          <cell r="M895" t="str">
            <v>1FBE-</v>
          </cell>
          <cell r="N895" t="str">
            <v>SERVICES AND FACILITIES AT HOME OFFICE</v>
          </cell>
          <cell r="Q895">
            <v>0</v>
          </cell>
          <cell r="R895">
            <v>0</v>
          </cell>
          <cell r="S895">
            <v>0</v>
          </cell>
          <cell r="T895">
            <v>0</v>
          </cell>
          <cell r="U895">
            <v>0</v>
          </cell>
          <cell r="X895" t="str">
            <v>1FBDF</v>
          </cell>
          <cell r="Y895" t="str">
            <v>COMPUTERIZED MAINTENANCE MANAGEMENT SYSTEM</v>
          </cell>
          <cell r="AF895">
            <v>0</v>
          </cell>
          <cell r="AG895">
            <v>0</v>
          </cell>
        </row>
        <row r="896">
          <cell r="M896" t="str">
            <v>1FBF-</v>
          </cell>
          <cell r="N896" t="str">
            <v>SERVICES AND FACILITIES AT SUBCONTRACTOR'S/VENDORS FACILITIES</v>
          </cell>
          <cell r="Q896">
            <v>0</v>
          </cell>
          <cell r="R896">
            <v>0</v>
          </cell>
          <cell r="S896">
            <v>0</v>
          </cell>
          <cell r="T896">
            <v>0</v>
          </cell>
          <cell r="U896">
            <v>0</v>
          </cell>
          <cell r="X896" t="str">
            <v>1FBDX</v>
          </cell>
          <cell r="Y896" t="str">
            <v>OTHER FINAL DOCUMENTATION</v>
          </cell>
          <cell r="AF896">
            <v>0</v>
          </cell>
          <cell r="AG896">
            <v>0</v>
          </cell>
        </row>
        <row r="897">
          <cell r="M897" t="str">
            <v>1FB-</v>
          </cell>
          <cell r="N897" t="str">
            <v>SUBTOTAL - PRELIMINARY &amp; GENERAL MATTERS - ENG/PROCUREMENT</v>
          </cell>
          <cell r="Q897">
            <v>0</v>
          </cell>
          <cell r="R897">
            <v>0</v>
          </cell>
          <cell r="S897">
            <v>0</v>
          </cell>
          <cell r="T897">
            <v>0</v>
          </cell>
          <cell r="U897">
            <v>0</v>
          </cell>
          <cell r="X897" t="str">
            <v>1FBD-</v>
          </cell>
          <cell r="Y897" t="str">
            <v>SUBTOTAL - FINAL DOCUMENTATION</v>
          </cell>
          <cell r="Z897">
            <v>0</v>
          </cell>
          <cell r="AA897" t="str">
            <v>N/A</v>
          </cell>
          <cell r="AB897">
            <v>0</v>
          </cell>
          <cell r="AC897">
            <v>0</v>
          </cell>
          <cell r="AD897">
            <v>0</v>
          </cell>
          <cell r="AE897">
            <v>0</v>
          </cell>
          <cell r="AF897">
            <v>0</v>
          </cell>
          <cell r="AG897">
            <v>0</v>
          </cell>
        </row>
        <row r="899">
          <cell r="M899" t="str">
            <v>1FCA-</v>
          </cell>
          <cell r="N899" t="str">
            <v>CONTRACTOR'S MANAGEMENT - CONSTRUCTION</v>
          </cell>
          <cell r="U899">
            <v>0</v>
          </cell>
          <cell r="X899" t="str">
            <v>1FBEA</v>
          </cell>
          <cell r="Y899" t="str">
            <v>OFFICES AND RELATED SERVICES AND FACILITIES</v>
          </cell>
          <cell r="AF899">
            <v>0</v>
          </cell>
          <cell r="AG899">
            <v>0</v>
          </cell>
        </row>
        <row r="900">
          <cell r="M900" t="str">
            <v>1FCB-</v>
          </cell>
          <cell r="N900" t="str">
            <v>MOBILIZATION OF CONTRACTOR - SITE</v>
          </cell>
          <cell r="Q900">
            <v>0</v>
          </cell>
          <cell r="R900">
            <v>0</v>
          </cell>
          <cell r="S900">
            <v>0</v>
          </cell>
          <cell r="T900">
            <v>0</v>
          </cell>
          <cell r="U900">
            <v>0</v>
          </cell>
          <cell r="X900" t="str">
            <v>1FBEB</v>
          </cell>
          <cell r="Y900" t="str">
            <v>SECRETARIAL AND CLERICAL ASSISTANCE</v>
          </cell>
          <cell r="AF900">
            <v>0</v>
          </cell>
          <cell r="AG900">
            <v>0</v>
          </cell>
        </row>
        <row r="901">
          <cell r="M901" t="str">
            <v>1FCC-</v>
          </cell>
          <cell r="N901" t="str">
            <v>DEMOBILIZATION OF CONTRACTOR - SITE</v>
          </cell>
          <cell r="Q901">
            <v>0</v>
          </cell>
          <cell r="R901">
            <v>0</v>
          </cell>
          <cell r="S901">
            <v>0</v>
          </cell>
          <cell r="T901">
            <v>0</v>
          </cell>
          <cell r="U901">
            <v>0</v>
          </cell>
          <cell r="X901" t="str">
            <v>1FBEC</v>
          </cell>
          <cell r="Y901" t="str">
            <v>TELECOMMUNICATIONS FACILITIES</v>
          </cell>
          <cell r="AF901">
            <v>0</v>
          </cell>
          <cell r="AG901">
            <v>0</v>
          </cell>
        </row>
        <row r="902">
          <cell r="M902" t="str">
            <v>1FCD-</v>
          </cell>
          <cell r="N902" t="str">
            <v>UTILITIES AT CONSTRUCTION SITE</v>
          </cell>
          <cell r="Q902">
            <v>0</v>
          </cell>
          <cell r="R902">
            <v>0</v>
          </cell>
          <cell r="S902">
            <v>0</v>
          </cell>
          <cell r="T902">
            <v>0</v>
          </cell>
          <cell r="U902">
            <v>0</v>
          </cell>
          <cell r="X902" t="str">
            <v>1FBED</v>
          </cell>
          <cell r="Y902" t="str">
            <v>COMPUTING EQUIPMENT</v>
          </cell>
          <cell r="AF902">
            <v>0</v>
          </cell>
          <cell r="AG902">
            <v>0</v>
          </cell>
        </row>
        <row r="903">
          <cell r="M903" t="str">
            <v>1FCE-</v>
          </cell>
          <cell r="N903" t="str">
            <v>SERVICES AND FACILITIES AT CONSTRUCTION SITE</v>
          </cell>
          <cell r="Q903">
            <v>0</v>
          </cell>
          <cell r="R903">
            <v>0</v>
          </cell>
          <cell r="S903">
            <v>0</v>
          </cell>
          <cell r="T903">
            <v>0</v>
          </cell>
          <cell r="U903">
            <v>0</v>
          </cell>
          <cell r="X903" t="str">
            <v>1FBEE</v>
          </cell>
          <cell r="Y903" t="str">
            <v>ADMINISTRATIVE ASSISTANCE AND OTHERS</v>
          </cell>
          <cell r="AF903">
            <v>0</v>
          </cell>
          <cell r="AG903">
            <v>0</v>
          </cell>
        </row>
        <row r="904">
          <cell r="M904" t="str">
            <v>1FC-</v>
          </cell>
          <cell r="N904" t="str">
            <v>SUBTOTAL - PRELIMINARY &amp; GENERAL MATTERS - CONSTRUCTION</v>
          </cell>
          <cell r="Q904">
            <v>0</v>
          </cell>
          <cell r="R904">
            <v>0</v>
          </cell>
          <cell r="S904">
            <v>0</v>
          </cell>
          <cell r="T904">
            <v>0</v>
          </cell>
          <cell r="U904">
            <v>0</v>
          </cell>
          <cell r="X904" t="str">
            <v>1FBEF</v>
          </cell>
          <cell r="Y904" t="str">
            <v>TRAINING OF QGPC PERSONNEL AT HOME OFFICE</v>
          </cell>
          <cell r="AF904">
            <v>0</v>
          </cell>
          <cell r="AG904">
            <v>0</v>
          </cell>
        </row>
        <row r="905">
          <cell r="X905" t="str">
            <v>1FBEG</v>
          </cell>
          <cell r="Y905" t="str">
            <v>TRAINING OF QGPC PERSONNEL AT VENDORS PREMISES</v>
          </cell>
          <cell r="AF905">
            <v>0</v>
          </cell>
          <cell r="AG905">
            <v>0</v>
          </cell>
        </row>
        <row r="906">
          <cell r="X906" t="str">
            <v>1FBEX</v>
          </cell>
          <cell r="Y906" t="str">
            <v>SERVICES AND FACILITIES AT HOME OFFICE - OTHER</v>
          </cell>
          <cell r="AF906">
            <v>0</v>
          </cell>
          <cell r="AG906">
            <v>0</v>
          </cell>
        </row>
        <row r="907">
          <cell r="X907" t="str">
            <v>1FBE-</v>
          </cell>
          <cell r="Y907" t="str">
            <v>SUBTOTAL - SERVICES AND FACILITIES AT HOME OFFICE</v>
          </cell>
          <cell r="Z907">
            <v>0</v>
          </cell>
          <cell r="AA907" t="str">
            <v>N/A</v>
          </cell>
          <cell r="AB907">
            <v>0</v>
          </cell>
          <cell r="AC907">
            <v>0</v>
          </cell>
          <cell r="AD907">
            <v>0</v>
          </cell>
          <cell r="AE907">
            <v>0</v>
          </cell>
          <cell r="AF907">
            <v>0</v>
          </cell>
        </row>
        <row r="909">
          <cell r="X909" t="str">
            <v>1FBFA</v>
          </cell>
          <cell r="Y909" t="str">
            <v>OFFICES AND RELATED FACILITIES</v>
          </cell>
          <cell r="AF909">
            <v>0</v>
          </cell>
          <cell r="AG909">
            <v>0</v>
          </cell>
        </row>
        <row r="910">
          <cell r="X910" t="str">
            <v>1FBFB</v>
          </cell>
          <cell r="Y910" t="str">
            <v>TELECOMMUNICATIONS FACILITIES</v>
          </cell>
          <cell r="AF910">
            <v>0</v>
          </cell>
          <cell r="AG910">
            <v>0</v>
          </cell>
        </row>
        <row r="911">
          <cell r="X911" t="str">
            <v>1FBFC</v>
          </cell>
          <cell r="Y911" t="str">
            <v>COMPUTING EQUIPMENT</v>
          </cell>
          <cell r="AF911">
            <v>0</v>
          </cell>
          <cell r="AG911">
            <v>0</v>
          </cell>
        </row>
        <row r="912">
          <cell r="X912" t="str">
            <v>1FBFD</v>
          </cell>
          <cell r="Y912" t="str">
            <v>TRAINING OF QGPC PERSONNEL</v>
          </cell>
          <cell r="AF912">
            <v>0</v>
          </cell>
          <cell r="AG912">
            <v>0</v>
          </cell>
        </row>
        <row r="913">
          <cell r="X913" t="str">
            <v>1FBFX</v>
          </cell>
          <cell r="Y913" t="str">
            <v>SERVICES AND FACILITIES  - OTHER</v>
          </cell>
          <cell r="AF913">
            <v>0</v>
          </cell>
          <cell r="AG913">
            <v>0</v>
          </cell>
        </row>
        <row r="914">
          <cell r="X914" t="str">
            <v>1FBF-</v>
          </cell>
          <cell r="Y914" t="str">
            <v>SUBTOTAL SERVICES AND FACILITIES AT SUBCONTRACTOR'S / VENDORS</v>
          </cell>
          <cell r="Z914">
            <v>0</v>
          </cell>
          <cell r="AB914">
            <v>0</v>
          </cell>
          <cell r="AC914">
            <v>0</v>
          </cell>
          <cell r="AD914">
            <v>0</v>
          </cell>
          <cell r="AE914">
            <v>0</v>
          </cell>
          <cell r="AF914">
            <v>0</v>
          </cell>
          <cell r="AG914">
            <v>0</v>
          </cell>
        </row>
        <row r="916">
          <cell r="X916" t="str">
            <v>1FCBA</v>
          </cell>
          <cell r="Y916" t="str">
            <v>MOBILIZATION OF CONTRACTOR - SITE - DUKHAN</v>
          </cell>
          <cell r="AF916">
            <v>0</v>
          </cell>
          <cell r="AG916">
            <v>0</v>
          </cell>
        </row>
        <row r="917">
          <cell r="X917" t="str">
            <v>1FCBB</v>
          </cell>
          <cell r="Y917" t="str">
            <v>MOBILIZATION OF CONTRACTOR - SITE - MESAIEED</v>
          </cell>
          <cell r="AF917">
            <v>0</v>
          </cell>
          <cell r="AG917">
            <v>0</v>
          </cell>
        </row>
        <row r="918">
          <cell r="X918" t="str">
            <v>1FCB-</v>
          </cell>
          <cell r="Y918" t="str">
            <v>SUBTOTAL - MOBILIZATION OF CONTRACTOR - SITE</v>
          </cell>
          <cell r="Z918">
            <v>0</v>
          </cell>
          <cell r="AA918" t="str">
            <v>N/A</v>
          </cell>
          <cell r="AB918">
            <v>0</v>
          </cell>
          <cell r="AC918">
            <v>0</v>
          </cell>
          <cell r="AD918">
            <v>0</v>
          </cell>
          <cell r="AE918">
            <v>0</v>
          </cell>
          <cell r="AF918">
            <v>0</v>
          </cell>
        </row>
        <row r="925">
          <cell r="X925" t="str">
            <v>LEVEL 2 PRELIMINARY AND GENERAL MATTERS PG.2</v>
          </cell>
        </row>
        <row r="926">
          <cell r="W926" t="str">
            <v>LEVEL 2 PRELIMINARY AND GENERAL MATTERS PG.2</v>
          </cell>
          <cell r="X926" t="str">
            <v>WBS CODE</v>
          </cell>
          <cell r="Y926" t="str">
            <v>DESCRIPTION</v>
          </cell>
          <cell r="Z926" t="str">
            <v>QUANTITY</v>
          </cell>
          <cell r="AA926" t="str">
            <v>UNITS</v>
          </cell>
          <cell r="AB926" t="str">
            <v>TOTAL MANHOURS</v>
          </cell>
          <cell r="AC926" t="str">
            <v>TOTAL LABOR COST</v>
          </cell>
          <cell r="AD926" t="str">
            <v>TOTAL MAT'L COST</v>
          </cell>
          <cell r="AE926" t="str">
            <v>TOTAL S/C COST</v>
          </cell>
          <cell r="AF926" t="str">
            <v>TOTAL COST</v>
          </cell>
        </row>
        <row r="928">
          <cell r="X928" t="str">
            <v>1FCCA</v>
          </cell>
          <cell r="Y928" t="str">
            <v>DEMOBILIZATION OF CONTRACTOR - SITE - DUKHAN</v>
          </cell>
          <cell r="AF928">
            <v>0</v>
          </cell>
          <cell r="AG928">
            <v>0</v>
          </cell>
        </row>
        <row r="929">
          <cell r="X929" t="str">
            <v>1FCCB</v>
          </cell>
          <cell r="Y929" t="str">
            <v>DEMOBILIZATION OF CONTRACTOR - SITE - MESAIEED</v>
          </cell>
          <cell r="AF929">
            <v>0</v>
          </cell>
          <cell r="AG929">
            <v>0</v>
          </cell>
        </row>
        <row r="930">
          <cell r="X930" t="str">
            <v>1FCC-</v>
          </cell>
          <cell r="Y930" t="str">
            <v>SUBTOTAL - DEMOBILIZATION OF CONTRACTOR - SITE</v>
          </cell>
          <cell r="Z930">
            <v>0</v>
          </cell>
          <cell r="AA930" t="str">
            <v>N/A</v>
          </cell>
          <cell r="AB930">
            <v>0</v>
          </cell>
          <cell r="AC930">
            <v>0</v>
          </cell>
          <cell r="AD930">
            <v>0</v>
          </cell>
          <cell r="AE930">
            <v>0</v>
          </cell>
          <cell r="AF930">
            <v>0</v>
          </cell>
        </row>
        <row r="932">
          <cell r="X932" t="str">
            <v>1FCDA</v>
          </cell>
          <cell r="Y932" t="str">
            <v>UTILITIES</v>
          </cell>
          <cell r="AF932">
            <v>0</v>
          </cell>
          <cell r="AG932">
            <v>0</v>
          </cell>
        </row>
        <row r="933">
          <cell r="X933" t="str">
            <v>1FCDB</v>
          </cell>
          <cell r="Y933" t="str">
            <v>WASTE DISPOSAL</v>
          </cell>
          <cell r="AF933">
            <v>0</v>
          </cell>
          <cell r="AG933">
            <v>0</v>
          </cell>
        </row>
        <row r="934">
          <cell r="X934" t="str">
            <v>1FCDC</v>
          </cell>
          <cell r="Y934" t="str">
            <v>TELECOMMUNICATIONS</v>
          </cell>
          <cell r="AF934">
            <v>0</v>
          </cell>
          <cell r="AG934">
            <v>0</v>
          </cell>
        </row>
        <row r="935">
          <cell r="X935" t="str">
            <v>1FCDD</v>
          </cell>
          <cell r="Y935" t="str">
            <v>CONTRACTOR'S OFFICE BUILDING AND FACILITIES</v>
          </cell>
          <cell r="AF935">
            <v>0</v>
          </cell>
          <cell r="AG935">
            <v>0</v>
          </cell>
        </row>
        <row r="936">
          <cell r="X936" t="str">
            <v>1FCDE</v>
          </cell>
          <cell r="Y936" t="str">
            <v>CONSTRUCTION CAMPS, WORKSHOPS &amp; OTHER FACILITIES</v>
          </cell>
          <cell r="AF936">
            <v>0</v>
          </cell>
          <cell r="AG936">
            <v>0</v>
          </cell>
        </row>
        <row r="937">
          <cell r="X937" t="str">
            <v>1FCDF</v>
          </cell>
          <cell r="Y937" t="str">
            <v>LAY DOWN AREAS</v>
          </cell>
          <cell r="AF937">
            <v>0</v>
          </cell>
          <cell r="AG937">
            <v>0</v>
          </cell>
        </row>
        <row r="938">
          <cell r="X938" t="str">
            <v>1FCDG</v>
          </cell>
          <cell r="Y938" t="str">
            <v>CATERING AND CATERING FACILITIES</v>
          </cell>
          <cell r="AF938">
            <v>0</v>
          </cell>
          <cell r="AG938">
            <v>0</v>
          </cell>
        </row>
        <row r="939">
          <cell r="X939" t="str">
            <v>1FCDH</v>
          </cell>
          <cell r="Y939" t="str">
            <v>TRANSPORTATION OF WORKFORCE</v>
          </cell>
          <cell r="AF939">
            <v>0</v>
          </cell>
          <cell r="AG939">
            <v>0</v>
          </cell>
        </row>
        <row r="940">
          <cell r="X940" t="str">
            <v>1FCDX</v>
          </cell>
          <cell r="Y940" t="str">
            <v xml:space="preserve">OTHER </v>
          </cell>
          <cell r="AF940">
            <v>0</v>
          </cell>
          <cell r="AG940">
            <v>0</v>
          </cell>
        </row>
        <row r="941">
          <cell r="X941" t="str">
            <v>1FCD-</v>
          </cell>
          <cell r="Y941" t="str">
            <v>SUBTOTAL - UTILITIES AND FACILITIES AT CONSTRUCTION SITE</v>
          </cell>
          <cell r="Z941">
            <v>0</v>
          </cell>
          <cell r="AA941" t="str">
            <v>N/A</v>
          </cell>
          <cell r="AB941">
            <v>0</v>
          </cell>
          <cell r="AC941">
            <v>0</v>
          </cell>
          <cell r="AD941">
            <v>0</v>
          </cell>
          <cell r="AE941">
            <v>0</v>
          </cell>
          <cell r="AF941">
            <v>0</v>
          </cell>
        </row>
        <row r="943">
          <cell r="X943" t="str">
            <v>1FCEA</v>
          </cell>
          <cell r="Y943" t="str">
            <v>QGPC OFFICE BUILDINGS AND OTHER FACILITIES</v>
          </cell>
          <cell r="AF943">
            <v>0</v>
          </cell>
          <cell r="AG943">
            <v>0</v>
          </cell>
        </row>
        <row r="944">
          <cell r="X944" t="str">
            <v>1FCEB</v>
          </cell>
          <cell r="Y944" t="str">
            <v>OFFICES AND RELATED SERVICES AND FACILITIES</v>
          </cell>
          <cell r="AF944">
            <v>0</v>
          </cell>
          <cell r="AG944">
            <v>0</v>
          </cell>
        </row>
        <row r="945">
          <cell r="X945" t="str">
            <v>1FCEC</v>
          </cell>
          <cell r="Y945" t="str">
            <v>SECRETARIAL AND CLERICAL ASSISTANCE</v>
          </cell>
          <cell r="AF945">
            <v>0</v>
          </cell>
          <cell r="AG945">
            <v>0</v>
          </cell>
        </row>
        <row r="946">
          <cell r="X946" t="str">
            <v>1FCED</v>
          </cell>
          <cell r="Y946" t="str">
            <v>TELECOMMUNICATIONS FACILITIES</v>
          </cell>
          <cell r="AF946">
            <v>0</v>
          </cell>
          <cell r="AG946">
            <v>0</v>
          </cell>
        </row>
        <row r="947">
          <cell r="X947" t="str">
            <v>1FCEE</v>
          </cell>
          <cell r="Y947" t="str">
            <v>COMPUTING EQUIPMENT</v>
          </cell>
          <cell r="AF947">
            <v>0</v>
          </cell>
          <cell r="AG947">
            <v>0</v>
          </cell>
        </row>
        <row r="948">
          <cell r="X948" t="str">
            <v>1FCEF</v>
          </cell>
          <cell r="Y948" t="str">
            <v>MESSING FACILITIES</v>
          </cell>
          <cell r="AF948">
            <v>0</v>
          </cell>
          <cell r="AG948">
            <v>0</v>
          </cell>
        </row>
        <row r="949">
          <cell r="X949" t="str">
            <v>1FCEG</v>
          </cell>
          <cell r="Y949" t="str">
            <v>SERVICES AND FACILITIES AT CONSTRUCTION SITE - OTHER</v>
          </cell>
          <cell r="AF949">
            <v>0</v>
          </cell>
          <cell r="AG949">
            <v>0</v>
          </cell>
        </row>
        <row r="950">
          <cell r="X950" t="str">
            <v>1FCEX</v>
          </cell>
          <cell r="Y950" t="str">
            <v>TRAINING OF QGPC PERSONNEL</v>
          </cell>
          <cell r="AF950">
            <v>0</v>
          </cell>
          <cell r="AG950">
            <v>0</v>
          </cell>
        </row>
        <row r="951">
          <cell r="X951" t="str">
            <v>1FCE-</v>
          </cell>
          <cell r="Y951" t="str">
            <v>SUBTOTAL - SERVICES AND FACILITIES AT CONSTRUCTION SITE</v>
          </cell>
          <cell r="Z951">
            <v>0</v>
          </cell>
          <cell r="AA951" t="str">
            <v>N/A</v>
          </cell>
          <cell r="AB951">
            <v>0</v>
          </cell>
          <cell r="AC951">
            <v>0</v>
          </cell>
          <cell r="AD951">
            <v>0</v>
          </cell>
          <cell r="AE951">
            <v>0</v>
          </cell>
          <cell r="AF95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수"/>
      <sheetName val="Sheet5"/>
      <sheetName val="도급양식"/>
      <sheetName val="Y-WORK"/>
      <sheetName val="98비정기소모"/>
      <sheetName val="ITB COST"/>
      <sheetName val="기준FACTOR"/>
      <sheetName val="직노"/>
      <sheetName val="단가표"/>
      <sheetName val="내역"/>
      <sheetName val="투자실별"/>
      <sheetName val="국영"/>
      <sheetName val="FRP내역서"/>
      <sheetName val="가동비율"/>
      <sheetName val="PUMP"/>
      <sheetName val="Anti"/>
      <sheetName val="표지"/>
      <sheetName val="Sheet1"/>
      <sheetName val="간접비내역-1"/>
      <sheetName val="COA-17"/>
      <sheetName val="C-18"/>
      <sheetName val="BOQ건축"/>
      <sheetName val="갑지(추정)"/>
      <sheetName val="금액내역서"/>
      <sheetName val="LGLS-hGH PJT"/>
      <sheetName val="집계표"/>
      <sheetName val="도급FORM"/>
      <sheetName val="1차 내역서"/>
      <sheetName val="FACTOR"/>
      <sheetName val="단가대비"/>
      <sheetName val="DNW"/>
      <sheetName val="확산동"/>
      <sheetName val="부서별(배부후)_계획"/>
      <sheetName val="조명시설"/>
      <sheetName val="工場棟・目次"/>
      <sheetName val="事務棟・目次"/>
      <sheetName val="外構・目次"/>
      <sheetName val="Baby일위대가"/>
      <sheetName val="전기일위대가"/>
      <sheetName val="일위대가"/>
      <sheetName val="기계설비"/>
      <sheetName val="일반공사"/>
      <sheetName val="장비당단가 (1)"/>
      <sheetName val="내역서"/>
      <sheetName val="원형1호맨홀토공수량"/>
    </sheetNames>
    <sheetDataSet>
      <sheetData sheetId="0" refreshError="1">
        <row r="12">
          <cell r="E12">
            <v>9.2200000000000004E-2</v>
          </cell>
        </row>
        <row r="14">
          <cell r="E14">
            <v>8.9800000000000005E-2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실행갑"/>
      <sheetName val="실행을"/>
      <sheetName val="실행비교표"/>
      <sheetName val="Sheet1"/>
      <sheetName val="갑"/>
      <sheetName val="을 (2)"/>
      <sheetName val="내역"/>
      <sheetName val="을"/>
      <sheetName val="TITLE"/>
      <sheetName val="전체목차"/>
      <sheetName val="UT W-S"/>
      <sheetName val="UT MATL &amp; SIZE"/>
      <sheetName val="전기 W-S"/>
      <sheetName val="HVAC W-S"/>
      <sheetName val="SCHEDULE"/>
      <sheetName val="지수"/>
    </sheetNames>
    <sheetDataSet>
      <sheetData sheetId="0" refreshError="1">
        <row r="21">
          <cell r="C21">
            <v>10000</v>
          </cell>
          <cell r="D21">
            <v>8000</v>
          </cell>
          <cell r="E21">
            <v>5000</v>
          </cell>
          <cell r="F21">
            <v>29218</v>
          </cell>
          <cell r="G21">
            <v>21114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을"/>
      <sheetName val="내역서"/>
      <sheetName val="할증 "/>
      <sheetName val="FACTOR"/>
      <sheetName val="지수"/>
      <sheetName val="공사비내역서"/>
      <sheetName val="노원열병합  건축공사기성내역서"/>
      <sheetName val="eq_data"/>
      <sheetName val="sum"/>
      <sheetName val="당초"/>
      <sheetName val="Total"/>
      <sheetName val="BOQ건축"/>
      <sheetName val="UR2-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을"/>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B2">
            <v>1.1000000000000001</v>
          </cell>
        </row>
        <row r="3">
          <cell r="B3">
            <v>1</v>
          </cell>
        </row>
        <row r="4">
          <cell r="B4">
            <v>1</v>
          </cell>
        </row>
      </sheetData>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PUMP"/>
      <sheetName val="REC(CHP)"/>
      <sheetName val="REC(HOB)"/>
      <sheetName val="Piping Design Data"/>
      <sheetName val="FAB별"/>
      <sheetName val="Main"/>
      <sheetName val="Data"/>
      <sheetName val="기준"/>
      <sheetName val="예산M12A"/>
      <sheetName val="DATE"/>
      <sheetName val="1단계"/>
      <sheetName val="PROJECT"/>
      <sheetName val="BQ"/>
      <sheetName val="CAL."/>
      <sheetName val="CAL"/>
      <sheetName val="lookup"/>
      <sheetName val="SKETCH"/>
      <sheetName val="F-Assump"/>
      <sheetName val="Sheet1"/>
      <sheetName val="CAT_5"/>
      <sheetName val="노원열병합  건축공사기성내역서"/>
      <sheetName val="BID"/>
      <sheetName val="ITB COST"/>
      <sheetName val="단가대비"/>
      <sheetName val="Q827"/>
      <sheetName val="예산서"/>
      <sheetName val="TEL"/>
      <sheetName val="부대대비"/>
      <sheetName val="냉연집계"/>
      <sheetName val="차액보증"/>
      <sheetName val="적용환율"/>
      <sheetName val="#REF"/>
      <sheetName val="산근"/>
      <sheetName val="AILC004"/>
      <sheetName val="DESIGN CRITERIA"/>
      <sheetName val="표지"/>
      <sheetName val="Sheet2"/>
      <sheetName val="HVAC"/>
      <sheetName val="차수"/>
      <sheetName val="입찰안"/>
      <sheetName val="가BM"/>
      <sheetName val="FRT_O"/>
      <sheetName val="FAB_I"/>
      <sheetName val="확산동"/>
      <sheetName val="단가표"/>
      <sheetName val="FACTOR"/>
      <sheetName val="F4-F7"/>
      <sheetName val="一発シート"/>
      <sheetName val="공정계획_내부계획25__내부w_f_"/>
      <sheetName val="±âÁØ"/>
      <sheetName val="¿¹»êM12A"/>
      <sheetName val="1´Ü°è"/>
      <sheetName val="´Ü°¡´ëºñ"/>
      <sheetName val="³ë¿ø¿­º´ÇÕ  °ÇÃà°ø»ç±â¼º³»¿ª¼­"/>
      <sheetName val="단면치수"/>
      <sheetName val="PROCESS"/>
      <sheetName val="DNW"/>
      <sheetName val="laroux"/>
      <sheetName val="slab"/>
      <sheetName val="pile(1)"/>
      <sheetName val="pile(2)"/>
      <sheetName val="pile(3)"/>
      <sheetName val="Cable Trench in E-3,6,9"/>
      <sheetName val="General Data"/>
      <sheetName val="간접비내역-1"/>
      <sheetName val="작성기준"/>
      <sheetName val="내역서"/>
      <sheetName val="NAME"/>
      <sheetName val="API Pump"/>
      <sheetName val="ANSI Pump"/>
      <sheetName val="Reciprocating Pump"/>
      <sheetName val="Submersible Pump"/>
      <sheetName val="Fire Pump"/>
      <sheetName val="당초"/>
      <sheetName val="PS"/>
      <sheetName val="SILICATE"/>
      <sheetName val="Summary Sheets"/>
      <sheetName val="Wt of Mod."/>
      <sheetName val="Module Wt"/>
      <sheetName val="Build Up"/>
      <sheetName val="costing_ESDV"/>
      <sheetName val="costing_Misc"/>
      <sheetName val="costing_MOV"/>
      <sheetName val="costing_Press"/>
      <sheetName val="GammaEquivalents"/>
      <sheetName val="Equipment"/>
      <sheetName val="Piping"/>
      <sheetName val="eq_data"/>
      <sheetName val="A"/>
      <sheetName val="건축내역"/>
      <sheetName val="Isolasi Luar Dalam"/>
      <sheetName val="Isolasi Luar"/>
      <sheetName val="ASS-UNIT"/>
      <sheetName val="DUTCH CONE"/>
      <sheetName val="Direct Cost"/>
      <sheetName val="BoQ"/>
      <sheetName val="SchA"/>
      <sheetName val="PMT"/>
      <sheetName val="Elect"/>
      <sheetName val="Ins"/>
      <sheetName val="Mech"/>
      <sheetName val="SewAlat"/>
      <sheetName val="SchC"/>
      <sheetName val="Analysis"/>
      <sheetName val="SchB"/>
      <sheetName val="SchD"/>
      <sheetName val="Sum"/>
      <sheetName val="Markup"/>
      <sheetName val="11"/>
      <sheetName val="12"/>
      <sheetName val="13"/>
      <sheetName val="14"/>
      <sheetName val="BoQ C4"/>
      <sheetName val="Invoice Cover"/>
      <sheetName val="EXPAT 21"/>
      <sheetName val="FLUOR 29"/>
      <sheetName val="NONS 84"/>
      <sheetName val="STAFF 158"/>
      <sheetName val="SO 38"/>
      <sheetName val="LV-MOTOR"/>
      <sheetName val="재집"/>
      <sheetName val="직재"/>
      <sheetName val="DESIGNCRITERIA"/>
      <sheetName val="DI-ESTI"/>
      <sheetName val="Y-WORK"/>
      <sheetName val="단위세대"/>
      <sheetName val="견적서"/>
      <sheetName val="일위대가"/>
      <sheetName val="steel data sheet"/>
      <sheetName val="LD원부출력"/>
      <sheetName val="PL"/>
      <sheetName val="데이타"/>
      <sheetName val="Sheet12"/>
      <sheetName val="실행견적"/>
      <sheetName val="1.설계조건"/>
      <sheetName val="기초공"/>
      <sheetName val="CAPVC"/>
      <sheetName val="FIN TUBE"/>
      <sheetName val="HED. &amp; PIPE"/>
      <sheetName val="data1"/>
      <sheetName val="FOB발"/>
      <sheetName val="bm(CIcable)"/>
      <sheetName val="F5"/>
      <sheetName val="공사비내역서"/>
      <sheetName val="6호기"/>
      <sheetName val="FRP내역서"/>
      <sheetName val="Total"/>
      <sheetName val="Customer Databas"/>
      <sheetName val="tank list"/>
      <sheetName val="공사비 내역 (가)"/>
      <sheetName val="공사개요"/>
      <sheetName val="REINF."/>
      <sheetName val="LOADS"/>
      <sheetName val="CHECK1"/>
      <sheetName val="대비"/>
      <sheetName val="0401"/>
      <sheetName val="Piping_Design_Data"/>
      <sheetName val="노원열병합__건축공사기성내역서"/>
      <sheetName val="CAL_"/>
      <sheetName val="ITB_COST"/>
      <sheetName val="BEND LOSS"/>
      <sheetName val="POL6차-PIPING"/>
      <sheetName val="HORI. VESSEL"/>
      <sheetName val="을"/>
      <sheetName val="Cash"/>
      <sheetName val="금융비용"/>
      <sheetName val="환율change"/>
      <sheetName val="내역"/>
      <sheetName val="ON_JOB1"/>
      <sheetName val="PumpSpec"/>
      <sheetName val="수입"/>
      <sheetName val="DWG_FrmDON"/>
      <sheetName val="(AS OF AUG.26-2005)"/>
      <sheetName val="#REF!"/>
      <sheetName val="TKOFF"/>
      <sheetName val="설계조건"/>
      <sheetName val="총괄1"/>
      <sheetName val="pipe"/>
      <sheetName val="estimate"/>
      <sheetName val="2-3.V.D일위"/>
      <sheetName val="WORK"/>
      <sheetName val="COA-17"/>
      <sheetName val="C-18"/>
      <sheetName val="장비분석"/>
      <sheetName val="Basic Information"/>
      <sheetName val="K_2"/>
      <sheetName val="견적내역서"/>
      <sheetName val="A갑지"/>
      <sheetName val="배관"/>
      <sheetName val="일위대가목차"/>
      <sheetName val="진주방향"/>
      <sheetName val="할증 "/>
      <sheetName val="도급양식"/>
      <sheetName val="공용정보"/>
      <sheetName val="지수"/>
      <sheetName val="자동제어"/>
      <sheetName val="Culvert"/>
      <sheetName val="본사 보고"/>
      <sheetName val="할증"/>
      <sheetName val="실행내역서 "/>
      <sheetName val="FANDBS"/>
      <sheetName val="GRDATA"/>
      <sheetName val="SHAFTDBSE"/>
      <sheetName val="소비자가"/>
      <sheetName val="협조전"/>
      <sheetName val="유화"/>
      <sheetName val="연돌일위집계"/>
      <sheetName val="견적내용입력"/>
      <sheetName val="견적서세부내용"/>
      <sheetName val="costing_FE"/>
      <sheetName val="WORKING"/>
      <sheetName val="BQ List MNHRS"/>
      <sheetName val="PipWT"/>
      <sheetName val="Const Staff"/>
      <sheetName val="FREU Engineering"/>
      <sheetName val="Startup Staff"/>
      <sheetName val="Exch_rates"/>
      <sheetName val="Summary"/>
      <sheetName val="손익계산서"/>
      <sheetName val="대차대조표"/>
      <sheetName val="Calculation sheet"/>
      <sheetName val="내역서(총)"/>
      <sheetName val="PBS"/>
      <sheetName val="LEGEND"/>
      <sheetName val="항목"/>
      <sheetName val="월별생산"/>
      <sheetName val="전체현황"/>
      <sheetName val="투찰(하수)"/>
      <sheetName val="광통신 견적내역서1"/>
      <sheetName val="토목"/>
      <sheetName val="전기일위대가"/>
      <sheetName val="hvac(제어동)"/>
      <sheetName val="VS P-Q"/>
      <sheetName val="기둥(원형)"/>
      <sheetName val="DIAINCH"/>
      <sheetName val="본체"/>
      <sheetName val="3BL공동구 수량"/>
      <sheetName val="Checks"/>
      <sheetName val="5"/>
      <sheetName val="RFP002"/>
      <sheetName val="Administrative Prices"/>
      <sheetName val="Hoja de Trabajo"/>
      <sheetName val="本体取纏"/>
      <sheetName val="鉄骨纏め"/>
      <sheetName val="XZLC003_PART1"/>
      <sheetName val="대비표"/>
      <sheetName val="data 원본"/>
      <sheetName val="전체패턴1안"/>
      <sheetName val="매출계획"/>
      <sheetName val="ITEM"/>
      <sheetName val="8.PILE  (돌출)"/>
      <sheetName val="3희질산"/>
      <sheetName val="XZLC004_PART2"/>
      <sheetName val="CLAUSE"/>
      <sheetName val="BOQ건축"/>
      <sheetName val="기준FACTOR"/>
      <sheetName val="손익분석"/>
      <sheetName val="V-1-1002bid"/>
      <sheetName val="USD 0107"/>
      <sheetName val="USD 0207"/>
      <sheetName val="IDR 0207"/>
      <sheetName val="IDR 0107"/>
      <sheetName val="CBA MECH &amp; SS (MECH)"/>
      <sheetName val="bq-imp"/>
      <sheetName val="Labor Rate"/>
      <sheetName val="Kuan&amp;Har(PT)"/>
      <sheetName val="A-7"/>
      <sheetName val="Basic"/>
      <sheetName val="unit 4"/>
      <sheetName val="변수2"/>
      <sheetName val="저항"/>
      <sheetName val="CHECK SHEET"/>
      <sheetName val="차량구입"/>
      <sheetName val="수목표준대가"/>
      <sheetName val="SUB(C)"/>
      <sheetName val="본부소개"/>
      <sheetName val="Stem Footing"/>
      <sheetName val="공사비산출내역"/>
      <sheetName val="산출데이타"/>
      <sheetName val="개요"/>
      <sheetName val="plan&amp;section of foundation"/>
      <sheetName val="design load"/>
      <sheetName val="working load at the btm ft."/>
      <sheetName val="stability check"/>
      <sheetName val="공사내역"/>
      <sheetName val="판매"/>
      <sheetName val="1100"/>
      <sheetName val="UTILITY"/>
      <sheetName val="부재료"/>
      <sheetName val="옹벽"/>
      <sheetName val="Lookup Insulation"/>
      <sheetName val="FW Line No - Specification"/>
      <sheetName val="Contract Unit Rates Rev.00"/>
      <sheetName val="Unit Manhours"/>
      <sheetName val="CVT산정"/>
      <sheetName val="Cover"/>
      <sheetName val="³ë¿ø¿­º´ÇÕ__°ÇÃà°ø»ç±â¼º³»¿ª¼­"/>
      <sheetName val="DESIGN_CRITERIA"/>
      <sheetName val="Basic_Information"/>
      <sheetName val="steel_data_sheet"/>
      <sheetName val="Customer_Databas"/>
      <sheetName val="정성양식(new)?蕓?뿼??"/>
      <sheetName val="details"/>
      <sheetName val="단면가정"/>
      <sheetName val="Cost Breakdown Structure"/>
      <sheetName val="Calc"/>
      <sheetName val="SOPMA DD"/>
      <sheetName val="사기도장"/>
      <sheetName val="직노"/>
      <sheetName val="Cable_Trench_in_E-3,6,9"/>
      <sheetName val="General_Data"/>
      <sheetName val="API_Pump"/>
      <sheetName val="ANSI_Pump"/>
      <sheetName val="Reciprocating_Pump"/>
      <sheetName val="Submersible_Pump"/>
      <sheetName val="Fire_Pump"/>
      <sheetName val="할증_"/>
      <sheetName val="공사비_내역_(가)"/>
      <sheetName val="2-3_V_D일위"/>
      <sheetName val="Summary_Sheets"/>
      <sheetName val="Wt_of_Mod_"/>
      <sheetName val="Module_Wt"/>
      <sheetName val="Build_Up"/>
      <sheetName val="Isolasi_Luar_Dalam"/>
      <sheetName val="Isolasi_Luar"/>
      <sheetName val="DUTCH_CONE"/>
      <sheetName val="Direct_Cost"/>
      <sheetName val="BoQ_C4"/>
      <sheetName val="Invoice_Cover"/>
      <sheetName val="EXPAT_21"/>
      <sheetName val="FLUOR_29"/>
      <sheetName val="NONS_84"/>
      <sheetName val="STAFF_158"/>
      <sheetName val="SO_38"/>
      <sheetName val="tank_list"/>
      <sheetName val="BQ_List_MNHRS"/>
      <sheetName val="Const_Staff"/>
      <sheetName val="FREU_Engineering"/>
      <sheetName val="Startup_Staff"/>
      <sheetName val="REINF_"/>
      <sheetName val="Calculation_sheet"/>
      <sheetName val="실행내역서_"/>
      <sheetName val="본사_보고"/>
      <sheetName val="광통신_견적내역서1"/>
      <sheetName val="1801"/>
      <sheetName val="Administrative_Prices"/>
      <sheetName val="Hoja_de_Trabajo"/>
      <sheetName val="(AS_OF_AUG_26-2005)"/>
      <sheetName val="Cost_Breakdown_Structure"/>
      <sheetName val="금액집계"/>
      <sheetName val="공문"/>
      <sheetName val="투자양식"/>
      <sheetName val="Proposal"/>
      <sheetName val="u_rates"/>
      <sheetName val="가시설단위수량"/>
      <sheetName val="건축원가계산서"/>
      <sheetName val="기초자료"/>
      <sheetName val="견적집계표"/>
      <sheetName val="ManHour집계 (2)"/>
      <sheetName val="감가상각"/>
      <sheetName val="FRC"/>
      <sheetName val="노임단가"/>
      <sheetName val="MOTOR"/>
      <sheetName val="시행예산"/>
      <sheetName val="사용성검토"/>
      <sheetName val="FSC_Cost"/>
      <sheetName val="간접"/>
      <sheetName val="현장관리비"/>
      <sheetName val="실행내역"/>
      <sheetName val="MATRLDATA"/>
      <sheetName val="1-2(긴급무기 원형 옥상)"/>
      <sheetName val="간접비"/>
      <sheetName val="01월TTL"/>
      <sheetName val="경비집계"/>
      <sheetName val="MTL(AG)"/>
      <sheetName val="BATCH"/>
    </sheetNames>
    <sheetDataSet>
      <sheetData sheetId="0" refreshError="1"/>
      <sheetData sheetId="1" refreshError="1">
        <row r="6">
          <cell r="A6">
            <v>0.30480000000000002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refreshError="1"/>
      <sheetData sheetId="99" refreshError="1"/>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BID"/>
      <sheetName val="을"/>
      <sheetName val=" 견적서"/>
      <sheetName val="BSD (2)"/>
      <sheetName val="단가조사"/>
      <sheetName val="수량산출"/>
      <sheetName val="보도경계블럭"/>
      <sheetName val="2.고용보험료산출근거"/>
      <sheetName val="TEL"/>
      <sheetName val="데이타"/>
      <sheetName val="개요"/>
      <sheetName val="Sheet1"/>
      <sheetName val="ITB COST"/>
      <sheetName val="UU-TK-05"/>
      <sheetName val="경비2내역"/>
      <sheetName val="날개벽"/>
      <sheetName val="갑지"/>
      <sheetName val="기초공"/>
      <sheetName val="기둥(원형)"/>
      <sheetName val="일위대가목차"/>
      <sheetName val="대비"/>
      <sheetName val="공사비집계"/>
      <sheetName val="집계표"/>
      <sheetName val="단위세대"/>
      <sheetName val="CC16-내역서"/>
      <sheetName val="건축원가계산서"/>
      <sheetName val="구미4단2"/>
      <sheetName val="제경비"/>
      <sheetName val="총괄표"/>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내역 (가)"/>
      <sheetName val="총괄표"/>
      <sheetName val="표지"/>
      <sheetName val="색인표"/>
      <sheetName val="목차"/>
      <sheetName val="공사개요"/>
      <sheetName val="공사물량"/>
      <sheetName val="투찰금액"/>
      <sheetName val="공사비 내역(나)"/>
      <sheetName val="공정표"/>
      <sheetName val="직원조직표"/>
      <sheetName val="SCHE-STF"/>
      <sheetName val="SCHE-LAB"/>
      <sheetName val="장비동원"/>
      <sheetName val="공사비 내역(가)"/>
      <sheetName val="MEC"/>
      <sheetName val="PIPING"/>
      <sheetName val="STR_STL"/>
      <sheetName val="EQUIP"/>
      <sheetName val="PA-INS-SPRO"/>
      <sheetName val="ORGAN"/>
      <sheetName val="간접비총괄"/>
      <sheetName val="간접비내역"/>
      <sheetName val="기공동원계획"/>
      <sheetName val="직원동원"/>
      <sheetName val="SEL-OFFICE"/>
      <sheetName val="간접인원"/>
      <sheetName val="MAN-SUMMARY"/>
      <sheetName val="장비비"/>
      <sheetName val="분개"/>
      <sheetName val="ACOM"/>
      <sheetName val="LAYOUT"/>
      <sheetName val="공사비 내역 _가_"/>
      <sheetName val="Name List"/>
      <sheetName val="Atten. Status (COMPANY)"/>
      <sheetName val="Atten. Status"/>
      <sheetName val="Equipment"/>
      <sheetName val="calcul"/>
      <sheetName val="spc 배관견적"/>
      <sheetName val="PUMP"/>
      <sheetName val="h-013211-2"/>
      <sheetName val="Sheet2"/>
      <sheetName val="Sheet1"/>
      <sheetName val="Pump sh't"/>
      <sheetName val="sheet"/>
      <sheetName val="차액보증"/>
      <sheetName val="내역서"/>
      <sheetName val="DATA"/>
      <sheetName val="Proposal"/>
      <sheetName val="INSULATION"/>
      <sheetName val="Indirect Labour"/>
      <sheetName val="Site Staff"/>
      <sheetName val="Site Est "/>
      <sheetName val="Costing sheet"/>
      <sheetName val="Mat. Summ"/>
      <sheetName val="hot piping"/>
      <sheetName val="Cold piping "/>
      <sheetName val="Pers. Pro"/>
      <sheetName val="Lookup"/>
      <sheetName val="DESIGN"/>
      <sheetName val="OCT_FDN"/>
      <sheetName val="factor"/>
      <sheetName val="전기내역"/>
      <sheetName val="회사99"/>
      <sheetName val="공통비"/>
      <sheetName val="노무 단가"/>
      <sheetName val="OCT.FDN"/>
      <sheetName val="원가"/>
      <sheetName val="ITB COST"/>
      <sheetName val="dg-VTu"/>
      <sheetName val="Tke"/>
      <sheetName val="현금"/>
      <sheetName val="NEW-PANEL"/>
      <sheetName val="KP_List old RV"/>
      <sheetName val="ANALYSER"/>
      <sheetName val="TOEC"/>
      <sheetName val="EXTERNAL(BOQ)"/>
      <sheetName val="eq_data"/>
      <sheetName val="공사비"/>
      <sheetName val="Break Down"/>
      <sheetName val="Main"/>
      <sheetName val="#REF"/>
      <sheetName val="UG예산"/>
      <sheetName val="일위대가표(DEEP)"/>
      <sheetName val="노임단가"/>
      <sheetName val="BSD (2)"/>
      <sheetName val="CAT_5"/>
      <sheetName val="Y-WORK"/>
      <sheetName val="TOOLS"/>
      <sheetName val="gyun"/>
      <sheetName val="kimre scrubber"/>
      <sheetName val="단가비교"/>
      <sheetName val="정부노임단가"/>
      <sheetName val="Customer Databas"/>
      <sheetName val="내역(한신APT)"/>
      <sheetName val="1"/>
      <sheetName val="TIE-IN"/>
      <sheetName val="물량"/>
      <sheetName val="산#2-1 (2)"/>
      <sheetName val="WEIGHT LIST"/>
      <sheetName val="TOTAL"/>
      <sheetName val="SG"/>
      <sheetName val="cable-data"/>
      <sheetName val="CP-E2 (품셈표)"/>
      <sheetName val="일위대가목차"/>
      <sheetName val="DNW"/>
      <sheetName val="E_Rate PM"/>
      <sheetName val="ABUT수량-A1"/>
      <sheetName val="RATES"/>
      <sheetName val="A"/>
      <sheetName val="적용환율"/>
      <sheetName val="General Data"/>
      <sheetName val="공사비예산서(토목분)"/>
      <sheetName val="간접비내역-1"/>
      <sheetName val="BQ"/>
      <sheetName val=" 견적서"/>
      <sheetName val="BOQ-Bill1-8"/>
      <sheetName val="PROG_DATA"/>
      <sheetName val="예산M12A"/>
      <sheetName val="INSTR"/>
      <sheetName val="DCS"/>
      <sheetName val="기준"/>
      <sheetName val="Summary Sheets"/>
      <sheetName val="Wt of Mod."/>
      <sheetName val="Module Wt"/>
      <sheetName val="Build Up"/>
      <sheetName val="costing_ESDV"/>
      <sheetName val="costing_Misc"/>
      <sheetName val="costing_MOV"/>
      <sheetName val="costing_Press"/>
      <sheetName val="BLR 1"/>
      <sheetName val="GEN"/>
      <sheetName val="GAS"/>
      <sheetName val="DEAE"/>
      <sheetName val="BLR2"/>
      <sheetName val="BLR3"/>
      <sheetName val="BLR4"/>
      <sheetName val="BLR5"/>
      <sheetName val="DEM"/>
      <sheetName val="SAM"/>
      <sheetName val="CHEM"/>
      <sheetName val="COP"/>
      <sheetName val="123"/>
      <sheetName val="Tank"/>
      <sheetName val="OIL SYST DATA SHTS"/>
      <sheetName val="Man Power &amp; Comp"/>
      <sheetName val="간접비(1)"/>
      <sheetName val="V-VESSEL (WITH DEMISTER)"/>
      <sheetName val="FRT_O"/>
      <sheetName val="PipWT"/>
      <sheetName val="data 원본"/>
      <sheetName val="판매"/>
      <sheetName val="jobhist"/>
      <sheetName val="단위세대"/>
      <sheetName val="일위대가(계측기설치)"/>
      <sheetName val="B"/>
      <sheetName val="BID"/>
      <sheetName val="CAL"/>
      <sheetName val="11.17~20"/>
      <sheetName val="6.Base"/>
      <sheetName val="VV보온LINK"/>
      <sheetName val="FIT보온LINK"/>
      <sheetName val="item sort no"/>
      <sheetName val="spec"/>
      <sheetName val="N+"/>
      <sheetName val="데이타"/>
      <sheetName val="PRO_A"/>
      <sheetName val="PRO"/>
      <sheetName val="주관사업"/>
      <sheetName val="정산입력"/>
      <sheetName val="을"/>
      <sheetName val="design criteria"/>
      <sheetName val="working load at the btm ft."/>
      <sheetName val="plan&amp;section of foundation"/>
      <sheetName val="동해title"/>
      <sheetName val="REDUCER"/>
      <sheetName val="WE'T"/>
      <sheetName val="당초"/>
      <sheetName val="LEGEND"/>
      <sheetName val="유화"/>
      <sheetName val="6호기"/>
      <sheetName val="合成単価作成表-BLDG"/>
      <sheetName val="EQUIP.XLS"/>
      <sheetName val="설계서"/>
      <sheetName val="GREEN"/>
      <sheetName val="Hawiyah"/>
      <sheetName val="Hawiyah 하청"/>
      <sheetName val="HDEC 1027"/>
      <sheetName val="Juaymah"/>
      <sheetName val="SIPC"/>
      <sheetName val="WORK"/>
      <sheetName val="ITEM"/>
      <sheetName val="작성기준"/>
      <sheetName val="Sum"/>
      <sheetName val="비정기tel"/>
      <sheetName val="INPUT DATA"/>
      <sheetName val="설계조건"/>
      <sheetName val="단면검토"/>
      <sheetName val="간접비 총괄표"/>
      <sheetName val="수입"/>
      <sheetName val="UR2-Calculation"/>
      <sheetName val="분석"/>
      <sheetName val="내역서(총)"/>
      <sheetName val="as boq list up"/>
      <sheetName val="Compare-1"/>
      <sheetName val="현장관리비"/>
      <sheetName val="Code"/>
      <sheetName val="노원열병합  건축공사기성내역서"/>
      <sheetName val="PTR台손익"/>
      <sheetName val="내구품질향상1"/>
      <sheetName val="DIAMOND"/>
      <sheetName val="cap01"/>
      <sheetName val="10월"/>
      <sheetName val="full (2)"/>
      <sheetName val="단가"/>
      <sheetName val="전기일위대가"/>
      <sheetName val="기초자료"/>
      <sheetName val="견적집계표"/>
      <sheetName val="단가표"/>
      <sheetName val="EXCHANGER_BEAM2"/>
      <sheetName val="EXCHANGER_BEAM1"/>
      <sheetName val="EXCHANGER_COM"/>
      <sheetName val="EXCHANGER"/>
      <sheetName val="현장지지물물량"/>
      <sheetName val="내역"/>
      <sheetName val="FANDBS"/>
      <sheetName val="GRDATA"/>
      <sheetName val="SHAFTDBSE"/>
      <sheetName val="WIND SEISMIC CAL."/>
      <sheetName val="VS배관내역서"/>
      <sheetName val="NAME"/>
      <sheetName val="FAB"/>
      <sheetName val="Elect (3)"/>
      <sheetName val="AILC004"/>
      <sheetName val="XZLC004_PART2"/>
      <sheetName val="XZLC003_PART1"/>
      <sheetName val="FRP내역서"/>
      <sheetName val="Coversheet "/>
      <sheetName val="표지 (2)"/>
      <sheetName val="자재별"/>
      <sheetName val="LV data"/>
      <sheetName val="cctv"/>
      <sheetName val="NEWDRAW"/>
      <sheetName val="FAB별"/>
      <sheetName val="총괄-1"/>
      <sheetName val="HORI. VESSEL"/>
      <sheetName val="S0"/>
      <sheetName val="OtherKPI"/>
      <sheetName val="118.세금과공과"/>
      <sheetName val="Basis P&amp;L"/>
      <sheetName val="sheeet2"/>
      <sheetName val="산근"/>
      <sheetName val="Template"/>
      <sheetName val="고정자산원본"/>
      <sheetName val="5"/>
      <sheetName val="Sheet3"/>
      <sheetName val="KPI sheet"/>
      <sheetName val="FREIGHT DE COPACKERS"/>
      <sheetName val="DVS-1"/>
      <sheetName val="Sch7a (토요일)"/>
      <sheetName val="접속슬래브"/>
      <sheetName val="실행내역서 "/>
      <sheetName val="할증"/>
      <sheetName val="지수"/>
      <sheetName val="도급양식"/>
      <sheetName val="할증 "/>
      <sheetName val="공사비내역서"/>
      <sheetName val="Sheet12"/>
      <sheetName val="스낵물량"/>
      <sheetName val="주간계획"/>
      <sheetName val="PL"/>
      <sheetName val="SCHEDULE"/>
      <sheetName val="ELECTRIC"/>
      <sheetName val="CTEMCOST"/>
      <sheetName val="Data_Vert"/>
      <sheetName val="Rebar"/>
      <sheetName val="Data_ST"/>
      <sheetName val="Load"/>
      <sheetName val="summary"/>
      <sheetName val="stdd costBPCS"/>
      <sheetName val="Movement of TB"/>
      <sheetName val="BS Export"/>
      <sheetName val="DESIGN CRETERIA"/>
      <sheetName val="안정계산"/>
      <sheetName val="건축(충일분)"/>
      <sheetName val="DATE"/>
      <sheetName val="생산현황"/>
      <sheetName val="내수량"/>
      <sheetName val="내수매출"/>
      <sheetName val="수출판매"/>
      <sheetName val="수출외화"/>
      <sheetName val="수출한화"/>
      <sheetName val="방배동내역(리라)"/>
      <sheetName val="견적서"/>
      <sheetName val="HRSG SMALL07220"/>
      <sheetName val="member design"/>
      <sheetName val="soil bearing check"/>
      <sheetName val="Chart"/>
      <sheetName val="Sheet5"/>
      <sheetName val="부재력정리"/>
      <sheetName val="말뚝물량"/>
      <sheetName val="계정"/>
      <sheetName val="날개벽"/>
      <sheetName val="수량산출서"/>
      <sheetName val="가도공"/>
      <sheetName val="NozzleData"/>
      <sheetName val="공사내역"/>
      <sheetName val="GEN PROG"/>
      <sheetName val="REG-BASIS"/>
      <sheetName val="TENDER PROG."/>
      <sheetName val="DET.ENGG.PROG"/>
      <sheetName val="pipe"/>
      <sheetName val="공문"/>
      <sheetName val="2.설계제원"/>
      <sheetName val="steel-gr"/>
      <sheetName val="SILICATE"/>
      <sheetName val="Curves"/>
      <sheetName val="BM"/>
      <sheetName val="Option"/>
      <sheetName val="HVAC"/>
      <sheetName val="EQT-ESTN"/>
      <sheetName val="HRB"/>
      <sheetName val="SPT vs PHI"/>
      <sheetName val="Process Piping"/>
      <sheetName val="TOTAL MHRS"/>
      <sheetName val="PROC.PROG"/>
      <sheetName val="calculation-1"/>
      <sheetName val="inter"/>
      <sheetName val="입찰안"/>
      <sheetName val="말뚝지지력산정"/>
      <sheetName val="Project Indirect (SITE)"/>
      <sheetName val="Cost Per Unit"/>
      <sheetName val="Cost"/>
      <sheetName val="MMCR"/>
      <sheetName val="Onshore Summary Sheet"/>
      <sheetName val="MP MOB"/>
      <sheetName val="101동"/>
      <sheetName val="DTmpData"/>
      <sheetName val="PHD Reductions"/>
      <sheetName val="사원명부"/>
      <sheetName val="급여등록"/>
      <sheetName val="RFP005"/>
      <sheetName val="RFP007"/>
      <sheetName val="RFP006"/>
      <sheetName val="RFP009"/>
      <sheetName val="DIV 2"/>
      <sheetName val="??? ?? (?)"/>
      <sheetName val="OD"/>
      <sheetName val="현장"/>
      <sheetName val="출자한도"/>
      <sheetName val="인원현황"/>
      <sheetName val="소일위대가코드표"/>
      <sheetName val="FIT Small"/>
      <sheetName val="WeightTable"/>
      <sheetName val="本体取纏"/>
      <sheetName val="단가비교(TOTAL)"/>
      <sheetName val="Calc"/>
      <sheetName val="계장일위대가 "/>
      <sheetName val="Labor Rate"/>
      <sheetName val="TYPE-A"/>
      <sheetName val="footing"/>
      <sheetName val="type-F"/>
      <sheetName val="look-up"/>
      <sheetName val="Area Lookup"/>
      <sheetName val="SHL"/>
      <sheetName val="PIPE-HOT"/>
      <sheetName val="도"/>
      <sheetName val="단가조사"/>
      <sheetName val="견적"/>
      <sheetName val="direct"/>
      <sheetName val="wage"/>
      <sheetName val="집계표(OPTION)"/>
      <sheetName val="7.5.2 BOQ Summary "/>
      <sheetName val="DB@Acess"/>
      <sheetName val="Civil"/>
      <sheetName val="input"/>
      <sheetName val="수량산출"/>
      <sheetName val="Database"/>
      <sheetName val="Emp_Data"/>
      <sheetName val="CAPVC"/>
      <sheetName val="friction-f"/>
      <sheetName val="pipe-table"/>
      <sheetName val="FOB발"/>
      <sheetName val="날개벽(좌,우=45도,75도)"/>
      <sheetName val="경비2내역"/>
      <sheetName val="List - Components"/>
      <sheetName val=""/>
      <sheetName val="表三"/>
      <sheetName val="参数表"/>
      <sheetName val="RFP003D"/>
      <sheetName val="Utlity"/>
      <sheetName val="gd_02"/>
      <sheetName val="MPBD"/>
      <sheetName val="3150 PCS R3"/>
      <sheetName val="___ __ (_)"/>
      <sheetName val="Dati Caricati"/>
      <sheetName val="시행예산"/>
      <sheetName val="환율표"/>
      <sheetName val="Resource"/>
      <sheetName val="IBL-C"/>
      <sheetName val="Resource Summary"/>
      <sheetName val="labor"/>
      <sheetName val="REINF."/>
      <sheetName val="SKETCH"/>
      <sheetName val="LOADS"/>
      <sheetName val="design load"/>
      <sheetName val="stability check"/>
      <sheetName val="Book 1 Summary"/>
      <sheetName val="(2)"/>
      <sheetName val="Pipe class Limits"/>
      <sheetName val="안정검토"/>
      <sheetName val="FCM"/>
      <sheetName val="단가대비"/>
      <sheetName val="갑지(추정)"/>
      <sheetName val="환율change"/>
      <sheetName val="GRDBS"/>
      <sheetName val="소비자가"/>
      <sheetName val="HORI_ VESSEL"/>
      <sheetName val="인쇄방법"/>
      <sheetName val="Code Tables"/>
      <sheetName val="List - Equipment"/>
      <sheetName val="COVER"/>
      <sheetName val="GeneralFeedDevices_Labels"/>
      <sheetName val="비용flux test"/>
      <sheetName val="관람석제출"/>
      <sheetName val="요인분석"/>
      <sheetName val="L급"/>
      <sheetName val="S급"/>
      <sheetName val="results"/>
      <sheetName val="wall"/>
      <sheetName val="금액내역서"/>
      <sheetName val="CAL."/>
      <sheetName val="CostDB"/>
      <sheetName val="PBS"/>
      <sheetName val="FWBS7000,8000"/>
      <sheetName val="Reference Table"/>
      <sheetName val="Lookups"/>
      <sheetName val="co-no.2"/>
      <sheetName val="부표총괄"/>
      <sheetName val="CAL(1)."/>
      <sheetName val="Activity(new)"/>
      <sheetName val="뜃맟뭁돽띿맟?-BLDG"/>
      <sheetName val="실행내역"/>
      <sheetName val="D-623D"/>
      <sheetName val="ITC현황"/>
      <sheetName val="1.총괄현황"/>
      <sheetName val="PROCURE"/>
      <sheetName val="사전총괄표"/>
      <sheetName val="Sheet 1 (Notes)"/>
      <sheetName val="3"/>
      <sheetName val="공사비_내역_(가)"/>
      <sheetName val="SO UNIT COST"/>
      <sheetName val="Sheet2 (2)"/>
      <sheetName val="기계경비일람"/>
      <sheetName val="차량구입"/>
      <sheetName val="agitator"/>
      <sheetName val="담보현황"/>
      <sheetName val="Macro(전선)"/>
      <sheetName val="FAB_I"/>
      <sheetName val="预算"/>
      <sheetName val="COA-17"/>
      <sheetName val="C-18"/>
      <sheetName val="작업추진 계획(일정)"/>
      <sheetName val="4)유동표"/>
      <sheetName val="가격조사서"/>
      <sheetName val="노무비단가"/>
      <sheetName val="Elemental Breakdown"/>
      <sheetName val="見積計算"/>
      <sheetName val="BATCH"/>
      <sheetName val="공조기설계(게파트)"/>
      <sheetName val="지급자재"/>
      <sheetName val="TEL"/>
      <sheetName val="전체현황"/>
      <sheetName val="Horizontal GL Separator"/>
      <sheetName val=" Instrument Process Datasheets\"/>
      <sheetName val="총괄"/>
      <sheetName val="Cost Report"/>
      <sheetName val="MTL(AG)"/>
      <sheetName val="DOWNLOAD"/>
      <sheetName val="Sheet1 (3)"/>
      <sheetName val="Sheet6 (3)"/>
      <sheetName val="PROJECT BRIEF"/>
      <sheetName val="Piping Design Data"/>
      <sheetName val="MCCB"/>
      <sheetName val="check sheet"/>
      <sheetName val="수전반간선"/>
      <sheetName val="일위대가"/>
      <sheetName val="7682LA SKD(12.4)"/>
      <sheetName val="개요"/>
      <sheetName val="터파기및재료"/>
      <sheetName val="2-2.매출분석"/>
      <sheetName val="VENDOR LIST"/>
      <sheetName val="대비"/>
      <sheetName val="갑지"/>
      <sheetName val="뜃맟뭁돽띿맟_-BLDG"/>
      <sheetName val="남양시작동자105노65기1.3화1.2"/>
      <sheetName val="투자양식"/>
      <sheetName val="부재예실"/>
      <sheetName val="GC산출"/>
      <sheetName val="예산실적전체당월"/>
      <sheetName val="신축수량"/>
      <sheetName val="N賃率-職"/>
      <sheetName val="TCA"/>
      <sheetName val="KP_List old qty"/>
      <sheetName val="Final(1)summary"/>
      <sheetName val="CASE ASM"/>
      <sheetName val="MOTOR"/>
      <sheetName val="CombinedFooting_F3"/>
      <sheetName val="PRECIOS"/>
      <sheetName val="TABLAS "/>
      <sheetName val="Estimate"/>
      <sheetName val="KLHT"/>
      <sheetName val="ŞA.+ÇOBAN dere TOP."/>
      <sheetName val="ŞERİFALİ DERESİ"/>
      <sheetName val="CMT Mob. Plan"/>
      <sheetName val="Resumen"/>
      <sheetName val="Precios Unitarios"/>
      <sheetName val="E1"/>
      <sheetName val="SCH5"/>
      <sheetName val="SUMMARY (0)"/>
      <sheetName val="공사비_내역_(가)2"/>
      <sheetName val="공사비_내역(나)2"/>
      <sheetName val="공사비_내역(가)2"/>
      <sheetName val="Name_List2"/>
      <sheetName val="Atten__Status_(COMPANY)2"/>
      <sheetName val="Atten__Status2"/>
      <sheetName val="공사비_내역__가_2"/>
      <sheetName val="Indirect_Labour2"/>
      <sheetName val="Site_Staff2"/>
      <sheetName val="Site_Est_2"/>
      <sheetName val="Costing_sheet2"/>
      <sheetName val="Mat__Summ2"/>
      <sheetName val="hot_piping2"/>
      <sheetName val="Cold_piping_2"/>
      <sheetName val="Pers__Pro2"/>
      <sheetName val="spc_배관견적2"/>
      <sheetName val="노무_단가2"/>
      <sheetName val="KP_List_old_RV2"/>
      <sheetName val="Break_Down2"/>
      <sheetName val="Pump_sh't2"/>
      <sheetName val="OCT_FDN3"/>
      <sheetName val="ITB_COST2"/>
      <sheetName val="BSD_(2)2"/>
      <sheetName val="E_Rate_PM2"/>
      <sheetName val="General_Data2"/>
      <sheetName val="design_criteria2"/>
      <sheetName val="working_load_at_the_btm_ft_2"/>
      <sheetName val="plan&amp;section_of_foundation2"/>
      <sheetName val="member_design2"/>
      <sheetName val="soil_bearing_check2"/>
      <sheetName val="SPT_vs_PHI2"/>
      <sheetName val="공사비_내역(나)"/>
      <sheetName val="공사비_내역(가)"/>
      <sheetName val="Name_List"/>
      <sheetName val="Atten__Status_(COMPANY)"/>
      <sheetName val="Atten__Status"/>
      <sheetName val="공사비_내역__가_"/>
      <sheetName val="Indirect_Labour"/>
      <sheetName val="Site_Staff"/>
      <sheetName val="Site_Est_"/>
      <sheetName val="Costing_sheet"/>
      <sheetName val="Mat__Summ"/>
      <sheetName val="hot_piping"/>
      <sheetName val="Cold_piping_"/>
      <sheetName val="Pers__Pro"/>
      <sheetName val="spc_배관견적"/>
      <sheetName val="노무_단가"/>
      <sheetName val="KP_List_old_RV"/>
      <sheetName val="Break_Down"/>
      <sheetName val="Pump_sh't"/>
      <sheetName val="OCT_FDN1"/>
      <sheetName val="ITB_COST"/>
      <sheetName val="BSD_(2)"/>
      <sheetName val="E_Rate_PM"/>
      <sheetName val="General_Data"/>
      <sheetName val="design_criteria"/>
      <sheetName val="working_load_at_the_btm_ft_"/>
      <sheetName val="plan&amp;section_of_foundation"/>
      <sheetName val="member_design"/>
      <sheetName val="soil_bearing_check"/>
      <sheetName val="SPT_vs_PHI"/>
      <sheetName val="공사비_내역_(가)1"/>
      <sheetName val="공사비_내역(나)1"/>
      <sheetName val="공사비_내역(가)1"/>
      <sheetName val="Name_List1"/>
      <sheetName val="Atten__Status_(COMPANY)1"/>
      <sheetName val="Atten__Status1"/>
      <sheetName val="공사비_내역__가_1"/>
      <sheetName val="Indirect_Labour1"/>
      <sheetName val="Site_Staff1"/>
      <sheetName val="Site_Est_1"/>
      <sheetName val="Costing_sheet1"/>
      <sheetName val="Mat__Summ1"/>
      <sheetName val="hot_piping1"/>
      <sheetName val="Cold_piping_1"/>
      <sheetName val="Pers__Pro1"/>
      <sheetName val="spc_배관견적1"/>
      <sheetName val="노무_단가1"/>
      <sheetName val="KP_List_old_RV1"/>
      <sheetName val="Break_Down1"/>
      <sheetName val="Pump_sh't1"/>
      <sheetName val="OCT_FDN2"/>
      <sheetName val="ITB_COST1"/>
      <sheetName val="BSD_(2)1"/>
      <sheetName val="E_Rate_PM1"/>
      <sheetName val="General_Data1"/>
      <sheetName val="design_criteria1"/>
      <sheetName val="working_load_at_the_btm_ft_1"/>
      <sheetName val="plan&amp;section_of_foundation1"/>
      <sheetName val="member_design1"/>
      <sheetName val="soil_bearing_check1"/>
      <sheetName val="SPT_vs_PHI1"/>
      <sheetName val="D-3503"/>
      <sheetName val="BQ List"/>
      <sheetName val="사업계획"/>
      <sheetName val="고상실행"/>
      <sheetName val="ROOF(ALKALI)"/>
      <sheetName val="물량표"/>
      <sheetName val="변수2"/>
      <sheetName val="저항"/>
      <sheetName val="조명시설"/>
      <sheetName val="PROJECT"/>
      <sheetName val="Basic Information"/>
      <sheetName val="K_2"/>
      <sheetName val="11_17~20"/>
      <sheetName val="6_Base"/>
      <sheetName val="Customer_Databas"/>
      <sheetName val="kimre_scrubber"/>
      <sheetName val="산#2-1_(2)"/>
      <sheetName val="WEIGHT_LIST"/>
      <sheetName val="CP-E2_(품셈표)"/>
      <sheetName val="_견적서"/>
      <sheetName val="일위_파일"/>
      <sheetName val="B2.B_Site "/>
      <sheetName val="Dropdowns"/>
      <sheetName val="except wiring"/>
      <sheetName val="3. Elemental Summary"/>
      <sheetName val="BOQ"/>
      <sheetName val="Labor abs-NMR"/>
      <sheetName val="Planned"/>
      <sheetName val="Occ"/>
      <sheetName val="Demand"/>
      <sheetName val="RES-PLANNING"/>
      <sheetName val="입찰내역 발주처 양식"/>
      <sheetName val="Balustrade"/>
      <sheetName val="Co-ef"/>
      <sheetName val="Set"/>
      <sheetName val="Overview (OAD)"/>
      <sheetName val="rc01"/>
      <sheetName val="Design Changes"/>
      <sheetName val="Detailed"/>
      <sheetName val="Break up Sheet"/>
      <sheetName val="PAYWORK"/>
      <sheetName val="MONTH"/>
      <sheetName val="sheeet7"/>
      <sheetName val="토목"/>
      <sheetName val="Debt overview (input)"/>
      <sheetName val="Sch. Areas"/>
      <sheetName val="Groups_Code"/>
      <sheetName val="A.O.R."/>
      <sheetName val="G"/>
      <sheetName val="Schedule-B"/>
      <sheetName val="DIV_2"/>
      <sheetName val="except_wiring"/>
      <sheetName val="B2_B_Site_"/>
      <sheetName val="3__Elemental_Summary"/>
      <sheetName val="Labor_abs-NMR"/>
      <sheetName val="입찰내역_발주처_양식"/>
      <sheetName val="Sch__Areas"/>
      <sheetName val="Summary_Sheets"/>
      <sheetName val="Wt_of_Mod_"/>
      <sheetName val="Module_Wt"/>
      <sheetName val="Build_Up"/>
      <sheetName val="BLR_1"/>
      <sheetName val="OIL_SYST_DATA_SHTS"/>
      <sheetName val="EQUIP_XLS"/>
      <sheetName val="Man_Power_&amp;_Comp"/>
      <sheetName val="V-VESSEL_(WITH_DEMISTER)"/>
      <sheetName val="INPUT_DATA"/>
      <sheetName val="Hawiyah_하청"/>
      <sheetName val="HDEC_1027"/>
      <sheetName val="간접비_총괄표"/>
      <sheetName val="as_boq_list_up"/>
      <sheetName val="표지_(2)"/>
      <sheetName val="GEN_PROG"/>
      <sheetName val="TENDER_PROG_"/>
      <sheetName val="DET_ENGG_PROG"/>
      <sheetName val="LV_data"/>
      <sheetName val="2_설계제원"/>
      <sheetName val="data_원본"/>
      <sheetName val="Overview_(OAD)"/>
      <sheetName val="Design_Changes"/>
      <sheetName val="Break_up_Sheet"/>
      <sheetName val="Debt_overview_(input)"/>
      <sheetName val="SLABREINF-SCH"/>
      <sheetName val="coastal"/>
      <sheetName val="Build-up"/>
      <sheetName val="Graph Data"/>
      <sheetName val="Testing"/>
      <sheetName val="Gdata1"/>
      <sheetName val="ActCst"/>
      <sheetName val="BgtCst"/>
      <sheetName val="FcstCst"/>
      <sheetName val="BgtKPI"/>
      <sheetName val="PROJECT BRIEF(EX.NEW)"/>
      <sheetName val="BOQ건축"/>
      <sheetName val="Tender Summary"/>
      <sheetName val="우수"/>
      <sheetName val="TRANSPORT"/>
      <sheetName val="코드표"/>
      <sheetName val="공정분류"/>
      <sheetName val="간접비"/>
      <sheetName val="프랜트면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refreshError="1"/>
      <sheetData sheetId="7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general"/>
      <sheetName val="2.const.sch"/>
      <sheetName val="3.실행총괄표"/>
      <sheetName val="공사비집계"/>
      <sheetName val="공사비내역서"/>
      <sheetName val="내역서"/>
      <sheetName val="4.ITEM-SUM"/>
      <sheetName val="5.ITEM"/>
      <sheetName val="직원계획"/>
      <sheetName val="급여보험료"/>
      <sheetName val="3국인급료"/>
      <sheetName val="차량계획"/>
      <sheetName val="6.물량게획"/>
      <sheetName val="집기비품"/>
      <sheetName val="실행예산"/>
      <sheetName val="CASH FL"/>
      <sheetName val="예상투입"/>
      <sheetName val="작업자투입"/>
      <sheetName val="앞장"/>
      <sheetName val="Sheet11"/>
      <sheetName val="Sheet12"/>
      <sheetName val="Sheet13"/>
      <sheetName val="Sheet14"/>
      <sheetName val="Sheet15"/>
      <sheetName val="Sheet16"/>
      <sheetName val=""/>
      <sheetName val="공사비 내역 (가)"/>
      <sheetName val="PUMP"/>
      <sheetName val="환율change"/>
      <sheetName val="FACTOR "/>
      <sheetName val="factor"/>
      <sheetName val="COA-17"/>
      <sheetName val="C-18"/>
      <sheetName val="2.설계제원"/>
      <sheetName val="실행예산(JCC)"/>
      <sheetName val="2-2.매출분석"/>
      <sheetName val="대차대조표"/>
      <sheetName val="ITB COST"/>
      <sheetName val="Sheet1"/>
      <sheetName val="3BL공동구 수량"/>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급양식"/>
      <sheetName val="기준FACTOR"/>
      <sheetName val="공사비내역서"/>
      <sheetName val="할증 "/>
      <sheetName val="지수"/>
      <sheetName val="금액내역서"/>
      <sheetName val="PUMP"/>
      <sheetName val="2공구산출내역"/>
      <sheetName val="공사비 내역 (가)"/>
      <sheetName val="factor"/>
      <sheetName val="base"/>
      <sheetName val="도급실행"/>
      <sheetName val="2.설계제원"/>
      <sheetName val="일위대가표"/>
      <sheetName val="현장관리비"/>
      <sheetName val="실행내역"/>
      <sheetName val="3BL공동구 수량"/>
      <sheetName val="일위목록"/>
      <sheetName val="QandAJunior"/>
    </sheetNames>
    <sheetDataSet>
      <sheetData sheetId="0" refreshError="1">
        <row r="1">
          <cell r="A1" t="str">
            <v>번</v>
          </cell>
          <cell r="D1" t="str">
            <v>단</v>
          </cell>
          <cell r="F1" t="str">
            <v>재  료  비</v>
          </cell>
          <cell r="H1" t="str">
            <v>노  무  비</v>
          </cell>
          <cell r="J1" t="str">
            <v>경      비</v>
          </cell>
          <cell r="L1" t="str">
            <v>총      액</v>
          </cell>
        </row>
        <row r="2">
          <cell r="A2" t="str">
            <v>호</v>
          </cell>
          <cell r="B2" t="str">
            <v>공             종</v>
          </cell>
          <cell r="D2" t="str">
            <v>위</v>
          </cell>
          <cell r="E2" t="str">
            <v>수  량</v>
          </cell>
          <cell r="F2" t="str">
            <v>단  가</v>
          </cell>
          <cell r="G2" t="str">
            <v>금    액</v>
          </cell>
          <cell r="H2" t="str">
            <v>단  가</v>
          </cell>
          <cell r="I2" t="str">
            <v>금    액</v>
          </cell>
          <cell r="J2" t="str">
            <v>단  가</v>
          </cell>
          <cell r="K2" t="str">
            <v>금    액</v>
          </cell>
          <cell r="L2" t="str">
            <v>단  가</v>
          </cell>
          <cell r="M2" t="str">
            <v>금    액</v>
          </cell>
          <cell r="N2" t="str">
            <v>비  고</v>
          </cell>
          <cell r="O2" t="str">
            <v>자재비+경비</v>
          </cell>
          <cell r="P2" t="str">
            <v>노무비</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내역서"/>
      <sheetName val="도급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FACTOR"/>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환율과할증"/>
      <sheetName val="pldt"/>
      <sheetName val="경상비"/>
      <sheetName val="경상비 산출기준"/>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지수"/>
      <sheetName val="FACTOR"/>
      <sheetName val="COA-17"/>
      <sheetName val="C-18"/>
      <sheetName val="EQT-ESTN"/>
      <sheetName val="개산공사비"/>
      <sheetName val="umc견적(할증)-수정(net)"/>
      <sheetName val="시공"/>
      <sheetName val="BID"/>
      <sheetName val="설계명세서"/>
      <sheetName val="공내역서"/>
      <sheetName val="sum"/>
      <sheetName val="견적 (2)"/>
      <sheetName val="CB"/>
      <sheetName val="부하계산서"/>
      <sheetName val="MEXICO-C"/>
      <sheetName val="단가"/>
      <sheetName val="장비당단가 (1)"/>
      <sheetName val="Piping Design Data"/>
      <sheetName val=" ｹ-ﾌﾞﾙ"/>
      <sheetName val="표지 (2)"/>
      <sheetName val="현재"/>
      <sheetName val="당초"/>
      <sheetName val="광통신 견적내역서1"/>
      <sheetName val="조건"/>
      <sheetName val="PROCESS"/>
      <sheetName val="Testing"/>
      <sheetName val="내역"/>
      <sheetName val="Sheet1"/>
      <sheetName val="다이꾸"/>
      <sheetName val="CONCRETE"/>
      <sheetName val="Sheet5"/>
      <sheetName val="할증"/>
      <sheetName val="N賃率-職"/>
      <sheetName val="MAIN"/>
      <sheetName val="Total"/>
      <sheetName val="COMPRESSOR"/>
      <sheetName val="도급양식"/>
      <sheetName val="변경품셈총괄"/>
      <sheetName val="노임단가"/>
      <sheetName val="일위목록"/>
      <sheetName val="요율"/>
      <sheetName val="JIG"/>
      <sheetName val="노무비"/>
      <sheetName val="config"/>
      <sheetName val="param"/>
      <sheetName val="물성DATA"/>
      <sheetName val="공사비내역서"/>
      <sheetName val="갑지"/>
      <sheetName val="실행(ALT1)"/>
      <sheetName val="FOOTING단면력"/>
      <sheetName val="wagerate"/>
      <sheetName val="표지"/>
      <sheetName val="손익분석"/>
      <sheetName val="실행내역서 "/>
      <sheetName val="실행"/>
      <sheetName val="F5"/>
      <sheetName val="매립"/>
      <sheetName val="주간계획"/>
      <sheetName val="개요"/>
      <sheetName val="기안"/>
      <sheetName val="마케팅"/>
      <sheetName val="목차"/>
      <sheetName val="추정손익"/>
      <sheetName val="할당"/>
      <sheetName val="원가"/>
      <sheetName val="제목"/>
      <sheetName val="원가,목표"/>
      <sheetName val="판매"/>
      <sheetName val="판촉"/>
      <sheetName val="협조"/>
      <sheetName val="캔개발배경"/>
      <sheetName val="캔판매목표"/>
      <sheetName val="시장"/>
      <sheetName val="일정표"/>
      <sheetName val="연습"/>
      <sheetName val="SRC-B3U2"/>
      <sheetName val="대치판정"/>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ing Design Data"/>
      <sheetName val="Calc Sheet"/>
      <sheetName val="공사비내역서"/>
      <sheetName val="할증 "/>
      <sheetName val="공사비 내역 (가)"/>
      <sheetName val="DATA"/>
      <sheetName val="AILC004"/>
      <sheetName val="표지"/>
      <sheetName val="정부노임단가"/>
      <sheetName val="장비당단가 (1)"/>
      <sheetName val="인건-측정"/>
      <sheetName val="FAB별"/>
      <sheetName val="CALCULATION"/>
      <sheetName val="공정능력계산"/>
      <sheetName val="2001 下(01上)"/>
      <sheetName val="COMPRESSOR"/>
      <sheetName val="FACTOR"/>
      <sheetName val="BQ Calc Sheet(Pipe)"/>
      <sheetName val="Total"/>
      <sheetName val="Sheet1"/>
      <sheetName val="PUMP"/>
      <sheetName val="견적서(냉수)"/>
      <sheetName val="현장관리비"/>
      <sheetName val="도급양식"/>
      <sheetName val="실행내역"/>
      <sheetName val="지수"/>
      <sheetName val="레또"/>
      <sheetName val="ABUT수량-A1"/>
      <sheetName val="Sheet2"/>
      <sheetName val="금액내역서"/>
    </sheetNames>
    <sheetDataSet>
      <sheetData sheetId="0" refreshError="1">
        <row r="3">
          <cell r="B3" t="str">
            <v>DESCRIPTION</v>
          </cell>
          <cell r="C3" t="str">
            <v>THK(MM)</v>
          </cell>
          <cell r="D3" t="str">
            <v>WEIGHT(KG/M)</v>
          </cell>
          <cell r="E3" t="str">
            <v>NET AREA(M2/M,EA)</v>
          </cell>
        </row>
        <row r="4">
          <cell r="B4" t="str">
            <v>PIP- SCH  5S  0.5"</v>
          </cell>
          <cell r="C4">
            <v>1.65</v>
          </cell>
          <cell r="D4">
            <v>0.8</v>
          </cell>
          <cell r="E4">
            <v>3.9E-2</v>
          </cell>
        </row>
        <row r="5">
          <cell r="B5" t="str">
            <v>PIP- SCH  10S  0.5"</v>
          </cell>
          <cell r="C5">
            <v>2.11</v>
          </cell>
          <cell r="D5">
            <v>1</v>
          </cell>
          <cell r="E5">
            <v>3.9E-2</v>
          </cell>
        </row>
        <row r="6">
          <cell r="B6" t="str">
            <v>PIP- SCH  STD  0.5"</v>
          </cell>
          <cell r="C6">
            <v>2.77</v>
          </cell>
          <cell r="D6">
            <v>1.27</v>
          </cell>
          <cell r="E6">
            <v>3.9E-2</v>
          </cell>
        </row>
        <row r="7">
          <cell r="B7" t="str">
            <v>PIP- SCH  40  0.5"</v>
          </cell>
          <cell r="C7">
            <v>2.77</v>
          </cell>
          <cell r="D7">
            <v>1.27</v>
          </cell>
          <cell r="E7">
            <v>3.9E-2</v>
          </cell>
        </row>
        <row r="8">
          <cell r="B8" t="str">
            <v>PIP- SCH  40S  0.5"</v>
          </cell>
          <cell r="C8">
            <v>2.77</v>
          </cell>
          <cell r="D8">
            <v>1.27</v>
          </cell>
          <cell r="E8">
            <v>3.9E-2</v>
          </cell>
        </row>
        <row r="9">
          <cell r="B9" t="str">
            <v>PIP- SCH  XS  0.5"</v>
          </cell>
          <cell r="C9">
            <v>3.73</v>
          </cell>
          <cell r="D9">
            <v>1.62</v>
          </cell>
          <cell r="E9">
            <v>3.9E-2</v>
          </cell>
        </row>
        <row r="10">
          <cell r="B10" t="str">
            <v>PIP- SCH  80  0.5"</v>
          </cell>
          <cell r="C10">
            <v>3.73</v>
          </cell>
          <cell r="D10">
            <v>1.62</v>
          </cell>
          <cell r="E10">
            <v>3.9E-2</v>
          </cell>
        </row>
        <row r="11">
          <cell r="B11" t="str">
            <v>PIP- SCH  80S  0.5"</v>
          </cell>
          <cell r="C11">
            <v>3.73</v>
          </cell>
          <cell r="D11">
            <v>1.62</v>
          </cell>
          <cell r="E11">
            <v>3.9E-2</v>
          </cell>
        </row>
        <row r="12">
          <cell r="B12" t="str">
            <v>PIP- SCH  160  0.5"</v>
          </cell>
          <cell r="C12">
            <v>4.78</v>
          </cell>
          <cell r="D12">
            <v>1.95</v>
          </cell>
          <cell r="E12">
            <v>3.9E-2</v>
          </cell>
        </row>
        <row r="13">
          <cell r="B13" t="str">
            <v>PIP- SCH  XXS  0.5"</v>
          </cell>
          <cell r="C13">
            <v>7.47</v>
          </cell>
          <cell r="D13">
            <v>2.5499999999999998</v>
          </cell>
          <cell r="E13">
            <v>3.9E-2</v>
          </cell>
        </row>
        <row r="14">
          <cell r="B14" t="str">
            <v>PIP- SCH  5S  0.75"</v>
          </cell>
          <cell r="C14">
            <v>1.65</v>
          </cell>
          <cell r="D14">
            <v>1.02</v>
          </cell>
          <cell r="E14">
            <v>5.8999999999999997E-2</v>
          </cell>
        </row>
        <row r="15">
          <cell r="B15" t="str">
            <v>PIP- SCH  10S  0.75"</v>
          </cell>
          <cell r="C15">
            <v>2.11</v>
          </cell>
          <cell r="D15">
            <v>1.28</v>
          </cell>
          <cell r="E15">
            <v>5.8999999999999997E-2</v>
          </cell>
        </row>
        <row r="16">
          <cell r="B16" t="str">
            <v>PIP- SCH  STD  0.75"</v>
          </cell>
          <cell r="C16">
            <v>2.87</v>
          </cell>
          <cell r="D16">
            <v>1.68</v>
          </cell>
          <cell r="E16">
            <v>5.8999999999999997E-2</v>
          </cell>
        </row>
        <row r="17">
          <cell r="B17" t="str">
            <v>PIP- SCH  40  0.75"</v>
          </cell>
          <cell r="C17">
            <v>2.87</v>
          </cell>
          <cell r="D17">
            <v>1.68</v>
          </cell>
          <cell r="E17">
            <v>5.8999999999999997E-2</v>
          </cell>
        </row>
        <row r="18">
          <cell r="B18" t="str">
            <v>PIP- SCH  40S  0.75"</v>
          </cell>
          <cell r="C18">
            <v>2.87</v>
          </cell>
          <cell r="D18">
            <v>1.68</v>
          </cell>
          <cell r="E18">
            <v>5.8999999999999997E-2</v>
          </cell>
        </row>
        <row r="19">
          <cell r="B19" t="str">
            <v>PIP- SCH  XS  0.75"</v>
          </cell>
          <cell r="C19">
            <v>3.91</v>
          </cell>
          <cell r="D19">
            <v>2.19</v>
          </cell>
          <cell r="E19">
            <v>5.8999999999999997E-2</v>
          </cell>
        </row>
        <row r="20">
          <cell r="B20" t="str">
            <v>PIP- SCH  80  0.75"</v>
          </cell>
          <cell r="C20">
            <v>3.91</v>
          </cell>
          <cell r="D20">
            <v>2.19</v>
          </cell>
          <cell r="E20">
            <v>5.8999999999999997E-2</v>
          </cell>
        </row>
        <row r="21">
          <cell r="B21" t="str">
            <v>PIP- SCH  80S  0.75"</v>
          </cell>
          <cell r="C21">
            <v>3.91</v>
          </cell>
          <cell r="D21">
            <v>2.19</v>
          </cell>
          <cell r="E21">
            <v>5.8999999999999997E-2</v>
          </cell>
        </row>
        <row r="22">
          <cell r="B22" t="str">
            <v>PIP- SCH  160  0.75"</v>
          </cell>
          <cell r="C22">
            <v>5.54</v>
          </cell>
          <cell r="D22">
            <v>2.84</v>
          </cell>
          <cell r="E22">
            <v>5.8999999999999997E-2</v>
          </cell>
        </row>
        <row r="23">
          <cell r="B23" t="str">
            <v>PIP- SCH  XXS  0.75"</v>
          </cell>
          <cell r="C23">
            <v>7.82</v>
          </cell>
          <cell r="D23">
            <v>3.64</v>
          </cell>
          <cell r="E23">
            <v>5.8999999999999997E-2</v>
          </cell>
        </row>
        <row r="24">
          <cell r="B24" t="str">
            <v>PIP- SCH  5S  1"</v>
          </cell>
          <cell r="C24">
            <v>1.65</v>
          </cell>
          <cell r="D24">
            <v>1.29</v>
          </cell>
          <cell r="E24">
            <v>7.9000000000000001E-2</v>
          </cell>
        </row>
        <row r="25">
          <cell r="B25" t="str">
            <v>PIP- SCH  10S  1"</v>
          </cell>
          <cell r="C25">
            <v>2.77</v>
          </cell>
          <cell r="D25">
            <v>2.09</v>
          </cell>
          <cell r="E25">
            <v>7.9000000000000001E-2</v>
          </cell>
        </row>
        <row r="26">
          <cell r="B26" t="str">
            <v>PIP- SCH  STD  1"</v>
          </cell>
          <cell r="C26">
            <v>3.38</v>
          </cell>
          <cell r="D26">
            <v>2.5</v>
          </cell>
          <cell r="E26">
            <v>7.9000000000000001E-2</v>
          </cell>
        </row>
        <row r="27">
          <cell r="B27" t="str">
            <v>PIP- SCH  40  1"</v>
          </cell>
          <cell r="C27">
            <v>3.38</v>
          </cell>
          <cell r="D27">
            <v>2.5</v>
          </cell>
          <cell r="E27">
            <v>7.9000000000000001E-2</v>
          </cell>
        </row>
        <row r="28">
          <cell r="B28" t="str">
            <v>PIP- SCH  40S  1"</v>
          </cell>
          <cell r="C28">
            <v>3.38</v>
          </cell>
          <cell r="D28">
            <v>2.5</v>
          </cell>
          <cell r="E28">
            <v>7.9000000000000001E-2</v>
          </cell>
        </row>
        <row r="29">
          <cell r="B29" t="str">
            <v>PIP- SCH  XS  1"</v>
          </cell>
          <cell r="C29">
            <v>4.55</v>
          </cell>
          <cell r="D29">
            <v>3.24</v>
          </cell>
          <cell r="E29">
            <v>7.9000000000000001E-2</v>
          </cell>
        </row>
        <row r="30">
          <cell r="B30" t="str">
            <v>PIP- SCH  80  1"</v>
          </cell>
          <cell r="C30">
            <v>4.55</v>
          </cell>
          <cell r="D30">
            <v>3.24</v>
          </cell>
          <cell r="E30">
            <v>7.9000000000000001E-2</v>
          </cell>
        </row>
        <row r="31">
          <cell r="B31" t="str">
            <v>PIP- SCH  80S  1"</v>
          </cell>
          <cell r="C31">
            <v>4.55</v>
          </cell>
          <cell r="D31">
            <v>3.24</v>
          </cell>
          <cell r="E31">
            <v>7.9000000000000001E-2</v>
          </cell>
        </row>
        <row r="32">
          <cell r="B32" t="str">
            <v>PIP- SCH  160  1"</v>
          </cell>
          <cell r="C32">
            <v>6.35</v>
          </cell>
          <cell r="D32">
            <v>4.24</v>
          </cell>
          <cell r="E32">
            <v>7.9000000000000001E-2</v>
          </cell>
        </row>
        <row r="33">
          <cell r="B33" t="str">
            <v>PIP- SCH  XXS  1"</v>
          </cell>
          <cell r="C33">
            <v>9.09</v>
          </cell>
          <cell r="D33">
            <v>5.45</v>
          </cell>
          <cell r="E33">
            <v>7.9000000000000001E-2</v>
          </cell>
        </row>
        <row r="34">
          <cell r="B34" t="str">
            <v>PIP- SCH  5S  1.5"</v>
          </cell>
          <cell r="C34">
            <v>1.65</v>
          </cell>
          <cell r="D34">
            <v>1.9</v>
          </cell>
          <cell r="E34">
            <v>0.11799999999999999</v>
          </cell>
        </row>
        <row r="35">
          <cell r="B35" t="str">
            <v>PIP- SCH  10S  1.5"</v>
          </cell>
          <cell r="C35">
            <v>2.77</v>
          </cell>
          <cell r="D35">
            <v>3.11</v>
          </cell>
          <cell r="E35">
            <v>0.11799999999999999</v>
          </cell>
        </row>
        <row r="36">
          <cell r="B36" t="str">
            <v>PIP- SCH  STD  1.5"</v>
          </cell>
          <cell r="C36">
            <v>3.68</v>
          </cell>
          <cell r="D36">
            <v>4.04</v>
          </cell>
          <cell r="E36">
            <v>0.11799999999999999</v>
          </cell>
        </row>
        <row r="37">
          <cell r="B37" t="str">
            <v>PIP- SCH  40  1.5"</v>
          </cell>
          <cell r="C37">
            <v>3.68</v>
          </cell>
          <cell r="D37">
            <v>4.04</v>
          </cell>
          <cell r="E37">
            <v>0.11799999999999999</v>
          </cell>
        </row>
        <row r="38">
          <cell r="B38" t="str">
            <v>PIP- SCH  40S  1.5"</v>
          </cell>
          <cell r="C38">
            <v>3.68</v>
          </cell>
          <cell r="D38">
            <v>4.04</v>
          </cell>
          <cell r="E38">
            <v>0.11799999999999999</v>
          </cell>
        </row>
        <row r="39">
          <cell r="B39" t="str">
            <v>PIP- SCH  XS  1.5"</v>
          </cell>
          <cell r="C39">
            <v>5.08</v>
          </cell>
          <cell r="D39">
            <v>5.41</v>
          </cell>
          <cell r="E39">
            <v>0.11799999999999999</v>
          </cell>
        </row>
        <row r="40">
          <cell r="B40" t="str">
            <v>PIP- SCH  80  1.5"</v>
          </cell>
          <cell r="C40">
            <v>5.08</v>
          </cell>
          <cell r="D40">
            <v>5.41</v>
          </cell>
          <cell r="E40">
            <v>0.11799999999999999</v>
          </cell>
        </row>
        <row r="41">
          <cell r="B41" t="str">
            <v>PIP- SCH  80S  1.5"</v>
          </cell>
          <cell r="C41">
            <v>5.08</v>
          </cell>
          <cell r="D41">
            <v>5.41</v>
          </cell>
          <cell r="E41">
            <v>0.11799999999999999</v>
          </cell>
        </row>
        <row r="42">
          <cell r="B42" t="str">
            <v>PIP- SCH  160  1.5"</v>
          </cell>
          <cell r="C42">
            <v>7.14</v>
          </cell>
          <cell r="D42">
            <v>7.24</v>
          </cell>
          <cell r="E42">
            <v>0.11799999999999999</v>
          </cell>
        </row>
        <row r="43">
          <cell r="B43" t="str">
            <v>PIP- SCH  XXS  1.5"</v>
          </cell>
          <cell r="C43">
            <v>10.16</v>
          </cell>
          <cell r="D43">
            <v>9.5500000000000007</v>
          </cell>
          <cell r="E43">
            <v>0.11799999999999999</v>
          </cell>
        </row>
        <row r="44">
          <cell r="B44" t="str">
            <v>PIP- SCH  5S  2"</v>
          </cell>
          <cell r="C44">
            <v>1.65</v>
          </cell>
          <cell r="D44">
            <v>2.39</v>
          </cell>
          <cell r="E44">
            <v>0.157</v>
          </cell>
        </row>
        <row r="45">
          <cell r="B45" t="str">
            <v>PIP- SCH  10S  2"</v>
          </cell>
          <cell r="C45">
            <v>2.77</v>
          </cell>
          <cell r="D45">
            <v>3.93</v>
          </cell>
          <cell r="E45">
            <v>0.157</v>
          </cell>
        </row>
        <row r="46">
          <cell r="B46" t="str">
            <v>PIP- SCH  40  2"</v>
          </cell>
          <cell r="C46">
            <v>3.91</v>
          </cell>
          <cell r="D46">
            <v>5.44</v>
          </cell>
          <cell r="E46">
            <v>0.157</v>
          </cell>
        </row>
        <row r="47">
          <cell r="B47" t="str">
            <v>PIP- SCH  40S  2"</v>
          </cell>
          <cell r="C47">
            <v>3.91</v>
          </cell>
          <cell r="D47">
            <v>5.44</v>
          </cell>
          <cell r="E47">
            <v>0.157</v>
          </cell>
        </row>
        <row r="48">
          <cell r="B48" t="str">
            <v>PIP- SCH  STD  2"</v>
          </cell>
          <cell r="C48">
            <v>3.91</v>
          </cell>
          <cell r="D48">
            <v>5.44</v>
          </cell>
          <cell r="E48">
            <v>0.157</v>
          </cell>
        </row>
        <row r="49">
          <cell r="B49" t="str">
            <v>PIP- SCH  80  2"</v>
          </cell>
          <cell r="C49">
            <v>5.54</v>
          </cell>
          <cell r="D49">
            <v>7.48</v>
          </cell>
          <cell r="E49">
            <v>0.157</v>
          </cell>
        </row>
        <row r="50">
          <cell r="B50" t="str">
            <v>PIP- SCH  80S  2"</v>
          </cell>
          <cell r="C50">
            <v>5.54</v>
          </cell>
          <cell r="D50">
            <v>7.48</v>
          </cell>
          <cell r="E50">
            <v>0.157</v>
          </cell>
        </row>
        <row r="51">
          <cell r="B51" t="str">
            <v>PIP- SCH  XXS  2"</v>
          </cell>
          <cell r="C51">
            <v>5.54</v>
          </cell>
          <cell r="D51">
            <v>7.48</v>
          </cell>
          <cell r="E51">
            <v>0.157</v>
          </cell>
        </row>
        <row r="52">
          <cell r="B52" t="str">
            <v>PIP- SCH  160  2"</v>
          </cell>
          <cell r="C52">
            <v>8.7100000000000009</v>
          </cell>
          <cell r="D52">
            <v>11.09</v>
          </cell>
          <cell r="E52">
            <v>0.157</v>
          </cell>
        </row>
        <row r="53">
          <cell r="B53" t="str">
            <v>PIP- SCH  XXS  2"</v>
          </cell>
          <cell r="C53">
            <v>11.07</v>
          </cell>
          <cell r="D53">
            <v>13.45</v>
          </cell>
          <cell r="E53">
            <v>0.157</v>
          </cell>
        </row>
        <row r="54">
          <cell r="B54" t="str">
            <v>PIP- SCH  5S  2.5"</v>
          </cell>
          <cell r="C54">
            <v>2.11</v>
          </cell>
          <cell r="D54">
            <v>3.65</v>
          </cell>
          <cell r="E54">
            <v>0.19600000000000001</v>
          </cell>
        </row>
        <row r="55">
          <cell r="B55" t="str">
            <v>PIP- SCH  10S  2.5"</v>
          </cell>
          <cell r="C55">
            <v>3.05</v>
          </cell>
          <cell r="D55">
            <v>5.26</v>
          </cell>
          <cell r="E55">
            <v>0.19600000000000001</v>
          </cell>
        </row>
        <row r="56">
          <cell r="B56" t="str">
            <v>PIP- SCH  40  2.5"</v>
          </cell>
          <cell r="C56">
            <v>5.16</v>
          </cell>
          <cell r="D56">
            <v>8.6300000000000008</v>
          </cell>
          <cell r="E56">
            <v>0.19600000000000001</v>
          </cell>
        </row>
        <row r="57">
          <cell r="B57" t="str">
            <v>PIP- SCH  40S  2.5"</v>
          </cell>
          <cell r="C57">
            <v>5.16</v>
          </cell>
          <cell r="D57">
            <v>8.6300000000000008</v>
          </cell>
          <cell r="E57">
            <v>0.19600000000000001</v>
          </cell>
        </row>
        <row r="58">
          <cell r="B58" t="str">
            <v>PIP- SCH  STD  2.5"</v>
          </cell>
          <cell r="C58">
            <v>5.16</v>
          </cell>
          <cell r="D58">
            <v>8.6300000000000008</v>
          </cell>
          <cell r="E58">
            <v>0.19600000000000001</v>
          </cell>
        </row>
        <row r="59">
          <cell r="B59" t="str">
            <v>PIP- SCH  80  2.5"</v>
          </cell>
          <cell r="C59">
            <v>7.01</v>
          </cell>
          <cell r="D59">
            <v>11.41</v>
          </cell>
          <cell r="E59">
            <v>0.19600000000000001</v>
          </cell>
        </row>
        <row r="60">
          <cell r="B60" t="str">
            <v>PIP- SCH  80S  2.5"</v>
          </cell>
          <cell r="C60">
            <v>7.01</v>
          </cell>
          <cell r="D60">
            <v>11.41</v>
          </cell>
          <cell r="E60">
            <v>0.19600000000000001</v>
          </cell>
        </row>
        <row r="61">
          <cell r="B61" t="str">
            <v>PIP- SCH  XS  2.5"</v>
          </cell>
          <cell r="C61">
            <v>7.01</v>
          </cell>
          <cell r="D61">
            <v>11.41</v>
          </cell>
          <cell r="E61">
            <v>0.19600000000000001</v>
          </cell>
        </row>
        <row r="62">
          <cell r="B62" t="str">
            <v>PIP- SCH  160  2.5"</v>
          </cell>
          <cell r="C62">
            <v>9.52</v>
          </cell>
          <cell r="D62">
            <v>14.92</v>
          </cell>
          <cell r="E62">
            <v>0.19600000000000001</v>
          </cell>
        </row>
        <row r="63">
          <cell r="B63" t="str">
            <v>PIP- SCH  XXS  2.5"</v>
          </cell>
          <cell r="C63">
            <v>14.02</v>
          </cell>
          <cell r="D63">
            <v>20.399999999999999</v>
          </cell>
          <cell r="E63">
            <v>0.19600000000000001</v>
          </cell>
        </row>
        <row r="64">
          <cell r="B64" t="str">
            <v>PIP- SCH  5S  3"</v>
          </cell>
          <cell r="C64">
            <v>2.11</v>
          </cell>
          <cell r="D64">
            <v>4.51</v>
          </cell>
          <cell r="E64">
            <v>0.23599999999999999</v>
          </cell>
        </row>
        <row r="65">
          <cell r="B65" t="str">
            <v>PIP- SCH  10S  3"</v>
          </cell>
          <cell r="C65">
            <v>3.05</v>
          </cell>
          <cell r="D65">
            <v>6.45</v>
          </cell>
          <cell r="E65">
            <v>0.23599999999999999</v>
          </cell>
        </row>
        <row r="66">
          <cell r="B66" t="str">
            <v>PIP- SCH  40  3"</v>
          </cell>
          <cell r="C66">
            <v>5.49</v>
          </cell>
          <cell r="D66">
            <v>11.29</v>
          </cell>
          <cell r="E66">
            <v>0.23599999999999999</v>
          </cell>
        </row>
        <row r="67">
          <cell r="B67" t="str">
            <v>PIP- SCH  40S  3"</v>
          </cell>
          <cell r="C67">
            <v>5.49</v>
          </cell>
          <cell r="D67">
            <v>11.29</v>
          </cell>
          <cell r="E67">
            <v>0.23599999999999999</v>
          </cell>
        </row>
        <row r="68">
          <cell r="B68" t="str">
            <v>PIP- SCH  STD  3"</v>
          </cell>
          <cell r="C68">
            <v>5.49</v>
          </cell>
          <cell r="D68">
            <v>11.29</v>
          </cell>
          <cell r="E68">
            <v>0.23599999999999999</v>
          </cell>
        </row>
        <row r="69">
          <cell r="B69" t="str">
            <v>PIP- SCH  80  3"</v>
          </cell>
          <cell r="C69">
            <v>7.62</v>
          </cell>
          <cell r="D69">
            <v>15.27</v>
          </cell>
          <cell r="E69">
            <v>0.23599999999999999</v>
          </cell>
        </row>
        <row r="70">
          <cell r="B70" t="str">
            <v>PIP- SCH  80S  3"</v>
          </cell>
          <cell r="C70">
            <v>7.62</v>
          </cell>
          <cell r="D70">
            <v>15.27</v>
          </cell>
          <cell r="E70">
            <v>0.23599999999999999</v>
          </cell>
        </row>
        <row r="71">
          <cell r="B71" t="str">
            <v>PIP- SCH  XS  3"</v>
          </cell>
          <cell r="C71">
            <v>7.62</v>
          </cell>
          <cell r="D71">
            <v>15.27</v>
          </cell>
          <cell r="E71">
            <v>0.23599999999999999</v>
          </cell>
        </row>
        <row r="72">
          <cell r="B72" t="str">
            <v>PIP- SCH  160  3"</v>
          </cell>
          <cell r="C72">
            <v>11.13</v>
          </cell>
          <cell r="D72">
            <v>21.34</v>
          </cell>
          <cell r="E72">
            <v>0.23599999999999999</v>
          </cell>
        </row>
        <row r="73">
          <cell r="B73" t="str">
            <v>PIP- SCH  XXS  3"</v>
          </cell>
          <cell r="C73">
            <v>15.24</v>
          </cell>
          <cell r="D73">
            <v>27.68</v>
          </cell>
          <cell r="E73">
            <v>0.23599999999999999</v>
          </cell>
        </row>
        <row r="74">
          <cell r="B74" t="str">
            <v>PIP- SCH  5S  4"</v>
          </cell>
          <cell r="C74">
            <v>2.11</v>
          </cell>
          <cell r="D74">
            <v>5.83</v>
          </cell>
          <cell r="E74">
            <v>0.314</v>
          </cell>
        </row>
        <row r="75">
          <cell r="B75" t="str">
            <v>PIP- SCH  10S  4"</v>
          </cell>
          <cell r="C75">
            <v>3.05</v>
          </cell>
          <cell r="D75">
            <v>8.36</v>
          </cell>
          <cell r="E75">
            <v>0.314</v>
          </cell>
        </row>
        <row r="76">
          <cell r="B76" t="str">
            <v>PIP- SCH  40  4"</v>
          </cell>
          <cell r="C76">
            <v>6.02</v>
          </cell>
          <cell r="D76">
            <v>16.079999999999998</v>
          </cell>
          <cell r="E76">
            <v>0.314</v>
          </cell>
        </row>
        <row r="77">
          <cell r="B77" t="str">
            <v>PIP- SCH  40S  4"</v>
          </cell>
          <cell r="C77">
            <v>6.02</v>
          </cell>
          <cell r="D77">
            <v>16.079999999999998</v>
          </cell>
          <cell r="E77">
            <v>0.314</v>
          </cell>
        </row>
        <row r="78">
          <cell r="B78" t="str">
            <v>PIP- SCH  STD  4"</v>
          </cell>
          <cell r="C78">
            <v>6.02</v>
          </cell>
          <cell r="D78">
            <v>16.079999999999998</v>
          </cell>
          <cell r="E78">
            <v>0.314</v>
          </cell>
        </row>
        <row r="79">
          <cell r="B79" t="str">
            <v>PIP- SCH  80  4"</v>
          </cell>
          <cell r="C79">
            <v>8.56</v>
          </cell>
          <cell r="D79">
            <v>22.32</v>
          </cell>
          <cell r="E79">
            <v>0.314</v>
          </cell>
        </row>
        <row r="80">
          <cell r="B80" t="str">
            <v>PIP- SCH  80S  4"</v>
          </cell>
          <cell r="C80">
            <v>8.56</v>
          </cell>
          <cell r="D80">
            <v>22.32</v>
          </cell>
          <cell r="E80">
            <v>0.314</v>
          </cell>
        </row>
        <row r="81">
          <cell r="B81" t="str">
            <v>PIP- SCH  XS  4"</v>
          </cell>
          <cell r="C81">
            <v>8.56</v>
          </cell>
          <cell r="D81">
            <v>22.32</v>
          </cell>
          <cell r="E81">
            <v>0.314</v>
          </cell>
        </row>
        <row r="82">
          <cell r="B82" t="str">
            <v>PIP- SCH  160  4"</v>
          </cell>
          <cell r="C82">
            <v>13.49</v>
          </cell>
          <cell r="D82">
            <v>33.53</v>
          </cell>
          <cell r="E82">
            <v>0.314</v>
          </cell>
        </row>
        <row r="83">
          <cell r="B83" t="str">
            <v>PIP- SCH  XXS  4"</v>
          </cell>
          <cell r="C83">
            <v>17.12</v>
          </cell>
          <cell r="D83">
            <v>41.03</v>
          </cell>
          <cell r="E83">
            <v>0.314</v>
          </cell>
        </row>
        <row r="84">
          <cell r="B84" t="str">
            <v>PIP- SCH  5S  5"</v>
          </cell>
          <cell r="C84">
            <v>2.77</v>
          </cell>
          <cell r="D84">
            <v>9.4600000000000009</v>
          </cell>
          <cell r="E84">
            <v>0.39300000000000002</v>
          </cell>
        </row>
        <row r="85">
          <cell r="B85" t="str">
            <v>PIP- SCH  10S  5"</v>
          </cell>
          <cell r="C85">
            <v>3.4</v>
          </cell>
          <cell r="D85">
            <v>11.58</v>
          </cell>
          <cell r="E85">
            <v>0.39300000000000002</v>
          </cell>
        </row>
        <row r="86">
          <cell r="B86" t="str">
            <v>PIP- SCH  40  5"</v>
          </cell>
          <cell r="C86">
            <v>6.55</v>
          </cell>
          <cell r="D86">
            <v>21.78</v>
          </cell>
          <cell r="E86">
            <v>0.39300000000000002</v>
          </cell>
        </row>
        <row r="87">
          <cell r="B87" t="str">
            <v>PIP- SCH  40S  5"</v>
          </cell>
          <cell r="C87">
            <v>6.55</v>
          </cell>
          <cell r="D87">
            <v>21.78</v>
          </cell>
          <cell r="E87">
            <v>0.39300000000000002</v>
          </cell>
        </row>
        <row r="88">
          <cell r="B88" t="str">
            <v>PIP- SCH  STD  5"</v>
          </cell>
          <cell r="C88">
            <v>6.55</v>
          </cell>
          <cell r="D88">
            <v>21.78</v>
          </cell>
          <cell r="E88">
            <v>0.39300000000000002</v>
          </cell>
        </row>
        <row r="89">
          <cell r="B89" t="str">
            <v>PIP- SCH  80  5"</v>
          </cell>
          <cell r="C89">
            <v>9.52</v>
          </cell>
          <cell r="D89">
            <v>30.95</v>
          </cell>
          <cell r="E89">
            <v>0.39300000000000002</v>
          </cell>
        </row>
        <row r="90">
          <cell r="B90" t="str">
            <v>PIP- SCH  80S  5"</v>
          </cell>
          <cell r="C90">
            <v>9.52</v>
          </cell>
          <cell r="D90">
            <v>30.95</v>
          </cell>
          <cell r="E90">
            <v>0.39300000000000002</v>
          </cell>
        </row>
        <row r="91">
          <cell r="B91" t="str">
            <v>PIP- SCH  XS  5"</v>
          </cell>
          <cell r="C91">
            <v>9.52</v>
          </cell>
          <cell r="D91">
            <v>30.95</v>
          </cell>
          <cell r="E91">
            <v>0.39300000000000002</v>
          </cell>
        </row>
        <row r="92">
          <cell r="B92" t="str">
            <v>PIP- SCH  160  5"</v>
          </cell>
          <cell r="C92">
            <v>15.87</v>
          </cell>
          <cell r="D92">
            <v>49.1</v>
          </cell>
          <cell r="E92">
            <v>0.39300000000000002</v>
          </cell>
        </row>
        <row r="93">
          <cell r="B93" t="str">
            <v>PIP- SCH  XXS  5"</v>
          </cell>
          <cell r="C93">
            <v>19.05</v>
          </cell>
          <cell r="D93">
            <v>57.43</v>
          </cell>
          <cell r="E93">
            <v>0.39300000000000002</v>
          </cell>
        </row>
        <row r="94">
          <cell r="B94" t="str">
            <v>PIP- SCH  5S  6"</v>
          </cell>
          <cell r="C94">
            <v>2.77</v>
          </cell>
          <cell r="D94">
            <v>11.3</v>
          </cell>
          <cell r="E94">
            <v>0.47099999999999997</v>
          </cell>
        </row>
        <row r="95">
          <cell r="B95" t="str">
            <v>PIP- SCH  10S  6"</v>
          </cell>
          <cell r="C95">
            <v>3.4</v>
          </cell>
          <cell r="D95">
            <v>13.84</v>
          </cell>
          <cell r="E95">
            <v>0.47099999999999997</v>
          </cell>
        </row>
        <row r="96">
          <cell r="B96" t="str">
            <v>PIP- SCH  40  6"</v>
          </cell>
          <cell r="C96">
            <v>7.11</v>
          </cell>
          <cell r="D96">
            <v>28.27</v>
          </cell>
          <cell r="E96">
            <v>0.47099999999999997</v>
          </cell>
        </row>
        <row r="97">
          <cell r="B97" t="str">
            <v>PIP- SCH  40S  6"</v>
          </cell>
          <cell r="C97">
            <v>7.11</v>
          </cell>
          <cell r="D97">
            <v>28.27</v>
          </cell>
          <cell r="E97">
            <v>0.47099999999999997</v>
          </cell>
        </row>
        <row r="98">
          <cell r="B98" t="str">
            <v>PIP- SCH  STD  6"</v>
          </cell>
          <cell r="C98">
            <v>7.11</v>
          </cell>
          <cell r="D98">
            <v>28.27</v>
          </cell>
          <cell r="E98">
            <v>0.47099999999999997</v>
          </cell>
        </row>
        <row r="99">
          <cell r="B99" t="str">
            <v>PIP- SCH  80  6"</v>
          </cell>
          <cell r="C99">
            <v>10.97</v>
          </cell>
          <cell r="D99">
            <v>42.57</v>
          </cell>
          <cell r="E99">
            <v>0.47099999999999997</v>
          </cell>
        </row>
        <row r="100">
          <cell r="B100" t="str">
            <v>PIP- SCH  80S  6"</v>
          </cell>
          <cell r="C100">
            <v>10.97</v>
          </cell>
          <cell r="D100">
            <v>42.57</v>
          </cell>
          <cell r="E100">
            <v>0.47099999999999997</v>
          </cell>
        </row>
        <row r="101">
          <cell r="B101" t="str">
            <v>PIP- SCH  XS  6"</v>
          </cell>
          <cell r="C101">
            <v>10.97</v>
          </cell>
          <cell r="D101">
            <v>42.57</v>
          </cell>
          <cell r="E101">
            <v>0.47099999999999997</v>
          </cell>
        </row>
        <row r="102">
          <cell r="B102" t="str">
            <v>PIP- SCH  160  6"</v>
          </cell>
          <cell r="C102">
            <v>18.239999999999998</v>
          </cell>
          <cell r="D102">
            <v>67.48</v>
          </cell>
          <cell r="E102">
            <v>0.47099999999999997</v>
          </cell>
        </row>
        <row r="103">
          <cell r="B103" t="str">
            <v>PIP- SCH  XXS  6"</v>
          </cell>
          <cell r="C103">
            <v>21.95</v>
          </cell>
          <cell r="D103">
            <v>79.2</v>
          </cell>
          <cell r="E103">
            <v>0.47099999999999997</v>
          </cell>
        </row>
        <row r="104">
          <cell r="B104" t="str">
            <v>PIP- SCH  5S  8"</v>
          </cell>
          <cell r="C104">
            <v>2.77</v>
          </cell>
          <cell r="D104">
            <v>14.77</v>
          </cell>
          <cell r="E104">
            <v>0.628</v>
          </cell>
        </row>
        <row r="105">
          <cell r="B105" t="str">
            <v>PIP- SCH  10S  8"</v>
          </cell>
          <cell r="C105">
            <v>3.76</v>
          </cell>
          <cell r="D105">
            <v>19.96</v>
          </cell>
          <cell r="E105">
            <v>0.628</v>
          </cell>
        </row>
        <row r="106">
          <cell r="B106" t="str">
            <v>PIP- SCH  20  8"</v>
          </cell>
          <cell r="C106">
            <v>6.35</v>
          </cell>
          <cell r="D106">
            <v>33.31</v>
          </cell>
          <cell r="E106">
            <v>0.628</v>
          </cell>
        </row>
        <row r="107">
          <cell r="B107" t="str">
            <v>PIP- SCH  30  8"</v>
          </cell>
          <cell r="C107">
            <v>7.04</v>
          </cell>
          <cell r="D107">
            <v>36.79</v>
          </cell>
          <cell r="E107">
            <v>0.628</v>
          </cell>
        </row>
        <row r="108">
          <cell r="B108" t="str">
            <v>PIP- SCH  40  8"</v>
          </cell>
          <cell r="C108">
            <v>8.18</v>
          </cell>
          <cell r="D108">
            <v>42.54</v>
          </cell>
          <cell r="E108">
            <v>0.628</v>
          </cell>
        </row>
        <row r="109">
          <cell r="B109" t="str">
            <v>PIP- SCH  40S  8"</v>
          </cell>
          <cell r="C109">
            <v>8.18</v>
          </cell>
          <cell r="D109">
            <v>42.54</v>
          </cell>
          <cell r="E109">
            <v>0.628</v>
          </cell>
        </row>
        <row r="110">
          <cell r="B110" t="str">
            <v>PIP- SCH  STD  8"</v>
          </cell>
          <cell r="C110">
            <v>8.18</v>
          </cell>
          <cell r="D110">
            <v>42.54</v>
          </cell>
          <cell r="E110">
            <v>0.628</v>
          </cell>
        </row>
        <row r="111">
          <cell r="B111" t="str">
            <v>PIP- SCH  60  8"</v>
          </cell>
          <cell r="C111">
            <v>10.31</v>
          </cell>
          <cell r="D111">
            <v>53.09</v>
          </cell>
          <cell r="E111">
            <v>0.628</v>
          </cell>
        </row>
        <row r="112">
          <cell r="B112" t="str">
            <v>PIP- SCH  80  8"</v>
          </cell>
          <cell r="C112">
            <v>12.7</v>
          </cell>
          <cell r="D112">
            <v>64.64</v>
          </cell>
          <cell r="E112">
            <v>0.628</v>
          </cell>
        </row>
        <row r="113">
          <cell r="B113" t="str">
            <v>PIP- SCH  80S  8"</v>
          </cell>
          <cell r="C113">
            <v>12.7</v>
          </cell>
          <cell r="D113">
            <v>64.64</v>
          </cell>
          <cell r="E113">
            <v>0.628</v>
          </cell>
        </row>
        <row r="114">
          <cell r="B114" t="str">
            <v>PIP- SCH  XS  8"</v>
          </cell>
          <cell r="C114">
            <v>12.7</v>
          </cell>
          <cell r="D114">
            <v>64.64</v>
          </cell>
          <cell r="E114">
            <v>0.628</v>
          </cell>
        </row>
        <row r="115">
          <cell r="B115" t="str">
            <v>PIP- SCH  100  8"</v>
          </cell>
          <cell r="C115">
            <v>15.06</v>
          </cell>
          <cell r="D115">
            <v>75.78</v>
          </cell>
          <cell r="E115">
            <v>0.628</v>
          </cell>
        </row>
        <row r="116">
          <cell r="B116" t="str">
            <v>PIP- SCH  120  8"</v>
          </cell>
          <cell r="C116">
            <v>18.239999999999998</v>
          </cell>
          <cell r="D116">
            <v>90.33</v>
          </cell>
          <cell r="E116">
            <v>0.628</v>
          </cell>
        </row>
        <row r="117">
          <cell r="B117" t="str">
            <v>PIP- SCH  140  8"</v>
          </cell>
          <cell r="C117">
            <v>20.62</v>
          </cell>
          <cell r="D117">
            <v>100.9</v>
          </cell>
          <cell r="E117">
            <v>0.628</v>
          </cell>
        </row>
        <row r="118">
          <cell r="B118" t="str">
            <v>PIP- SCH  XXS  8"</v>
          </cell>
          <cell r="C118">
            <v>22.22</v>
          </cell>
          <cell r="D118">
            <v>107.9</v>
          </cell>
          <cell r="E118">
            <v>0.628</v>
          </cell>
        </row>
        <row r="119">
          <cell r="B119" t="str">
            <v>PIP- SCH  160  8"</v>
          </cell>
          <cell r="C119">
            <v>23.01</v>
          </cell>
          <cell r="D119">
            <v>111.3</v>
          </cell>
          <cell r="E119">
            <v>0.628</v>
          </cell>
        </row>
        <row r="120">
          <cell r="B120" t="str">
            <v>PIP- SCH  5S  10"</v>
          </cell>
          <cell r="C120">
            <v>3.4</v>
          </cell>
          <cell r="D120">
            <v>22.63</v>
          </cell>
          <cell r="E120">
            <v>0.78500000000000003</v>
          </cell>
        </row>
        <row r="121">
          <cell r="B121" t="str">
            <v>PIP- SCH  10S  10"</v>
          </cell>
          <cell r="C121">
            <v>4.1900000000000004</v>
          </cell>
          <cell r="D121">
            <v>22.79</v>
          </cell>
          <cell r="E121">
            <v>0.78500000000000003</v>
          </cell>
        </row>
        <row r="122">
          <cell r="B122" t="str">
            <v>PIP- SCH  20  10"</v>
          </cell>
          <cell r="C122">
            <v>6.35</v>
          </cell>
          <cell r="D122">
            <v>41.77</v>
          </cell>
          <cell r="E122">
            <v>0.78500000000000003</v>
          </cell>
        </row>
        <row r="123">
          <cell r="B123" t="str">
            <v>PIP- SCH  30  10"</v>
          </cell>
          <cell r="C123">
            <v>7.8</v>
          </cell>
          <cell r="D123">
            <v>51.01</v>
          </cell>
          <cell r="E123">
            <v>0.78500000000000003</v>
          </cell>
        </row>
        <row r="124">
          <cell r="B124" t="str">
            <v>PIP- SCH  40  10"</v>
          </cell>
          <cell r="C124">
            <v>9.27</v>
          </cell>
          <cell r="D124">
            <v>60.31</v>
          </cell>
          <cell r="E124">
            <v>0.78500000000000003</v>
          </cell>
        </row>
        <row r="125">
          <cell r="B125" t="str">
            <v>PIP- SCH  40S  10"</v>
          </cell>
          <cell r="C125">
            <v>9.27</v>
          </cell>
          <cell r="D125">
            <v>60.31</v>
          </cell>
          <cell r="E125">
            <v>0.78500000000000003</v>
          </cell>
        </row>
        <row r="126">
          <cell r="B126" t="str">
            <v>PIP- SCH  STD  10"</v>
          </cell>
          <cell r="C126">
            <v>9.27</v>
          </cell>
          <cell r="D126">
            <v>60.31</v>
          </cell>
          <cell r="E126">
            <v>0.78500000000000003</v>
          </cell>
        </row>
        <row r="127">
          <cell r="B127" t="str">
            <v>PIP- SCH  60  10"</v>
          </cell>
          <cell r="C127">
            <v>12.7</v>
          </cell>
          <cell r="D127">
            <v>81.540000000000006</v>
          </cell>
          <cell r="E127">
            <v>0.78500000000000003</v>
          </cell>
        </row>
        <row r="128">
          <cell r="B128" t="str">
            <v>PIP- SCH  60S  10"</v>
          </cell>
          <cell r="C128">
            <v>12.7</v>
          </cell>
          <cell r="D128">
            <v>81.540000000000006</v>
          </cell>
          <cell r="E128">
            <v>0.78500000000000003</v>
          </cell>
        </row>
        <row r="129">
          <cell r="B129" t="str">
            <v>PIP- SCH  XS  10"</v>
          </cell>
          <cell r="C129">
            <v>12.7</v>
          </cell>
          <cell r="D129">
            <v>81.540000000000006</v>
          </cell>
          <cell r="E129">
            <v>0.78500000000000003</v>
          </cell>
        </row>
        <row r="130">
          <cell r="B130" t="str">
            <v>PIP- SCH  80  10"</v>
          </cell>
          <cell r="C130">
            <v>15.06</v>
          </cell>
          <cell r="D130">
            <v>95.83</v>
          </cell>
          <cell r="E130">
            <v>0.78500000000000003</v>
          </cell>
        </row>
        <row r="131">
          <cell r="B131" t="str">
            <v>PIP- SCH  100  10"</v>
          </cell>
          <cell r="C131">
            <v>18.239999999999998</v>
          </cell>
          <cell r="D131">
            <v>114.6</v>
          </cell>
          <cell r="E131">
            <v>0.78500000000000003</v>
          </cell>
        </row>
        <row r="132">
          <cell r="B132" t="str">
            <v>PIP- SCH  120  10"</v>
          </cell>
          <cell r="C132">
            <v>21.41</v>
          </cell>
          <cell r="D132">
            <v>132.9</v>
          </cell>
          <cell r="E132">
            <v>0.78500000000000003</v>
          </cell>
        </row>
        <row r="133">
          <cell r="B133" t="str">
            <v>PIP- SCH  140  10"</v>
          </cell>
          <cell r="C133">
            <v>25.4</v>
          </cell>
          <cell r="D133">
            <v>155.1</v>
          </cell>
          <cell r="E133">
            <v>0.78500000000000003</v>
          </cell>
        </row>
        <row r="134">
          <cell r="B134" t="str">
            <v>PIP- SCH  XXS  10"</v>
          </cell>
          <cell r="C134">
            <v>25.4</v>
          </cell>
          <cell r="D134">
            <v>155.1</v>
          </cell>
          <cell r="E134">
            <v>0.78500000000000003</v>
          </cell>
        </row>
        <row r="135">
          <cell r="B135" t="str">
            <v>PIP- SCH  160  10"</v>
          </cell>
          <cell r="C135">
            <v>28.57</v>
          </cell>
          <cell r="D135">
            <v>172.3</v>
          </cell>
          <cell r="E135">
            <v>0.78500000000000003</v>
          </cell>
        </row>
        <row r="136">
          <cell r="B136" t="str">
            <v>PIP- SCH  5S  12"</v>
          </cell>
          <cell r="C136">
            <v>4.1900000000000004</v>
          </cell>
          <cell r="D136">
            <v>33.04</v>
          </cell>
          <cell r="E136">
            <v>0.94199999999999995</v>
          </cell>
        </row>
        <row r="137">
          <cell r="B137" t="str">
            <v>PIP- SCH  10S  12"</v>
          </cell>
          <cell r="C137">
            <v>4.57</v>
          </cell>
          <cell r="D137">
            <v>35.99</v>
          </cell>
          <cell r="E137">
            <v>0.94199999999999995</v>
          </cell>
        </row>
        <row r="138">
          <cell r="B138" t="str">
            <v>PIP- SCH  20  12"</v>
          </cell>
          <cell r="C138">
            <v>6.35</v>
          </cell>
          <cell r="D138">
            <v>49.72</v>
          </cell>
          <cell r="E138">
            <v>0.94199999999999995</v>
          </cell>
        </row>
        <row r="139">
          <cell r="B139" t="str">
            <v>PIP- SCH  30  12"</v>
          </cell>
          <cell r="C139">
            <v>8.3800000000000008</v>
          </cell>
          <cell r="D139">
            <v>65.209999999999994</v>
          </cell>
          <cell r="E139">
            <v>0.94199999999999995</v>
          </cell>
        </row>
        <row r="140">
          <cell r="B140" t="str">
            <v>PIP- SCH  STD  12"</v>
          </cell>
          <cell r="C140">
            <v>9.52</v>
          </cell>
          <cell r="D140">
            <v>73.84</v>
          </cell>
          <cell r="E140">
            <v>0.94199999999999995</v>
          </cell>
        </row>
        <row r="141">
          <cell r="B141" t="str">
            <v>PIP- SCH  40S  12"</v>
          </cell>
          <cell r="C141">
            <v>9.52</v>
          </cell>
          <cell r="D141">
            <v>73.84</v>
          </cell>
          <cell r="E141">
            <v>0.94199999999999995</v>
          </cell>
        </row>
        <row r="142">
          <cell r="B142" t="str">
            <v>PIP- SCH  40  12"</v>
          </cell>
          <cell r="C142">
            <v>10.31</v>
          </cell>
          <cell r="D142">
            <v>79.739999999999995</v>
          </cell>
          <cell r="E142">
            <v>0.94199999999999995</v>
          </cell>
        </row>
        <row r="143">
          <cell r="B143" t="str">
            <v>PIP- SCH  XS  12"</v>
          </cell>
          <cell r="C143">
            <v>12.7</v>
          </cell>
          <cell r="D143">
            <v>97.45</v>
          </cell>
          <cell r="E143">
            <v>0.94199999999999995</v>
          </cell>
        </row>
        <row r="144">
          <cell r="B144" t="str">
            <v>PIP- SCH  80S  12"</v>
          </cell>
          <cell r="C144">
            <v>12.7</v>
          </cell>
          <cell r="D144">
            <v>97.45</v>
          </cell>
          <cell r="E144">
            <v>0.94199999999999995</v>
          </cell>
        </row>
        <row r="145">
          <cell r="B145" t="str">
            <v>PIP- SCH  60  12"</v>
          </cell>
          <cell r="C145">
            <v>14.27</v>
          </cell>
          <cell r="D145">
            <v>108.9</v>
          </cell>
          <cell r="E145">
            <v>0.94199999999999995</v>
          </cell>
        </row>
        <row r="146">
          <cell r="B146" t="str">
            <v>PIP- SCH  80  12"</v>
          </cell>
          <cell r="C146">
            <v>17.45</v>
          </cell>
          <cell r="D146">
            <v>131.9</v>
          </cell>
          <cell r="E146">
            <v>0.94199999999999995</v>
          </cell>
        </row>
        <row r="147">
          <cell r="B147" t="str">
            <v>PIP- SCH  100  12"</v>
          </cell>
          <cell r="C147">
            <v>21.41</v>
          </cell>
          <cell r="D147">
            <v>159.69999999999999</v>
          </cell>
          <cell r="E147">
            <v>0.94199999999999995</v>
          </cell>
        </row>
        <row r="148">
          <cell r="B148" t="str">
            <v>PIP- SCH  XXS  12"</v>
          </cell>
          <cell r="C148">
            <v>25.4</v>
          </cell>
          <cell r="D148">
            <v>186.9</v>
          </cell>
          <cell r="E148">
            <v>0.94199999999999995</v>
          </cell>
        </row>
        <row r="149">
          <cell r="B149" t="str">
            <v>PIP- SCH  120  12"</v>
          </cell>
          <cell r="C149">
            <v>25.4</v>
          </cell>
          <cell r="D149">
            <v>186.9</v>
          </cell>
          <cell r="E149">
            <v>0.94199999999999995</v>
          </cell>
        </row>
        <row r="150">
          <cell r="B150" t="str">
            <v>PIP- SCH  140  12"</v>
          </cell>
          <cell r="C150">
            <v>28.57</v>
          </cell>
          <cell r="D150">
            <v>206.1</v>
          </cell>
          <cell r="E150">
            <v>0.94199999999999995</v>
          </cell>
        </row>
        <row r="151">
          <cell r="B151" t="str">
            <v>PIP- SCH  160  12"</v>
          </cell>
          <cell r="C151">
            <v>33.32</v>
          </cell>
          <cell r="D151">
            <v>238.8</v>
          </cell>
          <cell r="E151">
            <v>0.94199999999999995</v>
          </cell>
        </row>
        <row r="152">
          <cell r="B152" t="str">
            <v>PIP- SCH  5S  14"</v>
          </cell>
          <cell r="C152">
            <v>3.96</v>
          </cell>
          <cell r="D152">
            <v>34.36</v>
          </cell>
          <cell r="E152">
            <v>1.1000000000000001</v>
          </cell>
        </row>
        <row r="153">
          <cell r="B153" t="str">
            <v>PIP- SCH  10S  14"</v>
          </cell>
          <cell r="C153">
            <v>4.78</v>
          </cell>
          <cell r="D153">
            <v>41.31</v>
          </cell>
          <cell r="E153">
            <v>1.1000000000000001</v>
          </cell>
        </row>
        <row r="154">
          <cell r="B154" t="str">
            <v>PIP- SCH  10  14"</v>
          </cell>
          <cell r="C154">
            <v>6.35</v>
          </cell>
          <cell r="D154">
            <v>54.69</v>
          </cell>
          <cell r="E154">
            <v>1.1000000000000001</v>
          </cell>
        </row>
        <row r="155">
          <cell r="B155" t="str">
            <v>PIP- SCH  20  14"</v>
          </cell>
          <cell r="C155">
            <v>7.92</v>
          </cell>
          <cell r="D155">
            <v>67.95</v>
          </cell>
          <cell r="E155">
            <v>1.1000000000000001</v>
          </cell>
        </row>
        <row r="156">
          <cell r="B156" t="str">
            <v>PIP- SCH  30  14"</v>
          </cell>
          <cell r="C156">
            <v>9.52</v>
          </cell>
          <cell r="D156">
            <v>81.290000000000006</v>
          </cell>
          <cell r="E156">
            <v>1.1000000000000001</v>
          </cell>
        </row>
        <row r="157">
          <cell r="B157" t="str">
            <v>PIP- SCH  STD  14"</v>
          </cell>
          <cell r="C157">
            <v>9.52</v>
          </cell>
          <cell r="D157">
            <v>81.290000000000006</v>
          </cell>
          <cell r="E157">
            <v>1.1000000000000001</v>
          </cell>
        </row>
        <row r="158">
          <cell r="B158" t="str">
            <v>PIP- SCH  40  14"</v>
          </cell>
          <cell r="C158">
            <v>11.13</v>
          </cell>
          <cell r="D158">
            <v>94.51</v>
          </cell>
          <cell r="E158">
            <v>1.1000000000000001</v>
          </cell>
        </row>
        <row r="159">
          <cell r="B159" t="str">
            <v>PIP- SCH  XS  14"</v>
          </cell>
          <cell r="C159">
            <v>12.7</v>
          </cell>
          <cell r="D159">
            <v>107.4</v>
          </cell>
          <cell r="E159">
            <v>1.1000000000000001</v>
          </cell>
        </row>
        <row r="160">
          <cell r="B160" t="str">
            <v>PIP- SCH  60  14"</v>
          </cell>
          <cell r="C160">
            <v>15.06</v>
          </cell>
          <cell r="D160">
            <v>126.5</v>
          </cell>
          <cell r="E160">
            <v>1.1000000000000001</v>
          </cell>
        </row>
        <row r="161">
          <cell r="B161" t="str">
            <v>PIP- SCH  80  14"</v>
          </cell>
          <cell r="C161">
            <v>19.05</v>
          </cell>
          <cell r="D161">
            <v>158.1</v>
          </cell>
          <cell r="E161">
            <v>1.1000000000000001</v>
          </cell>
        </row>
        <row r="162">
          <cell r="B162" t="str">
            <v>PIP- SCH  100  14"</v>
          </cell>
          <cell r="C162">
            <v>23.8</v>
          </cell>
          <cell r="D162">
            <v>194.7</v>
          </cell>
          <cell r="E162">
            <v>1.1000000000000001</v>
          </cell>
        </row>
        <row r="163">
          <cell r="B163" t="str">
            <v>PIP- SCH  120  14"</v>
          </cell>
          <cell r="C163">
            <v>27.76</v>
          </cell>
          <cell r="D163">
            <v>224.5</v>
          </cell>
          <cell r="E163">
            <v>1.1000000000000001</v>
          </cell>
        </row>
        <row r="164">
          <cell r="B164" t="str">
            <v>PIP- SCH  140  14"</v>
          </cell>
          <cell r="C164">
            <v>31.75</v>
          </cell>
          <cell r="D164">
            <v>253.6</v>
          </cell>
          <cell r="E164">
            <v>1.1000000000000001</v>
          </cell>
        </row>
        <row r="165">
          <cell r="B165" t="str">
            <v>PIP- SCH  160  14"</v>
          </cell>
          <cell r="C165">
            <v>35.71</v>
          </cell>
          <cell r="D165">
            <v>281.7</v>
          </cell>
          <cell r="E165">
            <v>1.1000000000000001</v>
          </cell>
        </row>
        <row r="166">
          <cell r="B166" t="str">
            <v>PIP- SCH  5S  16"</v>
          </cell>
          <cell r="C166">
            <v>4.1900000000000004</v>
          </cell>
          <cell r="D166">
            <v>41.57</v>
          </cell>
          <cell r="E166">
            <v>1.2569999999999999</v>
          </cell>
        </row>
        <row r="167">
          <cell r="B167" t="str">
            <v>PIP- SCH  10S  16"</v>
          </cell>
          <cell r="C167">
            <v>4.76</v>
          </cell>
          <cell r="D167">
            <v>47.29</v>
          </cell>
          <cell r="E167">
            <v>1.2569999999999999</v>
          </cell>
        </row>
        <row r="168">
          <cell r="B168" t="str">
            <v>PIP- SCH  10  16"</v>
          </cell>
          <cell r="C168">
            <v>6.35</v>
          </cell>
          <cell r="D168">
            <v>62.65</v>
          </cell>
          <cell r="E168">
            <v>1.2569999999999999</v>
          </cell>
        </row>
        <row r="169">
          <cell r="B169" t="str">
            <v>PIP- SCH  20  16"</v>
          </cell>
          <cell r="C169">
            <v>7.92</v>
          </cell>
          <cell r="D169">
            <v>77.88</v>
          </cell>
          <cell r="E169">
            <v>1.2569999999999999</v>
          </cell>
        </row>
        <row r="170">
          <cell r="B170" t="str">
            <v>PIP- SCH  STD  16"</v>
          </cell>
          <cell r="C170">
            <v>9.52</v>
          </cell>
          <cell r="D170">
            <v>93.23</v>
          </cell>
          <cell r="E170">
            <v>1.2569999999999999</v>
          </cell>
        </row>
        <row r="171">
          <cell r="B171" t="str">
            <v>PIP- SCH  30  16"</v>
          </cell>
          <cell r="C171">
            <v>9.52</v>
          </cell>
          <cell r="D171">
            <v>93.23</v>
          </cell>
          <cell r="E171">
            <v>1.2569999999999999</v>
          </cell>
        </row>
        <row r="172">
          <cell r="B172" t="str">
            <v>PIP- SCH  XS  16"</v>
          </cell>
          <cell r="C172">
            <v>12.7</v>
          </cell>
          <cell r="D172">
            <v>123.3</v>
          </cell>
          <cell r="E172">
            <v>1.2569999999999999</v>
          </cell>
        </row>
        <row r="173">
          <cell r="B173" t="str">
            <v>PIP- SCH  40  16"</v>
          </cell>
          <cell r="C173">
            <v>12.7</v>
          </cell>
          <cell r="D173">
            <v>123.3</v>
          </cell>
          <cell r="E173">
            <v>1.2569999999999999</v>
          </cell>
        </row>
        <row r="174">
          <cell r="B174" t="str">
            <v>PIP- SCH  60  16"</v>
          </cell>
          <cell r="C174">
            <v>16.66</v>
          </cell>
          <cell r="D174">
            <v>160.19999999999999</v>
          </cell>
          <cell r="E174">
            <v>1.2569999999999999</v>
          </cell>
        </row>
        <row r="175">
          <cell r="B175" t="str">
            <v>PIP- SCH  80  16"</v>
          </cell>
          <cell r="C175">
            <v>21.41</v>
          </cell>
          <cell r="D175">
            <v>203.3</v>
          </cell>
          <cell r="E175">
            <v>1.2569999999999999</v>
          </cell>
        </row>
        <row r="176">
          <cell r="B176" t="str">
            <v>PIP- SCH  100  16"</v>
          </cell>
          <cell r="C176">
            <v>26.19</v>
          </cell>
          <cell r="D176">
            <v>245.5</v>
          </cell>
          <cell r="E176">
            <v>1.2569999999999999</v>
          </cell>
        </row>
        <row r="177">
          <cell r="B177" t="str">
            <v>PIP- SCH  120  16"</v>
          </cell>
          <cell r="C177">
            <v>30.94</v>
          </cell>
          <cell r="D177">
            <v>286.5</v>
          </cell>
          <cell r="E177">
            <v>1.2569999999999999</v>
          </cell>
        </row>
        <row r="178">
          <cell r="B178" t="str">
            <v>PIP- SCH  140  16"</v>
          </cell>
          <cell r="C178">
            <v>36.53</v>
          </cell>
          <cell r="D178">
            <v>333.2</v>
          </cell>
          <cell r="E178">
            <v>1.2569999999999999</v>
          </cell>
        </row>
        <row r="179">
          <cell r="B179" t="str">
            <v>PIP- SCH  160  16"</v>
          </cell>
          <cell r="C179">
            <v>40.46</v>
          </cell>
          <cell r="D179">
            <v>365.2</v>
          </cell>
          <cell r="E179">
            <v>1.2569999999999999</v>
          </cell>
        </row>
        <row r="180">
          <cell r="B180" t="str">
            <v>PIP- SCH  5S  18"</v>
          </cell>
          <cell r="C180">
            <v>4.1900000000000004</v>
          </cell>
          <cell r="D180">
            <v>46.82</v>
          </cell>
          <cell r="E180">
            <v>1.4139999999999999</v>
          </cell>
        </row>
        <row r="181">
          <cell r="B181" t="str">
            <v>PIP- SCH  10S  18"</v>
          </cell>
          <cell r="C181">
            <v>4.78</v>
          </cell>
          <cell r="D181">
            <v>53.28</v>
          </cell>
          <cell r="E181">
            <v>1.4139999999999999</v>
          </cell>
        </row>
        <row r="182">
          <cell r="B182" t="str">
            <v>PIP- SCH  10  18"</v>
          </cell>
          <cell r="C182">
            <v>6.35</v>
          </cell>
          <cell r="D182">
            <v>70.599999999999994</v>
          </cell>
          <cell r="E182">
            <v>1.4139999999999999</v>
          </cell>
        </row>
        <row r="183">
          <cell r="B183" t="str">
            <v>PIP- SCH  20  18"</v>
          </cell>
          <cell r="C183">
            <v>7.92</v>
          </cell>
          <cell r="D183">
            <v>87.8</v>
          </cell>
          <cell r="E183">
            <v>1.4139999999999999</v>
          </cell>
        </row>
        <row r="184">
          <cell r="B184" t="str">
            <v>PIP- SCH  STD  18"</v>
          </cell>
          <cell r="C184">
            <v>9.52</v>
          </cell>
          <cell r="D184">
            <v>105.2</v>
          </cell>
          <cell r="E184">
            <v>1.4139999999999999</v>
          </cell>
        </row>
        <row r="185">
          <cell r="B185" t="str">
            <v>PIP- SCH  30  18"</v>
          </cell>
          <cell r="C185">
            <v>11.13</v>
          </cell>
          <cell r="D185">
            <v>122.4</v>
          </cell>
          <cell r="E185">
            <v>1.4139999999999999</v>
          </cell>
        </row>
        <row r="186">
          <cell r="B186" t="str">
            <v>PIP- SCH  XS  18"</v>
          </cell>
          <cell r="C186">
            <v>12.7</v>
          </cell>
          <cell r="D186">
            <v>139.19999999999999</v>
          </cell>
          <cell r="E186">
            <v>1.4139999999999999</v>
          </cell>
        </row>
        <row r="187">
          <cell r="B187" t="str">
            <v>PIP- SCH  40  18"</v>
          </cell>
          <cell r="C187">
            <v>14.27</v>
          </cell>
          <cell r="D187">
            <v>155.9</v>
          </cell>
          <cell r="E187">
            <v>1.4139999999999999</v>
          </cell>
        </row>
        <row r="188">
          <cell r="B188" t="str">
            <v>PIP- SCH  60  18"</v>
          </cell>
          <cell r="C188">
            <v>19.05</v>
          </cell>
          <cell r="D188">
            <v>205.8</v>
          </cell>
          <cell r="E188">
            <v>1.4139999999999999</v>
          </cell>
        </row>
        <row r="189">
          <cell r="B189" t="str">
            <v>PIP- SCH  80  18"</v>
          </cell>
          <cell r="C189">
            <v>23.8</v>
          </cell>
          <cell r="D189">
            <v>254.4</v>
          </cell>
          <cell r="E189">
            <v>1.4139999999999999</v>
          </cell>
        </row>
        <row r="190">
          <cell r="B190" t="str">
            <v>PIP- SCH  100  18"</v>
          </cell>
          <cell r="C190">
            <v>29.36</v>
          </cell>
          <cell r="D190">
            <v>309.8</v>
          </cell>
          <cell r="E190">
            <v>1.4139999999999999</v>
          </cell>
        </row>
        <row r="191">
          <cell r="B191" t="str">
            <v>PIP- SCH  120  18"</v>
          </cell>
          <cell r="C191">
            <v>34.92</v>
          </cell>
          <cell r="D191">
            <v>363.7</v>
          </cell>
          <cell r="E191">
            <v>1.4139999999999999</v>
          </cell>
        </row>
        <row r="192">
          <cell r="B192" t="str">
            <v>PIP- SCH  140  18"</v>
          </cell>
          <cell r="C192">
            <v>39.67</v>
          </cell>
          <cell r="D192">
            <v>408.5</v>
          </cell>
          <cell r="E192">
            <v>1.4139999999999999</v>
          </cell>
        </row>
        <row r="193">
          <cell r="B193" t="str">
            <v>PIP- SCH  160  18"</v>
          </cell>
          <cell r="C193">
            <v>45.24</v>
          </cell>
          <cell r="D193">
            <v>459.6</v>
          </cell>
          <cell r="E193">
            <v>1.4139999999999999</v>
          </cell>
        </row>
        <row r="194">
          <cell r="B194" t="str">
            <v>PIP- SCH  5S  20"</v>
          </cell>
          <cell r="C194">
            <v>4.78</v>
          </cell>
          <cell r="D194">
            <v>59.26</v>
          </cell>
          <cell r="E194">
            <v>1.571</v>
          </cell>
        </row>
        <row r="195">
          <cell r="B195" t="str">
            <v>PIP- SCH  10S  20"</v>
          </cell>
          <cell r="C195">
            <v>5.54</v>
          </cell>
          <cell r="D195">
            <v>68.61</v>
          </cell>
          <cell r="E195">
            <v>1.571</v>
          </cell>
        </row>
        <row r="196">
          <cell r="B196" t="str">
            <v>PIP- SCH  10  20"</v>
          </cell>
          <cell r="C196">
            <v>6.35</v>
          </cell>
          <cell r="D196">
            <v>78.56</v>
          </cell>
          <cell r="E196">
            <v>1.571</v>
          </cell>
        </row>
        <row r="197">
          <cell r="B197" t="str">
            <v>PIP- SCH  STD  20"</v>
          </cell>
          <cell r="C197">
            <v>9.52</v>
          </cell>
          <cell r="D197">
            <v>117.1</v>
          </cell>
          <cell r="E197">
            <v>1.571</v>
          </cell>
        </row>
        <row r="198">
          <cell r="B198" t="str">
            <v>PIP- SCH  20  20"</v>
          </cell>
          <cell r="C198">
            <v>9.52</v>
          </cell>
          <cell r="D198">
            <v>117.1</v>
          </cell>
          <cell r="E198">
            <v>1.571</v>
          </cell>
        </row>
        <row r="199">
          <cell r="B199" t="str">
            <v>PIP- SCH  XS  20"</v>
          </cell>
          <cell r="C199">
            <v>12.7</v>
          </cell>
          <cell r="D199">
            <v>155.1</v>
          </cell>
          <cell r="E199">
            <v>1.571</v>
          </cell>
        </row>
        <row r="200">
          <cell r="B200" t="str">
            <v>PIP- SCH  30  20"</v>
          </cell>
          <cell r="C200">
            <v>12.7</v>
          </cell>
          <cell r="D200">
            <v>155.1</v>
          </cell>
          <cell r="E200">
            <v>1.571</v>
          </cell>
        </row>
        <row r="201">
          <cell r="B201" t="str">
            <v>PIP- SCH  40  20"</v>
          </cell>
          <cell r="C201">
            <v>15.06</v>
          </cell>
          <cell r="D201">
            <v>183.1</v>
          </cell>
          <cell r="E201">
            <v>1.571</v>
          </cell>
        </row>
        <row r="202">
          <cell r="B202" t="str">
            <v>PIP- SCH  60  20"</v>
          </cell>
          <cell r="C202">
            <v>20.62</v>
          </cell>
          <cell r="D202">
            <v>247.9</v>
          </cell>
          <cell r="E202">
            <v>1.571</v>
          </cell>
        </row>
        <row r="203">
          <cell r="B203" t="str">
            <v>PIP- SCH  80  20"</v>
          </cell>
          <cell r="C203">
            <v>26.19</v>
          </cell>
          <cell r="D203">
            <v>311.2</v>
          </cell>
          <cell r="E203">
            <v>1.571</v>
          </cell>
        </row>
        <row r="204">
          <cell r="B204" t="str">
            <v>PIP- SCH  100  20"</v>
          </cell>
          <cell r="C204">
            <v>32.54</v>
          </cell>
          <cell r="D204">
            <v>381.5</v>
          </cell>
          <cell r="E204">
            <v>1.571</v>
          </cell>
        </row>
        <row r="205">
          <cell r="B205" t="str">
            <v>PIP- SCH  120  20"</v>
          </cell>
          <cell r="C205">
            <v>38.1</v>
          </cell>
          <cell r="D205">
            <v>441.5</v>
          </cell>
          <cell r="E205">
            <v>1.571</v>
          </cell>
        </row>
        <row r="206">
          <cell r="B206" t="str">
            <v>PIP- SCH  140  20"</v>
          </cell>
          <cell r="C206">
            <v>44.45</v>
          </cell>
          <cell r="D206">
            <v>508.1</v>
          </cell>
          <cell r="E206">
            <v>1.571</v>
          </cell>
        </row>
        <row r="207">
          <cell r="B207" t="str">
            <v>PIP- SCH  160  20"</v>
          </cell>
          <cell r="C207">
            <v>49.99</v>
          </cell>
          <cell r="D207">
            <v>564.6</v>
          </cell>
          <cell r="E207">
            <v>1.571</v>
          </cell>
        </row>
        <row r="208">
          <cell r="B208" t="str">
            <v>PIP- SCH  5S  24"</v>
          </cell>
          <cell r="C208">
            <v>5.54</v>
          </cell>
          <cell r="D208">
            <v>82.49</v>
          </cell>
          <cell r="E208">
            <v>1.885</v>
          </cell>
        </row>
        <row r="209">
          <cell r="B209" t="str">
            <v>PIP- SCH  10  24"</v>
          </cell>
          <cell r="C209">
            <v>6.35</v>
          </cell>
          <cell r="D209">
            <v>94.47</v>
          </cell>
          <cell r="E209">
            <v>1.885</v>
          </cell>
        </row>
        <row r="210">
          <cell r="B210" t="str">
            <v>PIP- SCH  10S  24"</v>
          </cell>
          <cell r="C210">
            <v>6.35</v>
          </cell>
          <cell r="D210">
            <v>94.47</v>
          </cell>
          <cell r="E210">
            <v>1.885</v>
          </cell>
        </row>
        <row r="211">
          <cell r="B211" t="str">
            <v>PIP- SCH  STD  24"</v>
          </cell>
          <cell r="C211">
            <v>9.52</v>
          </cell>
          <cell r="D211">
            <v>140.9</v>
          </cell>
          <cell r="E211">
            <v>1.885</v>
          </cell>
        </row>
        <row r="212">
          <cell r="B212" t="str">
            <v>PIP- SCH  20  24"</v>
          </cell>
          <cell r="C212">
            <v>9.52</v>
          </cell>
          <cell r="D212">
            <v>140.9</v>
          </cell>
          <cell r="E212">
            <v>1.885</v>
          </cell>
        </row>
        <row r="213">
          <cell r="B213" t="str">
            <v>PIP- SCH  XS  24"</v>
          </cell>
          <cell r="C213">
            <v>12.7</v>
          </cell>
          <cell r="D213">
            <v>186.9</v>
          </cell>
          <cell r="E213">
            <v>1.885</v>
          </cell>
        </row>
        <row r="214">
          <cell r="B214" t="str">
            <v>PIP- SCH  30  24"</v>
          </cell>
          <cell r="C214">
            <v>14.27</v>
          </cell>
          <cell r="D214">
            <v>209.6</v>
          </cell>
          <cell r="E214">
            <v>1.885</v>
          </cell>
        </row>
        <row r="215">
          <cell r="B215" t="str">
            <v>PIP- SCH  40  24"</v>
          </cell>
          <cell r="C215">
            <v>17.45</v>
          </cell>
          <cell r="D215">
            <v>254.8</v>
          </cell>
          <cell r="E215">
            <v>1.885</v>
          </cell>
        </row>
        <row r="216">
          <cell r="B216" t="str">
            <v>PIP- SCH  60  24"</v>
          </cell>
          <cell r="C216">
            <v>24.59</v>
          </cell>
          <cell r="D216">
            <v>354.7</v>
          </cell>
          <cell r="E216">
            <v>1.885</v>
          </cell>
        </row>
        <row r="217">
          <cell r="B217" t="str">
            <v>PIP- SCH  80  24"</v>
          </cell>
          <cell r="C217">
            <v>30.94</v>
          </cell>
          <cell r="D217">
            <v>441.5</v>
          </cell>
          <cell r="E217">
            <v>1.885</v>
          </cell>
        </row>
        <row r="218">
          <cell r="B218" t="str">
            <v>PIP- SCH  100  24"</v>
          </cell>
          <cell r="C218">
            <v>38.89</v>
          </cell>
          <cell r="D218">
            <v>547.29999999999995</v>
          </cell>
          <cell r="E218">
            <v>1.885</v>
          </cell>
        </row>
        <row r="219">
          <cell r="B219" t="str">
            <v>PIP- SCH  120  24"</v>
          </cell>
          <cell r="C219">
            <v>46.02</v>
          </cell>
          <cell r="D219">
            <v>639.70000000000005</v>
          </cell>
          <cell r="E219">
            <v>1.885</v>
          </cell>
        </row>
        <row r="220">
          <cell r="B220" t="str">
            <v>PIP- SCH  140  24"</v>
          </cell>
          <cell r="C220">
            <v>52.37</v>
          </cell>
          <cell r="D220">
            <v>719.7</v>
          </cell>
          <cell r="E220">
            <v>1.885</v>
          </cell>
        </row>
        <row r="221">
          <cell r="B221" t="str">
            <v>PIP- SCH  160  24"</v>
          </cell>
          <cell r="C221">
            <v>59.51</v>
          </cell>
          <cell r="D221">
            <v>807.3</v>
          </cell>
          <cell r="E221">
            <v>1.885</v>
          </cell>
        </row>
        <row r="222">
          <cell r="B222" t="str">
            <v>PIP- SCH  6.35  26"</v>
          </cell>
          <cell r="C222">
            <v>6.35</v>
          </cell>
          <cell r="D222">
            <v>102.4</v>
          </cell>
          <cell r="E222">
            <v>2.0419999999999998</v>
          </cell>
        </row>
        <row r="223">
          <cell r="B223" t="str">
            <v>PIP- SCH  10  26"</v>
          </cell>
          <cell r="C223">
            <v>7.92</v>
          </cell>
          <cell r="D223">
            <v>127.5</v>
          </cell>
          <cell r="E223">
            <v>2.0419999999999998</v>
          </cell>
        </row>
        <row r="224">
          <cell r="B224" t="str">
            <v>PIP- SCH  STD  26"</v>
          </cell>
          <cell r="C224">
            <v>9.5299999999999994</v>
          </cell>
          <cell r="D224">
            <v>152.9</v>
          </cell>
          <cell r="E224">
            <v>2.0419999999999998</v>
          </cell>
        </row>
        <row r="225">
          <cell r="B225" t="str">
            <v>PIP- SCH  11.13  26"</v>
          </cell>
          <cell r="C225">
            <v>11.13</v>
          </cell>
          <cell r="D225">
            <v>178.1</v>
          </cell>
          <cell r="E225">
            <v>2.0419999999999998</v>
          </cell>
        </row>
        <row r="226">
          <cell r="B226" t="str">
            <v>PIP- SCH  XS  26"</v>
          </cell>
          <cell r="C226">
            <v>12.7</v>
          </cell>
          <cell r="D226">
            <v>202.9</v>
          </cell>
          <cell r="E226">
            <v>2.0419999999999998</v>
          </cell>
        </row>
        <row r="227">
          <cell r="B227" t="str">
            <v>PIP- SCH  20  26"</v>
          </cell>
          <cell r="C227">
            <v>12.7</v>
          </cell>
          <cell r="D227">
            <v>202.9</v>
          </cell>
          <cell r="E227">
            <v>2.0419999999999998</v>
          </cell>
        </row>
        <row r="228">
          <cell r="B228" t="str">
            <v>PIP- SCH  15.88  26"</v>
          </cell>
          <cell r="C228">
            <v>15.88</v>
          </cell>
          <cell r="D228">
            <v>252.2</v>
          </cell>
          <cell r="E228">
            <v>2.0419999999999998</v>
          </cell>
        </row>
        <row r="229">
          <cell r="B229" t="str">
            <v>PIP- SCH  19.05  26"</v>
          </cell>
          <cell r="C229">
            <v>19.05</v>
          </cell>
          <cell r="D229">
            <v>301.10000000000002</v>
          </cell>
          <cell r="E229">
            <v>2.0419999999999998</v>
          </cell>
        </row>
        <row r="230">
          <cell r="B230" t="str">
            <v>PIP- SCH  22.23  26"</v>
          </cell>
          <cell r="C230">
            <v>22.23</v>
          </cell>
          <cell r="D230">
            <v>349.6</v>
          </cell>
          <cell r="E230">
            <v>2.0419999999999998</v>
          </cell>
        </row>
        <row r="231">
          <cell r="B231" t="str">
            <v>PIP- SCH  25.4  26"</v>
          </cell>
          <cell r="C231">
            <v>25.4</v>
          </cell>
          <cell r="D231">
            <v>397.5</v>
          </cell>
          <cell r="E231">
            <v>2.0419999999999998</v>
          </cell>
        </row>
        <row r="232">
          <cell r="B232" t="str">
            <v>PIP- SCH  6.35  28"</v>
          </cell>
          <cell r="C232">
            <v>6.35</v>
          </cell>
          <cell r="D232">
            <v>110.3</v>
          </cell>
          <cell r="E232">
            <v>2.1989999999999998</v>
          </cell>
        </row>
        <row r="233">
          <cell r="B233" t="str">
            <v>PIP- SCH  10  28"</v>
          </cell>
          <cell r="C233">
            <v>7.92</v>
          </cell>
          <cell r="D233">
            <v>137.4</v>
          </cell>
          <cell r="E233">
            <v>2.1989999999999998</v>
          </cell>
        </row>
        <row r="234">
          <cell r="B234" t="str">
            <v>PIP- SCH  STD  28"</v>
          </cell>
          <cell r="C234">
            <v>9.5299999999999994</v>
          </cell>
          <cell r="D234">
            <v>164.8</v>
          </cell>
          <cell r="E234">
            <v>2.1989999999999998</v>
          </cell>
        </row>
        <row r="235">
          <cell r="B235" t="str">
            <v>PIP- SCH  11.13  28"</v>
          </cell>
          <cell r="C235">
            <v>11.13</v>
          </cell>
          <cell r="D235">
            <v>192.1</v>
          </cell>
          <cell r="E235">
            <v>2.1989999999999998</v>
          </cell>
        </row>
        <row r="236">
          <cell r="B236" t="str">
            <v>PIP- SCH  XS  28"</v>
          </cell>
          <cell r="C236">
            <v>12.7</v>
          </cell>
          <cell r="D236">
            <v>218.8</v>
          </cell>
          <cell r="E236">
            <v>2.1989999999999998</v>
          </cell>
        </row>
        <row r="237">
          <cell r="B237" t="str">
            <v>PIP- SCH  20  28"</v>
          </cell>
          <cell r="C237">
            <v>12.7</v>
          </cell>
          <cell r="D237">
            <v>218.8</v>
          </cell>
          <cell r="E237">
            <v>2.1989999999999998</v>
          </cell>
        </row>
        <row r="238">
          <cell r="B238" t="str">
            <v>PIP- SCH  30  28"</v>
          </cell>
          <cell r="C238">
            <v>15.88</v>
          </cell>
          <cell r="D238">
            <v>272.2</v>
          </cell>
          <cell r="E238">
            <v>2.1989999999999998</v>
          </cell>
        </row>
        <row r="239">
          <cell r="B239" t="str">
            <v>PIP- SCH  19.05  28"</v>
          </cell>
          <cell r="C239">
            <v>19.05</v>
          </cell>
          <cell r="D239">
            <v>325.10000000000002</v>
          </cell>
          <cell r="E239">
            <v>2.1989999999999998</v>
          </cell>
        </row>
        <row r="240">
          <cell r="B240" t="str">
            <v>PIP- SCH  22.23  28"</v>
          </cell>
          <cell r="C240">
            <v>22.23</v>
          </cell>
          <cell r="D240">
            <v>377.6</v>
          </cell>
          <cell r="E240">
            <v>2.1989999999999998</v>
          </cell>
        </row>
        <row r="241">
          <cell r="B241" t="str">
            <v>PIP- SCH  25.4  28"</v>
          </cell>
          <cell r="C241">
            <v>25.4</v>
          </cell>
          <cell r="D241">
            <v>429.4</v>
          </cell>
          <cell r="E241">
            <v>2.1989999999999998</v>
          </cell>
        </row>
        <row r="242">
          <cell r="B242" t="str">
            <v>PIP- SCH  5S  30"</v>
          </cell>
          <cell r="C242">
            <v>6.35</v>
          </cell>
          <cell r="D242">
            <v>118.3</v>
          </cell>
          <cell r="E242">
            <v>2.3559999999999999</v>
          </cell>
        </row>
        <row r="243">
          <cell r="B243" t="str">
            <v>PIP- SCH  10  30"</v>
          </cell>
          <cell r="C243">
            <v>7.92</v>
          </cell>
          <cell r="D243">
            <v>147.4</v>
          </cell>
          <cell r="E243">
            <v>2.3559999999999999</v>
          </cell>
        </row>
        <row r="244">
          <cell r="B244" t="str">
            <v>PIP- SCH  10S  30"</v>
          </cell>
          <cell r="C244">
            <v>7.92</v>
          </cell>
          <cell r="D244">
            <v>147.4</v>
          </cell>
          <cell r="E244">
            <v>2.3559999999999999</v>
          </cell>
        </row>
        <row r="245">
          <cell r="B245" t="str">
            <v>PIP- SCH  STD  30"</v>
          </cell>
          <cell r="C245">
            <v>9.5299999999999994</v>
          </cell>
          <cell r="D245">
            <v>176.8</v>
          </cell>
          <cell r="E245">
            <v>2.3559999999999999</v>
          </cell>
        </row>
        <row r="246">
          <cell r="B246" t="str">
            <v>PIP- SCH  11.13  30"</v>
          </cell>
          <cell r="C246">
            <v>11.13</v>
          </cell>
          <cell r="D246">
            <v>206.1</v>
          </cell>
          <cell r="E246">
            <v>2.3559999999999999</v>
          </cell>
        </row>
        <row r="247">
          <cell r="B247" t="str">
            <v>PIP- SCH  XS  30"</v>
          </cell>
          <cell r="C247">
            <v>12.7</v>
          </cell>
          <cell r="D247">
            <v>234.7</v>
          </cell>
          <cell r="E247">
            <v>2.3559999999999999</v>
          </cell>
        </row>
        <row r="248">
          <cell r="B248" t="str">
            <v>PIP- SCH  20  30"</v>
          </cell>
          <cell r="C248">
            <v>12.7</v>
          </cell>
          <cell r="D248">
            <v>234.7</v>
          </cell>
          <cell r="E248">
            <v>2.3559999999999999</v>
          </cell>
        </row>
        <row r="249">
          <cell r="B249" t="str">
            <v>PIP- SCH  30  30"</v>
          </cell>
          <cell r="C249">
            <v>15.88</v>
          </cell>
          <cell r="D249">
            <v>292.10000000000002</v>
          </cell>
          <cell r="E249">
            <v>2.3559999999999999</v>
          </cell>
        </row>
        <row r="250">
          <cell r="B250" t="str">
            <v>PIP- SCH  19.05  30"</v>
          </cell>
          <cell r="C250">
            <v>19.05</v>
          </cell>
          <cell r="D250">
            <v>349</v>
          </cell>
          <cell r="E250">
            <v>2.3559999999999999</v>
          </cell>
        </row>
        <row r="251">
          <cell r="B251" t="str">
            <v>PIP- SCH  22.23  30"</v>
          </cell>
          <cell r="C251">
            <v>22.23</v>
          </cell>
          <cell r="D251">
            <v>405.5</v>
          </cell>
          <cell r="E251">
            <v>2.3559999999999999</v>
          </cell>
        </row>
        <row r="252">
          <cell r="B252" t="str">
            <v>PIP- SCH  25.4  30"</v>
          </cell>
          <cell r="C252">
            <v>25.4</v>
          </cell>
          <cell r="D252">
            <v>461.4</v>
          </cell>
          <cell r="E252">
            <v>2.3559999999999999</v>
          </cell>
        </row>
        <row r="253">
          <cell r="B253" t="str">
            <v>PIP- SCH  10  32"</v>
          </cell>
          <cell r="C253">
            <v>7.92</v>
          </cell>
          <cell r="D253">
            <v>157.24</v>
          </cell>
          <cell r="E253">
            <v>2.5129999999999999</v>
          </cell>
        </row>
        <row r="254">
          <cell r="B254" t="str">
            <v>PIP- SCH  STD  32"</v>
          </cell>
          <cell r="C254">
            <v>9.5299999999999994</v>
          </cell>
          <cell r="D254">
            <v>188.82</v>
          </cell>
          <cell r="E254">
            <v>2.5129999999999999</v>
          </cell>
        </row>
        <row r="255">
          <cell r="B255" t="str">
            <v>PIP- SCH  XS  32"</v>
          </cell>
          <cell r="C255">
            <v>12.7</v>
          </cell>
          <cell r="D255">
            <v>250.84</v>
          </cell>
          <cell r="E255">
            <v>2.5129999999999999</v>
          </cell>
        </row>
        <row r="256">
          <cell r="B256" t="str">
            <v>PIP- SCH  20  32"</v>
          </cell>
          <cell r="C256">
            <v>12.7</v>
          </cell>
          <cell r="D256">
            <v>250.84</v>
          </cell>
          <cell r="E256">
            <v>2.5129999999999999</v>
          </cell>
        </row>
        <row r="257">
          <cell r="B257" t="str">
            <v>PIP- SCH  30  32"</v>
          </cell>
          <cell r="C257">
            <v>15.88</v>
          </cell>
          <cell r="D257">
            <v>312.14999999999998</v>
          </cell>
          <cell r="E257">
            <v>2.5129999999999999</v>
          </cell>
        </row>
        <row r="258">
          <cell r="B258" t="str">
            <v>PIP- SCH  40  32"</v>
          </cell>
          <cell r="C258">
            <v>17.48</v>
          </cell>
          <cell r="D258">
            <v>342.91</v>
          </cell>
          <cell r="E258">
            <v>2.5129999999999999</v>
          </cell>
        </row>
        <row r="259">
          <cell r="B259" t="str">
            <v>PIP- SCH  25.4  32"</v>
          </cell>
          <cell r="C259">
            <v>25.4</v>
          </cell>
          <cell r="D259">
            <v>493.32</v>
          </cell>
          <cell r="E259">
            <v>2.5129999999999999</v>
          </cell>
        </row>
        <row r="260">
          <cell r="B260" t="str">
            <v>PIP- SCH  28.58  32"</v>
          </cell>
          <cell r="C260">
            <v>28.58</v>
          </cell>
          <cell r="D260">
            <v>552.85</v>
          </cell>
          <cell r="E260">
            <v>2.5129999999999999</v>
          </cell>
        </row>
        <row r="261">
          <cell r="B261" t="str">
            <v>PIP- SCH  31.75  32"</v>
          </cell>
          <cell r="C261">
            <v>31.75</v>
          </cell>
          <cell r="D261">
            <v>611.67999999999995</v>
          </cell>
          <cell r="E261">
            <v>2.5129999999999999</v>
          </cell>
        </row>
        <row r="262">
          <cell r="B262" t="str">
            <v>PIP- SCH  10  34"</v>
          </cell>
          <cell r="C262">
            <v>7.92</v>
          </cell>
          <cell r="D262">
            <v>167.2</v>
          </cell>
          <cell r="E262">
            <v>2.67</v>
          </cell>
        </row>
        <row r="263">
          <cell r="B263" t="str">
            <v>PIP- SCH  STD  34"</v>
          </cell>
          <cell r="C263">
            <v>9.5299999999999994</v>
          </cell>
          <cell r="D263">
            <v>200.81</v>
          </cell>
          <cell r="E263">
            <v>2.67</v>
          </cell>
        </row>
        <row r="264">
          <cell r="B264" t="str">
            <v>PIP- SCH  11.13  34"</v>
          </cell>
          <cell r="C264">
            <v>11.13</v>
          </cell>
          <cell r="D264">
            <v>234.08</v>
          </cell>
          <cell r="E264">
            <v>2.67</v>
          </cell>
        </row>
        <row r="265">
          <cell r="B265" t="str">
            <v>PIP- SCH  XS  34"</v>
          </cell>
          <cell r="C265">
            <v>12.7</v>
          </cell>
          <cell r="D265">
            <v>266.61</v>
          </cell>
          <cell r="E265">
            <v>2.67</v>
          </cell>
        </row>
        <row r="266">
          <cell r="B266" t="str">
            <v>PIP- SCH  20  34"</v>
          </cell>
          <cell r="C266">
            <v>12.7</v>
          </cell>
          <cell r="D266">
            <v>266.61</v>
          </cell>
          <cell r="E266">
            <v>2.67</v>
          </cell>
        </row>
        <row r="267">
          <cell r="B267" t="str">
            <v>PIP- SCH  30  34"</v>
          </cell>
          <cell r="C267">
            <v>15.88</v>
          </cell>
          <cell r="D267">
            <v>332.12</v>
          </cell>
          <cell r="E267">
            <v>2.67</v>
          </cell>
        </row>
        <row r="268">
          <cell r="B268" t="str">
            <v>PIP- SCH  40  34"</v>
          </cell>
          <cell r="C268">
            <v>17.48</v>
          </cell>
          <cell r="D268">
            <v>364.9</v>
          </cell>
          <cell r="E268">
            <v>2.67</v>
          </cell>
        </row>
        <row r="269">
          <cell r="B269" t="str">
            <v>PIP- SCH  25.4  34"</v>
          </cell>
          <cell r="C269">
            <v>25.4</v>
          </cell>
          <cell r="D269">
            <v>525.27</v>
          </cell>
          <cell r="E269">
            <v>2.67</v>
          </cell>
        </row>
        <row r="270">
          <cell r="B270" t="str">
            <v>PIP- SCH  28.58  34"</v>
          </cell>
          <cell r="C270">
            <v>28.58</v>
          </cell>
          <cell r="D270">
            <v>588.79</v>
          </cell>
          <cell r="E270">
            <v>2.67</v>
          </cell>
        </row>
        <row r="271">
          <cell r="B271" t="str">
            <v>PIP- SCH  31.75  34"</v>
          </cell>
          <cell r="C271">
            <v>31.75</v>
          </cell>
          <cell r="D271">
            <v>651.61</v>
          </cell>
          <cell r="E271">
            <v>2.67</v>
          </cell>
        </row>
        <row r="272">
          <cell r="B272" t="str">
            <v>PIP- SCH  10  36"</v>
          </cell>
          <cell r="C272">
            <v>7.92</v>
          </cell>
          <cell r="D272">
            <v>176.96</v>
          </cell>
          <cell r="E272">
            <v>2.827</v>
          </cell>
        </row>
        <row r="273">
          <cell r="B273" t="str">
            <v>PIP- SCH  STD  36"</v>
          </cell>
          <cell r="C273">
            <v>9.5299999999999994</v>
          </cell>
          <cell r="D273">
            <v>212.56</v>
          </cell>
          <cell r="E273">
            <v>2.827</v>
          </cell>
        </row>
        <row r="274">
          <cell r="B274" t="str">
            <v>PIP- SCH  11.13  36"</v>
          </cell>
          <cell r="C274">
            <v>11.13</v>
          </cell>
          <cell r="D274">
            <v>247.81</v>
          </cell>
          <cell r="E274">
            <v>2.827</v>
          </cell>
        </row>
        <row r="275">
          <cell r="B275" t="str">
            <v>PIP- SCH  XS  36"</v>
          </cell>
          <cell r="C275">
            <v>12.7</v>
          </cell>
          <cell r="D275">
            <v>282.27</v>
          </cell>
          <cell r="E275">
            <v>2.827</v>
          </cell>
        </row>
        <row r="276">
          <cell r="B276" t="str">
            <v>PIP- SCH  20  36"</v>
          </cell>
          <cell r="C276">
            <v>12.7</v>
          </cell>
          <cell r="D276">
            <v>282.27</v>
          </cell>
          <cell r="E276">
            <v>2.827</v>
          </cell>
        </row>
        <row r="277">
          <cell r="B277" t="str">
            <v>PIP- SCH  30  36"</v>
          </cell>
          <cell r="C277">
            <v>15.88</v>
          </cell>
          <cell r="D277">
            <v>351.7</v>
          </cell>
          <cell r="E277">
            <v>2.827</v>
          </cell>
        </row>
        <row r="278">
          <cell r="B278" t="str">
            <v>PIP- SCH  40  36"</v>
          </cell>
          <cell r="C278">
            <v>19.05</v>
          </cell>
          <cell r="D278">
            <v>420.42</v>
          </cell>
          <cell r="E278">
            <v>2.827</v>
          </cell>
        </row>
        <row r="279">
          <cell r="B279" t="str">
            <v>PIP- SCH  25.4  36"</v>
          </cell>
          <cell r="C279">
            <v>25.4</v>
          </cell>
          <cell r="D279">
            <v>556.59</v>
          </cell>
          <cell r="E279">
            <v>2.827</v>
          </cell>
        </row>
        <row r="280">
          <cell r="B280" t="str">
            <v>PIP- SCH  28.58  36"</v>
          </cell>
          <cell r="C280">
            <v>28.58</v>
          </cell>
          <cell r="D280">
            <v>624.03</v>
          </cell>
          <cell r="E280">
            <v>2.827</v>
          </cell>
        </row>
        <row r="281">
          <cell r="B281" t="str">
            <v>PIP- SCH  31.75  36"</v>
          </cell>
          <cell r="C281">
            <v>31.75</v>
          </cell>
          <cell r="D281">
            <v>690.76</v>
          </cell>
          <cell r="E281">
            <v>2.827</v>
          </cell>
        </row>
        <row r="282">
          <cell r="B282" t="str">
            <v>PIP- SCH  STD  38"</v>
          </cell>
          <cell r="C282">
            <v>9.5299999999999994</v>
          </cell>
          <cell r="D282">
            <v>224.54</v>
          </cell>
          <cell r="E282">
            <v>2.9849999999999999</v>
          </cell>
        </row>
        <row r="283">
          <cell r="B283" t="str">
            <v>PIP- SCH  11.13  38"</v>
          </cell>
          <cell r="C283">
            <v>11.13</v>
          </cell>
          <cell r="D283">
            <v>261.8</v>
          </cell>
          <cell r="E283">
            <v>2.9849999999999999</v>
          </cell>
        </row>
        <row r="284">
          <cell r="B284" t="str">
            <v>PIP- SCH  12.7  38"</v>
          </cell>
          <cell r="C284">
            <v>12.7</v>
          </cell>
          <cell r="D284">
            <v>298.24</v>
          </cell>
          <cell r="E284">
            <v>2.9849999999999999</v>
          </cell>
        </row>
        <row r="285">
          <cell r="B285" t="str">
            <v>PIP- SCH  15.88  38"</v>
          </cell>
          <cell r="C285">
            <v>15.88</v>
          </cell>
          <cell r="D285">
            <v>371.68</v>
          </cell>
          <cell r="E285">
            <v>2.9849999999999999</v>
          </cell>
        </row>
        <row r="286">
          <cell r="B286" t="str">
            <v>PIP- SCH  19.05  38"</v>
          </cell>
          <cell r="C286">
            <v>19.05</v>
          </cell>
          <cell r="D286">
            <v>444.38</v>
          </cell>
          <cell r="E286">
            <v>2.9849999999999999</v>
          </cell>
        </row>
        <row r="287">
          <cell r="B287" t="str">
            <v>PIP- SCH  22.23  38"</v>
          </cell>
          <cell r="C287">
            <v>22.23</v>
          </cell>
          <cell r="D287">
            <v>516.82000000000005</v>
          </cell>
          <cell r="E287">
            <v>2.9849999999999999</v>
          </cell>
        </row>
        <row r="288">
          <cell r="B288" t="str">
            <v>PIP- SCH  XS  38"</v>
          </cell>
          <cell r="C288">
            <v>25.4</v>
          </cell>
          <cell r="D288">
            <v>588.53</v>
          </cell>
          <cell r="E288">
            <v>2.9849999999999999</v>
          </cell>
        </row>
        <row r="289">
          <cell r="B289" t="str">
            <v>PIP- SCH  28.58  38"</v>
          </cell>
          <cell r="C289">
            <v>28.58</v>
          </cell>
          <cell r="D289">
            <v>659.97</v>
          </cell>
          <cell r="E289">
            <v>2.9849999999999999</v>
          </cell>
        </row>
        <row r="290">
          <cell r="B290" t="str">
            <v>PIP- SCH  31.75  38"</v>
          </cell>
          <cell r="C290">
            <v>31.75</v>
          </cell>
          <cell r="D290">
            <v>730.69</v>
          </cell>
          <cell r="E290">
            <v>2.9849999999999999</v>
          </cell>
        </row>
        <row r="291">
          <cell r="B291" t="str">
            <v>PIP- SCH  STD  40"</v>
          </cell>
          <cell r="C291">
            <v>9.5299999999999994</v>
          </cell>
          <cell r="D291">
            <v>236.53</v>
          </cell>
          <cell r="E291">
            <v>3.1419999999999999</v>
          </cell>
        </row>
        <row r="292">
          <cell r="B292" t="str">
            <v>PIP- SCH  11.13  40"</v>
          </cell>
          <cell r="C292">
            <v>11.13</v>
          </cell>
          <cell r="D292">
            <v>275.8</v>
          </cell>
          <cell r="E292">
            <v>3.1419999999999999</v>
          </cell>
        </row>
        <row r="293">
          <cell r="B293" t="str">
            <v>PIP- SCH  12.7  40"</v>
          </cell>
          <cell r="C293">
            <v>12.7</v>
          </cell>
          <cell r="D293">
            <v>314.22000000000003</v>
          </cell>
          <cell r="E293">
            <v>3.1419999999999999</v>
          </cell>
        </row>
        <row r="294">
          <cell r="B294" t="str">
            <v>PIP- SCH  15.88  40"</v>
          </cell>
          <cell r="C294">
            <v>15.88</v>
          </cell>
          <cell r="D294">
            <v>391.65</v>
          </cell>
          <cell r="E294">
            <v>3.1419999999999999</v>
          </cell>
        </row>
        <row r="295">
          <cell r="B295" t="str">
            <v>PIP- SCH  19.05  40"</v>
          </cell>
          <cell r="C295">
            <v>19.05</v>
          </cell>
          <cell r="D295">
            <v>468.34</v>
          </cell>
          <cell r="E295">
            <v>3.1419999999999999</v>
          </cell>
        </row>
        <row r="296">
          <cell r="B296" t="str">
            <v>PIP- SCH  22.23  40"</v>
          </cell>
          <cell r="C296">
            <v>22.23</v>
          </cell>
          <cell r="D296">
            <v>544.78</v>
          </cell>
          <cell r="E296">
            <v>3.1419999999999999</v>
          </cell>
        </row>
        <row r="297">
          <cell r="B297" t="str">
            <v>PIP- SCH  25.4  40"</v>
          </cell>
          <cell r="C297">
            <v>25.4</v>
          </cell>
          <cell r="D297">
            <v>620.48</v>
          </cell>
          <cell r="E297">
            <v>3.1419999999999999</v>
          </cell>
        </row>
        <row r="298">
          <cell r="B298" t="str">
            <v>PIP- SCH  28.58  40"</v>
          </cell>
          <cell r="C298">
            <v>28.58</v>
          </cell>
          <cell r="D298">
            <v>695.92</v>
          </cell>
          <cell r="E298">
            <v>3.1419999999999999</v>
          </cell>
        </row>
        <row r="299">
          <cell r="B299" t="str">
            <v>PIP- SCH  31.75  40"</v>
          </cell>
          <cell r="C299">
            <v>31.75</v>
          </cell>
          <cell r="D299">
            <v>770.62</v>
          </cell>
          <cell r="E299">
            <v>3.1419999999999999</v>
          </cell>
        </row>
        <row r="300">
          <cell r="B300" t="str">
            <v>PIP- SCH  STD  42"</v>
          </cell>
          <cell r="C300">
            <v>9.5299999999999994</v>
          </cell>
          <cell r="D300">
            <v>248.52</v>
          </cell>
          <cell r="E300">
            <v>3.2989999999999999</v>
          </cell>
        </row>
        <row r="301">
          <cell r="B301" t="str">
            <v>PIP- SCH  11.13  42"</v>
          </cell>
          <cell r="C301">
            <v>11.13</v>
          </cell>
          <cell r="D301">
            <v>289.8</v>
          </cell>
          <cell r="E301">
            <v>3.2989999999999999</v>
          </cell>
        </row>
        <row r="302">
          <cell r="B302" t="str">
            <v>PIP- SCH  XS  42"</v>
          </cell>
          <cell r="C302">
            <v>12.7</v>
          </cell>
          <cell r="D302">
            <v>330.19</v>
          </cell>
          <cell r="E302">
            <v>3.2989999999999999</v>
          </cell>
        </row>
        <row r="303">
          <cell r="B303" t="str">
            <v>PIP- SCH  15.88  42"</v>
          </cell>
          <cell r="C303">
            <v>15.88</v>
          </cell>
          <cell r="D303">
            <v>411.62</v>
          </cell>
          <cell r="E303">
            <v>3.2989999999999999</v>
          </cell>
        </row>
        <row r="304">
          <cell r="B304" t="str">
            <v>PIP- SCH  19.05  42"</v>
          </cell>
          <cell r="C304">
            <v>19.05</v>
          </cell>
          <cell r="D304">
            <v>492.3</v>
          </cell>
          <cell r="E304">
            <v>3.2989999999999999</v>
          </cell>
        </row>
        <row r="305">
          <cell r="B305" t="str">
            <v>PIP- SCH  22.23  42"</v>
          </cell>
          <cell r="C305">
            <v>22.23</v>
          </cell>
          <cell r="D305">
            <v>572.73</v>
          </cell>
          <cell r="E305">
            <v>3.2989999999999999</v>
          </cell>
        </row>
        <row r="306">
          <cell r="B306" t="str">
            <v>PIP- SCH  25.4  42"</v>
          </cell>
          <cell r="C306">
            <v>25.4</v>
          </cell>
          <cell r="D306">
            <v>652.41999999999996</v>
          </cell>
          <cell r="E306">
            <v>3.2989999999999999</v>
          </cell>
        </row>
        <row r="307">
          <cell r="B307" t="str">
            <v>PIP- SCH  28.58  42"</v>
          </cell>
          <cell r="C307">
            <v>28.58</v>
          </cell>
          <cell r="D307">
            <v>731.88</v>
          </cell>
          <cell r="E307">
            <v>3.2989999999999999</v>
          </cell>
        </row>
        <row r="308">
          <cell r="B308" t="str">
            <v>PIP- SCH  31.75  42"</v>
          </cell>
          <cell r="C308">
            <v>31.75</v>
          </cell>
          <cell r="D308">
            <v>810.55</v>
          </cell>
          <cell r="E308">
            <v>3.2989999999999999</v>
          </cell>
        </row>
        <row r="309">
          <cell r="B309" t="str">
            <v>PIP- SCH  STD  44"</v>
          </cell>
          <cell r="C309">
            <v>9.5299999999999994</v>
          </cell>
          <cell r="D309">
            <v>260.5</v>
          </cell>
          <cell r="E309">
            <v>3.456</v>
          </cell>
        </row>
        <row r="310">
          <cell r="B310" t="str">
            <v>PIP- SCH  11.13  44"</v>
          </cell>
          <cell r="C310">
            <v>11.13</v>
          </cell>
          <cell r="D310">
            <v>303.8</v>
          </cell>
          <cell r="E310">
            <v>3.456</v>
          </cell>
        </row>
        <row r="311">
          <cell r="B311" t="str">
            <v>PIP- SCH  XS  44"</v>
          </cell>
          <cell r="C311">
            <v>12.7</v>
          </cell>
          <cell r="D311">
            <v>346.16</v>
          </cell>
          <cell r="E311">
            <v>3.456</v>
          </cell>
        </row>
        <row r="312">
          <cell r="B312" t="str">
            <v>PIP- SCH  15.88  44"</v>
          </cell>
          <cell r="C312">
            <v>15.88</v>
          </cell>
          <cell r="D312">
            <v>431.59</v>
          </cell>
          <cell r="E312">
            <v>3.456</v>
          </cell>
        </row>
        <row r="313">
          <cell r="B313" t="str">
            <v>PIP- SCH  19.05  44"</v>
          </cell>
          <cell r="C313">
            <v>19.05</v>
          </cell>
          <cell r="D313">
            <v>516.26</v>
          </cell>
          <cell r="E313">
            <v>3.456</v>
          </cell>
        </row>
        <row r="314">
          <cell r="B314" t="str">
            <v>PIP- SCH  22.23  44"</v>
          </cell>
          <cell r="C314">
            <v>22.23</v>
          </cell>
          <cell r="D314">
            <v>600.69000000000005</v>
          </cell>
          <cell r="E314">
            <v>3.456</v>
          </cell>
        </row>
        <row r="315">
          <cell r="B315" t="str">
            <v>PIP- SCH  25.4  44"</v>
          </cell>
          <cell r="C315">
            <v>25.4</v>
          </cell>
          <cell r="D315">
            <v>684.37</v>
          </cell>
          <cell r="E315">
            <v>3.456</v>
          </cell>
        </row>
        <row r="316">
          <cell r="B316" t="str">
            <v>PIP- SCH  28.58  44"</v>
          </cell>
          <cell r="C316">
            <v>28.58</v>
          </cell>
          <cell r="D316">
            <v>767.8</v>
          </cell>
          <cell r="E316">
            <v>3.456</v>
          </cell>
        </row>
        <row r="317">
          <cell r="B317" t="str">
            <v>PIP- SCH  31.75  44"</v>
          </cell>
          <cell r="C317">
            <v>31.75</v>
          </cell>
          <cell r="D317">
            <v>850.48</v>
          </cell>
          <cell r="E317">
            <v>3.456</v>
          </cell>
        </row>
        <row r="318">
          <cell r="B318" t="str">
            <v>PIP- SCH  STD  48"</v>
          </cell>
          <cell r="C318">
            <v>9.5299999999999994</v>
          </cell>
          <cell r="D318">
            <v>284.24</v>
          </cell>
          <cell r="E318">
            <v>3.77</v>
          </cell>
        </row>
        <row r="319">
          <cell r="B319" t="str">
            <v>PIP- SCH  11.13  48"</v>
          </cell>
          <cell r="C319">
            <v>11.13</v>
          </cell>
          <cell r="D319">
            <v>331.52</v>
          </cell>
          <cell r="E319">
            <v>3.77</v>
          </cell>
        </row>
        <row r="320">
          <cell r="B320" t="str">
            <v>PIP- SCH  XS  48"</v>
          </cell>
          <cell r="C320">
            <v>12.7</v>
          </cell>
          <cell r="D320">
            <v>377.79</v>
          </cell>
          <cell r="E320">
            <v>3.77</v>
          </cell>
        </row>
        <row r="321">
          <cell r="B321" t="str">
            <v>PIP- SCH  15.88  48"</v>
          </cell>
          <cell r="C321">
            <v>15.88</v>
          </cell>
          <cell r="D321">
            <v>471.14</v>
          </cell>
          <cell r="E321">
            <v>3.77</v>
          </cell>
        </row>
        <row r="322">
          <cell r="B322" t="str">
            <v>PIP- SCH  19.05  48"</v>
          </cell>
          <cell r="C322">
            <v>19.05</v>
          </cell>
          <cell r="D322">
            <v>563.70000000000005</v>
          </cell>
          <cell r="E322">
            <v>3.77</v>
          </cell>
        </row>
        <row r="323">
          <cell r="B323" t="str">
            <v>PIP- SCH  22.23  48"</v>
          </cell>
          <cell r="C323">
            <v>22.23</v>
          </cell>
          <cell r="D323">
            <v>656.06</v>
          </cell>
          <cell r="E323">
            <v>3.77</v>
          </cell>
        </row>
        <row r="324">
          <cell r="B324" t="str">
            <v>PIP- SCH  25.4  48"</v>
          </cell>
          <cell r="C324">
            <v>25.4</v>
          </cell>
          <cell r="D324">
            <v>747.63</v>
          </cell>
          <cell r="E324">
            <v>3.77</v>
          </cell>
        </row>
        <row r="325">
          <cell r="B325" t="str">
            <v>PIP- SCH  28.58  48"</v>
          </cell>
          <cell r="C325">
            <v>28.58</v>
          </cell>
          <cell r="D325">
            <v>838.99</v>
          </cell>
          <cell r="E325">
            <v>3.77</v>
          </cell>
        </row>
        <row r="326">
          <cell r="B326" t="str">
            <v>PIP- SCH  31.75  48"</v>
          </cell>
          <cell r="C326">
            <v>31.75</v>
          </cell>
          <cell r="D326">
            <v>929.56</v>
          </cell>
          <cell r="E326">
            <v>3.77</v>
          </cell>
        </row>
        <row r="327">
          <cell r="B327" t="str">
            <v>PIP- SCH  9.5  50"</v>
          </cell>
          <cell r="C327">
            <v>9.5</v>
          </cell>
          <cell r="D327">
            <v>295.3</v>
          </cell>
          <cell r="E327">
            <v>3.927</v>
          </cell>
        </row>
        <row r="328">
          <cell r="B328" t="str">
            <v>PIP- SCH  9.53  52"</v>
          </cell>
          <cell r="C328">
            <v>9.5299999999999994</v>
          </cell>
          <cell r="D328">
            <v>308.20999999999998</v>
          </cell>
          <cell r="E328">
            <v>4.0839999999999996</v>
          </cell>
        </row>
        <row r="329">
          <cell r="B329" t="str">
            <v>PIP- SCH  11.13  52"</v>
          </cell>
          <cell r="C329">
            <v>11.13</v>
          </cell>
          <cell r="D329">
            <v>359.51</v>
          </cell>
          <cell r="E329">
            <v>4.0839999999999996</v>
          </cell>
        </row>
        <row r="330">
          <cell r="B330" t="str">
            <v>PIP- SCH  12.7  52"</v>
          </cell>
          <cell r="C330">
            <v>12.7</v>
          </cell>
          <cell r="D330">
            <v>409.74</v>
          </cell>
          <cell r="E330">
            <v>4.0839999999999996</v>
          </cell>
        </row>
        <row r="331">
          <cell r="B331" t="str">
            <v>PIP- SCH  15.88  52"</v>
          </cell>
          <cell r="C331">
            <v>15.88</v>
          </cell>
          <cell r="D331">
            <v>511.09</v>
          </cell>
          <cell r="E331">
            <v>4.0839999999999996</v>
          </cell>
        </row>
        <row r="332">
          <cell r="B332" t="str">
            <v>PIP- SCH  19.05  52"</v>
          </cell>
          <cell r="C332">
            <v>19.05</v>
          </cell>
          <cell r="D332">
            <v>611.62</v>
          </cell>
          <cell r="E332">
            <v>4.0839999999999996</v>
          </cell>
        </row>
        <row r="333">
          <cell r="B333" t="str">
            <v>PIP- SCH  22.23  52"</v>
          </cell>
          <cell r="C333">
            <v>22.23</v>
          </cell>
          <cell r="D333">
            <v>711.97</v>
          </cell>
          <cell r="E333">
            <v>4.0839999999999996</v>
          </cell>
        </row>
        <row r="334">
          <cell r="B334" t="str">
            <v>PIP- SCH  25.4  52"</v>
          </cell>
          <cell r="C334">
            <v>25.4</v>
          </cell>
          <cell r="D334">
            <v>811.52</v>
          </cell>
          <cell r="E334">
            <v>4.0839999999999996</v>
          </cell>
        </row>
        <row r="335">
          <cell r="B335" t="str">
            <v>PIP- SCH  28.58  52"</v>
          </cell>
          <cell r="C335">
            <v>28.58</v>
          </cell>
          <cell r="D335">
            <v>910.88</v>
          </cell>
          <cell r="E335">
            <v>4.0839999999999996</v>
          </cell>
        </row>
        <row r="336">
          <cell r="B336" t="str">
            <v>PIP- SCH  31.75  52"</v>
          </cell>
          <cell r="C336">
            <v>31.75</v>
          </cell>
          <cell r="D336">
            <v>1009.4</v>
          </cell>
          <cell r="E336">
            <v>4.0839999999999996</v>
          </cell>
        </row>
        <row r="337">
          <cell r="B337" t="str">
            <v>PIP- SCH  9.5  54"</v>
          </cell>
          <cell r="C337">
            <v>9.5</v>
          </cell>
          <cell r="D337">
            <v>319.10000000000002</v>
          </cell>
          <cell r="E337">
            <v>4.2409999999999997</v>
          </cell>
        </row>
        <row r="338">
          <cell r="B338" t="str">
            <v>PIP- SCH  11.9  54"</v>
          </cell>
          <cell r="C338">
            <v>11.9</v>
          </cell>
          <cell r="D338">
            <v>399</v>
          </cell>
          <cell r="E338">
            <v>4.2409999999999997</v>
          </cell>
        </row>
        <row r="339">
          <cell r="B339" t="str">
            <v>PIP- SCH  12.7  54"</v>
          </cell>
          <cell r="C339">
            <v>12.7</v>
          </cell>
          <cell r="D339">
            <v>425.6</v>
          </cell>
          <cell r="E339">
            <v>4.2409999999999997</v>
          </cell>
        </row>
        <row r="340">
          <cell r="B340" t="str">
            <v>PIP- SCH  13.1  54"</v>
          </cell>
          <cell r="C340">
            <v>13.1</v>
          </cell>
          <cell r="D340">
            <v>438.9</v>
          </cell>
          <cell r="E340">
            <v>4.2409999999999997</v>
          </cell>
        </row>
        <row r="341">
          <cell r="B341" t="str">
            <v>PIP- SCH  15.1  54"</v>
          </cell>
          <cell r="C341">
            <v>15.1</v>
          </cell>
          <cell r="D341">
            <v>505.2</v>
          </cell>
          <cell r="E341">
            <v>4.2409999999999997</v>
          </cell>
        </row>
        <row r="342">
          <cell r="B342" t="str">
            <v>PIP- SCH  15.9  54"</v>
          </cell>
          <cell r="C342">
            <v>15.9</v>
          </cell>
          <cell r="D342">
            <v>531.6</v>
          </cell>
          <cell r="E342">
            <v>4.2409999999999997</v>
          </cell>
        </row>
        <row r="343">
          <cell r="B343" t="str">
            <v>PIP- SCH  9.53  60"</v>
          </cell>
          <cell r="C343">
            <v>9.5299999999999994</v>
          </cell>
          <cell r="D343">
            <v>355.92</v>
          </cell>
          <cell r="E343">
            <v>4.7119999999999997</v>
          </cell>
        </row>
        <row r="344">
          <cell r="B344" t="str">
            <v>PIP- SCH  11.13  60"</v>
          </cell>
          <cell r="C344">
            <v>11.13</v>
          </cell>
          <cell r="D344">
            <v>415.23</v>
          </cell>
          <cell r="E344">
            <v>4.7119999999999997</v>
          </cell>
        </row>
        <row r="345">
          <cell r="B345" t="str">
            <v>PIP- SCH  12.7  60"</v>
          </cell>
          <cell r="C345">
            <v>12.7</v>
          </cell>
          <cell r="D345">
            <v>473.31</v>
          </cell>
          <cell r="E345">
            <v>4.7119999999999997</v>
          </cell>
        </row>
        <row r="346">
          <cell r="B346" t="str">
            <v>PIP- SCH  15.88  60"</v>
          </cell>
          <cell r="C346">
            <v>15.88</v>
          </cell>
          <cell r="D346">
            <v>590.58000000000004</v>
          </cell>
          <cell r="E346">
            <v>4.7119999999999997</v>
          </cell>
        </row>
        <row r="347">
          <cell r="B347" t="str">
            <v>PIP- SCH  19.05  60"</v>
          </cell>
          <cell r="C347">
            <v>19.05</v>
          </cell>
          <cell r="D347">
            <v>706.98</v>
          </cell>
          <cell r="E347">
            <v>4.7119999999999997</v>
          </cell>
        </row>
        <row r="348">
          <cell r="B348" t="str">
            <v>PIP- SCH  22.23  60"</v>
          </cell>
          <cell r="C348">
            <v>22.23</v>
          </cell>
          <cell r="D348">
            <v>823.26</v>
          </cell>
          <cell r="E348">
            <v>4.7119999999999997</v>
          </cell>
        </row>
        <row r="349">
          <cell r="B349" t="str">
            <v>PIP- SCH  25.4  60"</v>
          </cell>
          <cell r="C349">
            <v>25.4</v>
          </cell>
          <cell r="D349">
            <v>938.67</v>
          </cell>
          <cell r="E349">
            <v>4.7119999999999997</v>
          </cell>
        </row>
        <row r="350">
          <cell r="B350" t="str">
            <v>PIP- SCH  28.58  60"</v>
          </cell>
          <cell r="C350">
            <v>28.58</v>
          </cell>
          <cell r="D350">
            <v>1053.9000000000001</v>
          </cell>
          <cell r="E350">
            <v>4.7119999999999997</v>
          </cell>
        </row>
        <row r="351">
          <cell r="B351" t="str">
            <v>PIP- SCH  31.75  60"</v>
          </cell>
          <cell r="C351">
            <v>31.75</v>
          </cell>
          <cell r="D351">
            <v>1168.4000000000001</v>
          </cell>
          <cell r="E351">
            <v>4.7119999999999997</v>
          </cell>
        </row>
        <row r="352">
          <cell r="B352" t="str">
            <v>PIP- SCH  12.7  72"</v>
          </cell>
          <cell r="C352">
            <v>12.7</v>
          </cell>
          <cell r="D352">
            <v>568.83000000000004</v>
          </cell>
          <cell r="E352">
            <v>5.6550000000000002</v>
          </cell>
        </row>
        <row r="353">
          <cell r="B353" t="str">
            <v>PIP- SCH  15.88  72"</v>
          </cell>
          <cell r="C353">
            <v>15.88</v>
          </cell>
          <cell r="D353">
            <v>710.02</v>
          </cell>
          <cell r="E353">
            <v>5.6550000000000002</v>
          </cell>
        </row>
        <row r="354">
          <cell r="B354" t="str">
            <v>PIP- SCH  19.05  72"</v>
          </cell>
          <cell r="C354">
            <v>19.05</v>
          </cell>
          <cell r="D354">
            <v>850.27</v>
          </cell>
          <cell r="E354">
            <v>5.6550000000000002</v>
          </cell>
        </row>
        <row r="355">
          <cell r="B355" t="str">
            <v>PIP- SCH  22.23  72"</v>
          </cell>
          <cell r="C355">
            <v>22.23</v>
          </cell>
          <cell r="D355">
            <v>990.46</v>
          </cell>
          <cell r="E355">
            <v>5.6550000000000002</v>
          </cell>
        </row>
        <row r="356">
          <cell r="B356" t="str">
            <v>PIP- SCH  25.4  72"</v>
          </cell>
          <cell r="C356">
            <v>25.4</v>
          </cell>
          <cell r="D356">
            <v>1129.7</v>
          </cell>
          <cell r="E356">
            <v>5.6550000000000002</v>
          </cell>
        </row>
        <row r="357">
          <cell r="B357" t="str">
            <v>PIP- SCH  28.58  72"</v>
          </cell>
          <cell r="C357">
            <v>28.58</v>
          </cell>
          <cell r="D357">
            <v>1268.9000000000001</v>
          </cell>
          <cell r="E357">
            <v>5.6550000000000002</v>
          </cell>
        </row>
        <row r="358">
          <cell r="B358" t="str">
            <v>PIP- SCH  31.75  72"</v>
          </cell>
          <cell r="C358">
            <v>31.75</v>
          </cell>
          <cell r="D358">
            <v>1407.2</v>
          </cell>
          <cell r="E358">
            <v>5.6550000000000002</v>
          </cell>
        </row>
        <row r="359">
          <cell r="B359" t="str">
            <v>90E- SCH  3000  0.5"</v>
          </cell>
          <cell r="D359">
            <v>0.23</v>
          </cell>
          <cell r="E359">
            <v>1E-3</v>
          </cell>
        </row>
        <row r="360">
          <cell r="B360" t="str">
            <v>90E- SCH  6000  0.5"</v>
          </cell>
          <cell r="D360">
            <v>0.43</v>
          </cell>
          <cell r="E360">
            <v>1E-3</v>
          </cell>
        </row>
        <row r="361">
          <cell r="B361" t="str">
            <v>90E- SCH  3000  0.75"</v>
          </cell>
          <cell r="D361">
            <v>0.31</v>
          </cell>
          <cell r="E361">
            <v>1E-3</v>
          </cell>
        </row>
        <row r="362">
          <cell r="B362" t="str">
            <v>90E- SCH  6000  0.75"</v>
          </cell>
          <cell r="D362">
            <v>0.65</v>
          </cell>
          <cell r="E362">
            <v>1E-3</v>
          </cell>
        </row>
        <row r="363">
          <cell r="B363" t="str">
            <v>90E- SCH  3000  1"</v>
          </cell>
          <cell r="D363">
            <v>0.6</v>
          </cell>
          <cell r="E363">
            <v>2E-3</v>
          </cell>
        </row>
        <row r="364">
          <cell r="B364" t="str">
            <v>90E- SCH  6000  1"</v>
          </cell>
          <cell r="D364">
            <v>1.1000000000000001</v>
          </cell>
          <cell r="E364">
            <v>2E-3</v>
          </cell>
        </row>
        <row r="365">
          <cell r="B365" t="str">
            <v>90E- SCH  3000  1.5"</v>
          </cell>
          <cell r="D365">
            <v>0.85</v>
          </cell>
          <cell r="E365">
            <v>5.0000000000000001E-3</v>
          </cell>
        </row>
        <row r="366">
          <cell r="B366" t="str">
            <v>90E- SCH  6000  1.5"</v>
          </cell>
          <cell r="D366">
            <v>2.38</v>
          </cell>
          <cell r="E366">
            <v>5.0000000000000001E-3</v>
          </cell>
        </row>
        <row r="367">
          <cell r="B367" t="str">
            <v>90E- SCH  5S  2"</v>
          </cell>
          <cell r="C367">
            <v>1.65</v>
          </cell>
          <cell r="D367">
            <v>0.24</v>
          </cell>
          <cell r="E367">
            <v>8.9999999999999993E-3</v>
          </cell>
        </row>
        <row r="368">
          <cell r="B368" t="str">
            <v>90E- SCH  10S  2"</v>
          </cell>
          <cell r="C368">
            <v>2.77</v>
          </cell>
          <cell r="D368">
            <v>0.48</v>
          </cell>
          <cell r="E368">
            <v>8.9999999999999993E-3</v>
          </cell>
        </row>
        <row r="369">
          <cell r="B369" t="str">
            <v>90E- SCH  40  2"</v>
          </cell>
          <cell r="C369">
            <v>3.91</v>
          </cell>
          <cell r="D369">
            <v>0.65</v>
          </cell>
          <cell r="E369">
            <v>8.9999999999999993E-3</v>
          </cell>
        </row>
        <row r="370">
          <cell r="B370" t="str">
            <v>90E- SCH  40S  2"</v>
          </cell>
          <cell r="C370">
            <v>3.91</v>
          </cell>
          <cell r="D370">
            <v>0.65</v>
          </cell>
          <cell r="E370">
            <v>8.9999999999999993E-3</v>
          </cell>
        </row>
        <row r="371">
          <cell r="B371" t="str">
            <v>90E- SCH  STD  2"</v>
          </cell>
          <cell r="C371">
            <v>3.91</v>
          </cell>
          <cell r="D371">
            <v>0.65</v>
          </cell>
          <cell r="E371">
            <v>8.9999999999999993E-3</v>
          </cell>
        </row>
        <row r="372">
          <cell r="B372" t="str">
            <v>90E- SCH  80  2"</v>
          </cell>
          <cell r="C372">
            <v>5.54</v>
          </cell>
          <cell r="D372">
            <v>0.89</v>
          </cell>
          <cell r="E372">
            <v>8.9999999999999993E-3</v>
          </cell>
        </row>
        <row r="373">
          <cell r="B373" t="str">
            <v>90E- SCH  80S  2"</v>
          </cell>
          <cell r="C373">
            <v>5.54</v>
          </cell>
          <cell r="D373">
            <v>0.89</v>
          </cell>
          <cell r="E373">
            <v>8.9999999999999993E-3</v>
          </cell>
        </row>
        <row r="374">
          <cell r="B374" t="str">
            <v>90E- SCH  XXS  2"</v>
          </cell>
          <cell r="C374">
            <v>5.54</v>
          </cell>
          <cell r="D374">
            <v>0.89</v>
          </cell>
          <cell r="E374">
            <v>8.9999999999999993E-3</v>
          </cell>
        </row>
        <row r="375">
          <cell r="B375" t="str">
            <v>90E- SCH  160  2"</v>
          </cell>
          <cell r="C375">
            <v>8.7100000000000009</v>
          </cell>
          <cell r="D375">
            <v>1.33</v>
          </cell>
          <cell r="E375">
            <v>8.9999999999999993E-3</v>
          </cell>
        </row>
        <row r="376">
          <cell r="B376" t="str">
            <v>90E- SCH  XXS  2"</v>
          </cell>
          <cell r="C376">
            <v>11.07</v>
          </cell>
          <cell r="D376">
            <v>1.62</v>
          </cell>
          <cell r="E376">
            <v>8.9999999999999993E-3</v>
          </cell>
        </row>
        <row r="377">
          <cell r="B377" t="str">
            <v>90E- SCH  5S  2.5"</v>
          </cell>
          <cell r="C377">
            <v>2.11</v>
          </cell>
          <cell r="D377">
            <v>0.57999999999999996</v>
          </cell>
          <cell r="E377">
            <v>1.4E-2</v>
          </cell>
        </row>
        <row r="378">
          <cell r="B378" t="str">
            <v>90E- SCH  10S  2.5"</v>
          </cell>
          <cell r="C378">
            <v>3.05</v>
          </cell>
          <cell r="D378">
            <v>0.81</v>
          </cell>
          <cell r="E378">
            <v>1.4E-2</v>
          </cell>
        </row>
        <row r="379">
          <cell r="B379" t="str">
            <v>90E- SCH  40  2.5"</v>
          </cell>
          <cell r="C379">
            <v>5.16</v>
          </cell>
          <cell r="D379">
            <v>1.37</v>
          </cell>
          <cell r="E379">
            <v>1.4E-2</v>
          </cell>
        </row>
        <row r="380">
          <cell r="B380" t="str">
            <v>90E- SCH  40S  2.5"</v>
          </cell>
          <cell r="C380">
            <v>5.16</v>
          </cell>
          <cell r="D380">
            <v>1.37</v>
          </cell>
          <cell r="E380">
            <v>1.4E-2</v>
          </cell>
        </row>
        <row r="381">
          <cell r="B381" t="str">
            <v>90E- SCH  STD  2.5"</v>
          </cell>
          <cell r="C381">
            <v>5.16</v>
          </cell>
          <cell r="D381">
            <v>1.37</v>
          </cell>
          <cell r="E381">
            <v>1.4E-2</v>
          </cell>
        </row>
        <row r="382">
          <cell r="B382" t="str">
            <v>90E- SCH  80  2.5"</v>
          </cell>
          <cell r="C382">
            <v>7.01</v>
          </cell>
          <cell r="D382">
            <v>1.79</v>
          </cell>
          <cell r="E382">
            <v>1.4E-2</v>
          </cell>
        </row>
        <row r="383">
          <cell r="B383" t="str">
            <v>90E- SCH  80S  2.5"</v>
          </cell>
          <cell r="C383">
            <v>7.01</v>
          </cell>
          <cell r="D383">
            <v>1.79</v>
          </cell>
          <cell r="E383">
            <v>1.4E-2</v>
          </cell>
        </row>
        <row r="384">
          <cell r="B384" t="str">
            <v>90E- SCH  XS  2.5"</v>
          </cell>
          <cell r="C384">
            <v>7.01</v>
          </cell>
          <cell r="D384">
            <v>1.79</v>
          </cell>
          <cell r="E384">
            <v>1.4E-2</v>
          </cell>
        </row>
        <row r="385">
          <cell r="B385" t="str">
            <v>90E- SCH  160  2.5"</v>
          </cell>
          <cell r="C385">
            <v>9.52</v>
          </cell>
          <cell r="D385">
            <v>2.34</v>
          </cell>
          <cell r="E385">
            <v>1.4E-2</v>
          </cell>
        </row>
        <row r="386">
          <cell r="B386" t="str">
            <v>90E- SCH  XXS  2.5"</v>
          </cell>
          <cell r="C386">
            <v>14.02</v>
          </cell>
          <cell r="D386">
            <v>3.22</v>
          </cell>
          <cell r="E386">
            <v>1.4E-2</v>
          </cell>
        </row>
        <row r="387">
          <cell r="B387" t="str">
            <v>90E- SCH  5S  3"</v>
          </cell>
          <cell r="C387">
            <v>2.11</v>
          </cell>
          <cell r="D387">
            <v>0.81</v>
          </cell>
          <cell r="E387">
            <v>2.1000000000000001E-2</v>
          </cell>
        </row>
        <row r="388">
          <cell r="B388" t="str">
            <v>90E- SCH  10S  3"</v>
          </cell>
          <cell r="C388">
            <v>3.05</v>
          </cell>
          <cell r="D388">
            <v>1.1399999999999999</v>
          </cell>
          <cell r="E388">
            <v>2.1000000000000001E-2</v>
          </cell>
        </row>
        <row r="389">
          <cell r="B389" t="str">
            <v>90E- SCH  40  3"</v>
          </cell>
          <cell r="C389">
            <v>5.49</v>
          </cell>
          <cell r="D389">
            <v>2.04</v>
          </cell>
          <cell r="E389">
            <v>2.1000000000000001E-2</v>
          </cell>
        </row>
        <row r="390">
          <cell r="B390" t="str">
            <v>90E- SCH  40S  3"</v>
          </cell>
          <cell r="C390">
            <v>5.49</v>
          </cell>
          <cell r="D390">
            <v>2.04</v>
          </cell>
          <cell r="E390">
            <v>2.1000000000000001E-2</v>
          </cell>
        </row>
        <row r="391">
          <cell r="B391" t="str">
            <v>90E- SCH  STD  3"</v>
          </cell>
          <cell r="C391">
            <v>5.49</v>
          </cell>
          <cell r="D391">
            <v>2.04</v>
          </cell>
          <cell r="E391">
            <v>2.1000000000000001E-2</v>
          </cell>
        </row>
        <row r="392">
          <cell r="B392" t="str">
            <v>90E- SCH  80  3"</v>
          </cell>
          <cell r="C392">
            <v>7.62</v>
          </cell>
          <cell r="D392">
            <v>2.74</v>
          </cell>
          <cell r="E392">
            <v>2.1000000000000001E-2</v>
          </cell>
        </row>
        <row r="393">
          <cell r="B393" t="str">
            <v>90E- SCH  80S  3"</v>
          </cell>
          <cell r="C393">
            <v>7.62</v>
          </cell>
          <cell r="D393">
            <v>2.74</v>
          </cell>
          <cell r="E393">
            <v>2.1000000000000001E-2</v>
          </cell>
        </row>
        <row r="394">
          <cell r="B394" t="str">
            <v>90E- SCH  XS  3"</v>
          </cell>
          <cell r="C394">
            <v>7.62</v>
          </cell>
          <cell r="D394">
            <v>2.74</v>
          </cell>
          <cell r="E394">
            <v>2.1000000000000001E-2</v>
          </cell>
        </row>
        <row r="395">
          <cell r="B395" t="str">
            <v>90E- SCH  160  3"</v>
          </cell>
          <cell r="C395">
            <v>11.13</v>
          </cell>
          <cell r="D395">
            <v>3.83</v>
          </cell>
          <cell r="E395">
            <v>2.1000000000000001E-2</v>
          </cell>
        </row>
        <row r="396">
          <cell r="B396" t="str">
            <v>90E- SCH  XXS  3"</v>
          </cell>
          <cell r="C396">
            <v>15.24</v>
          </cell>
          <cell r="D396">
            <v>4.97</v>
          </cell>
          <cell r="E396">
            <v>2.1000000000000001E-2</v>
          </cell>
        </row>
        <row r="397">
          <cell r="B397" t="str">
            <v>90E- SCH  5S  4"</v>
          </cell>
          <cell r="C397">
            <v>2.11</v>
          </cell>
          <cell r="D397">
            <v>1.39</v>
          </cell>
          <cell r="E397">
            <v>3.6999999999999998E-2</v>
          </cell>
        </row>
        <row r="398">
          <cell r="B398" t="str">
            <v>90E- SCH  10S  4"</v>
          </cell>
          <cell r="C398">
            <v>3.05</v>
          </cell>
          <cell r="D398">
            <v>1.97</v>
          </cell>
          <cell r="E398">
            <v>3.6999999999999998E-2</v>
          </cell>
        </row>
        <row r="399">
          <cell r="B399" t="str">
            <v>90E- SCH  40  4"</v>
          </cell>
          <cell r="C399">
            <v>6.02</v>
          </cell>
          <cell r="D399">
            <v>3.84</v>
          </cell>
          <cell r="E399">
            <v>3.6999999999999998E-2</v>
          </cell>
        </row>
        <row r="400">
          <cell r="B400" t="str">
            <v>90E- SCH  40S  4"</v>
          </cell>
          <cell r="C400">
            <v>6.02</v>
          </cell>
          <cell r="D400">
            <v>3.84</v>
          </cell>
          <cell r="E400">
            <v>3.6999999999999998E-2</v>
          </cell>
        </row>
        <row r="401">
          <cell r="B401" t="str">
            <v>90E- SCH  STD  4"</v>
          </cell>
          <cell r="C401">
            <v>6.02</v>
          </cell>
          <cell r="D401">
            <v>3.84</v>
          </cell>
          <cell r="E401">
            <v>3.6999999999999998E-2</v>
          </cell>
        </row>
        <row r="402">
          <cell r="B402" t="str">
            <v>90E- SCH  80  4"</v>
          </cell>
          <cell r="C402">
            <v>8.56</v>
          </cell>
          <cell r="D402">
            <v>5.36</v>
          </cell>
          <cell r="E402">
            <v>3.6999999999999998E-2</v>
          </cell>
        </row>
        <row r="403">
          <cell r="B403" t="str">
            <v>90E- SCH  80S  4"</v>
          </cell>
          <cell r="C403">
            <v>8.56</v>
          </cell>
          <cell r="D403">
            <v>5.36</v>
          </cell>
          <cell r="E403">
            <v>3.6999999999999998E-2</v>
          </cell>
        </row>
        <row r="404">
          <cell r="B404" t="str">
            <v>90E- SCH  XS  4"</v>
          </cell>
          <cell r="C404">
            <v>8.56</v>
          </cell>
          <cell r="D404">
            <v>5.36</v>
          </cell>
          <cell r="E404">
            <v>3.6999999999999998E-2</v>
          </cell>
        </row>
        <row r="405">
          <cell r="B405" t="str">
            <v>90E- SCH  160  4"</v>
          </cell>
          <cell r="C405">
            <v>13.49</v>
          </cell>
          <cell r="D405">
            <v>8.0299999999999994</v>
          </cell>
          <cell r="E405">
            <v>3.6999999999999998E-2</v>
          </cell>
        </row>
        <row r="406">
          <cell r="B406" t="str">
            <v>90E- SCH  XXS  4"</v>
          </cell>
          <cell r="C406">
            <v>17.12</v>
          </cell>
          <cell r="D406">
            <v>9.81</v>
          </cell>
          <cell r="E406">
            <v>3.6999999999999998E-2</v>
          </cell>
        </row>
        <row r="407">
          <cell r="B407" t="str">
            <v>90E- SCH  5S  5"</v>
          </cell>
          <cell r="C407">
            <v>2.77</v>
          </cell>
          <cell r="D407">
            <v>2.83</v>
          </cell>
          <cell r="E407">
            <v>5.8000000000000003E-2</v>
          </cell>
        </row>
        <row r="408">
          <cell r="B408" t="str">
            <v>90E- SCH  10S  5"</v>
          </cell>
          <cell r="C408">
            <v>3.4</v>
          </cell>
          <cell r="D408">
            <v>3.42</v>
          </cell>
          <cell r="E408">
            <v>5.8000000000000003E-2</v>
          </cell>
        </row>
        <row r="409">
          <cell r="B409" t="str">
            <v>90E- SCH  40  5"</v>
          </cell>
          <cell r="C409">
            <v>6.55</v>
          </cell>
          <cell r="D409">
            <v>6.48</v>
          </cell>
          <cell r="E409">
            <v>5.8000000000000003E-2</v>
          </cell>
        </row>
        <row r="410">
          <cell r="B410" t="str">
            <v>90E- SCH  40S  5"</v>
          </cell>
          <cell r="C410">
            <v>6.55</v>
          </cell>
          <cell r="D410">
            <v>6.48</v>
          </cell>
          <cell r="E410">
            <v>5.8000000000000003E-2</v>
          </cell>
        </row>
        <row r="411">
          <cell r="B411" t="str">
            <v>90E- SCH  STD  5"</v>
          </cell>
          <cell r="C411">
            <v>6.55</v>
          </cell>
          <cell r="D411">
            <v>6.48</v>
          </cell>
          <cell r="E411">
            <v>5.8000000000000003E-2</v>
          </cell>
        </row>
        <row r="412">
          <cell r="B412" t="str">
            <v>90E- SCH  80  5"</v>
          </cell>
          <cell r="C412">
            <v>9.52</v>
          </cell>
          <cell r="D412">
            <v>9.1300000000000008</v>
          </cell>
          <cell r="E412">
            <v>5.8000000000000003E-2</v>
          </cell>
        </row>
        <row r="413">
          <cell r="B413" t="str">
            <v>90E- SCH  80S  5"</v>
          </cell>
          <cell r="C413">
            <v>9.52</v>
          </cell>
          <cell r="D413">
            <v>9.1300000000000008</v>
          </cell>
          <cell r="E413">
            <v>5.8000000000000003E-2</v>
          </cell>
        </row>
        <row r="414">
          <cell r="B414" t="str">
            <v>90E- SCH  XS  5"</v>
          </cell>
          <cell r="C414">
            <v>9.52</v>
          </cell>
          <cell r="D414">
            <v>9.1300000000000008</v>
          </cell>
          <cell r="E414">
            <v>5.8000000000000003E-2</v>
          </cell>
        </row>
        <row r="415">
          <cell r="B415" t="str">
            <v>90E- SCH  160  5"</v>
          </cell>
          <cell r="C415">
            <v>15.87</v>
          </cell>
          <cell r="D415">
            <v>14.5</v>
          </cell>
          <cell r="E415">
            <v>5.8000000000000003E-2</v>
          </cell>
        </row>
        <row r="416">
          <cell r="B416" t="str">
            <v>90E- SCH  XXS  5"</v>
          </cell>
          <cell r="C416">
            <v>19.05</v>
          </cell>
          <cell r="D416">
            <v>16.899999999999999</v>
          </cell>
          <cell r="E416">
            <v>5.8000000000000003E-2</v>
          </cell>
        </row>
        <row r="417">
          <cell r="B417" t="str">
            <v>90E- SCH  5S  6"</v>
          </cell>
          <cell r="C417">
            <v>2.77</v>
          </cell>
          <cell r="D417">
            <v>4.03</v>
          </cell>
          <cell r="E417">
            <v>8.3000000000000004E-2</v>
          </cell>
        </row>
        <row r="418">
          <cell r="B418" t="str">
            <v>90E- SCH  10S  6"</v>
          </cell>
          <cell r="C418">
            <v>3.4</v>
          </cell>
          <cell r="D418">
            <v>4.87</v>
          </cell>
          <cell r="E418">
            <v>8.3000000000000004E-2</v>
          </cell>
        </row>
        <row r="419">
          <cell r="B419" t="str">
            <v>90E- SCH  40  6"</v>
          </cell>
          <cell r="C419">
            <v>7.11</v>
          </cell>
          <cell r="D419">
            <v>9.94</v>
          </cell>
          <cell r="E419">
            <v>8.3000000000000004E-2</v>
          </cell>
        </row>
        <row r="420">
          <cell r="B420" t="str">
            <v>90E- SCH  40S  6"</v>
          </cell>
          <cell r="C420">
            <v>7.11</v>
          </cell>
          <cell r="D420">
            <v>9.94</v>
          </cell>
          <cell r="E420">
            <v>8.3000000000000004E-2</v>
          </cell>
        </row>
        <row r="421">
          <cell r="B421" t="str">
            <v>90E- SCH  STD  6"</v>
          </cell>
          <cell r="C421">
            <v>7.11</v>
          </cell>
          <cell r="D421">
            <v>9.94</v>
          </cell>
          <cell r="E421">
            <v>8.3000000000000004E-2</v>
          </cell>
        </row>
        <row r="422">
          <cell r="B422" t="str">
            <v>90E- SCH  80  6"</v>
          </cell>
          <cell r="C422">
            <v>10.97</v>
          </cell>
          <cell r="D422">
            <v>15</v>
          </cell>
          <cell r="E422">
            <v>8.3000000000000004E-2</v>
          </cell>
        </row>
        <row r="423">
          <cell r="B423" t="str">
            <v>90E- SCH  80S  6"</v>
          </cell>
          <cell r="C423">
            <v>10.97</v>
          </cell>
          <cell r="D423">
            <v>15</v>
          </cell>
          <cell r="E423">
            <v>8.3000000000000004E-2</v>
          </cell>
        </row>
        <row r="424">
          <cell r="B424" t="str">
            <v>90E- SCH  XS  6"</v>
          </cell>
          <cell r="C424">
            <v>10.97</v>
          </cell>
          <cell r="D424">
            <v>15</v>
          </cell>
          <cell r="E424">
            <v>8.3000000000000004E-2</v>
          </cell>
        </row>
        <row r="425">
          <cell r="B425" t="str">
            <v>90E- SCH  160  6"</v>
          </cell>
          <cell r="C425">
            <v>18.239999999999998</v>
          </cell>
          <cell r="D425">
            <v>23.7</v>
          </cell>
          <cell r="E425">
            <v>8.3000000000000004E-2</v>
          </cell>
        </row>
        <row r="426">
          <cell r="B426" t="str">
            <v>90E- SCH  XXS  6"</v>
          </cell>
          <cell r="C426">
            <v>21.95</v>
          </cell>
          <cell r="D426">
            <v>27.8</v>
          </cell>
          <cell r="E426">
            <v>8.3000000000000004E-2</v>
          </cell>
        </row>
        <row r="427">
          <cell r="B427" t="str">
            <v>90E- SCH  5S  8"</v>
          </cell>
          <cell r="C427">
            <v>2.77</v>
          </cell>
          <cell r="D427">
            <v>7.06</v>
          </cell>
          <cell r="E427">
            <v>0.14799999999999999</v>
          </cell>
        </row>
        <row r="428">
          <cell r="B428" t="str">
            <v>90E- SCH  10S  8"</v>
          </cell>
          <cell r="C428">
            <v>3.76</v>
          </cell>
          <cell r="D428">
            <v>10</v>
          </cell>
          <cell r="E428">
            <v>0.14799999999999999</v>
          </cell>
        </row>
        <row r="429">
          <cell r="B429" t="str">
            <v>90E- SCH  20  8"</v>
          </cell>
          <cell r="C429">
            <v>6.35</v>
          </cell>
          <cell r="D429">
            <v>16.600000000000001</v>
          </cell>
          <cell r="E429">
            <v>0.14799999999999999</v>
          </cell>
        </row>
        <row r="430">
          <cell r="B430" t="str">
            <v>90E- SCH  30  8"</v>
          </cell>
          <cell r="C430">
            <v>7.04</v>
          </cell>
          <cell r="D430">
            <v>17.5</v>
          </cell>
          <cell r="E430">
            <v>0.14799999999999999</v>
          </cell>
        </row>
        <row r="431">
          <cell r="B431" t="str">
            <v>90E- SCH  40  8"</v>
          </cell>
          <cell r="C431">
            <v>8.18</v>
          </cell>
          <cell r="D431">
            <v>20.100000000000001</v>
          </cell>
          <cell r="E431">
            <v>0.14799999999999999</v>
          </cell>
        </row>
        <row r="432">
          <cell r="B432" t="str">
            <v>90E- SCH  40S  8"</v>
          </cell>
          <cell r="C432">
            <v>8.18</v>
          </cell>
          <cell r="D432">
            <v>20.100000000000001</v>
          </cell>
          <cell r="E432">
            <v>0.14799999999999999</v>
          </cell>
        </row>
        <row r="433">
          <cell r="B433" t="str">
            <v>90E- SCH  STD  8"</v>
          </cell>
          <cell r="C433">
            <v>8.18</v>
          </cell>
          <cell r="D433">
            <v>20.100000000000001</v>
          </cell>
          <cell r="E433">
            <v>0.14799999999999999</v>
          </cell>
        </row>
        <row r="434">
          <cell r="B434" t="str">
            <v>90E- SCH  60  8"</v>
          </cell>
          <cell r="C434">
            <v>10.31</v>
          </cell>
          <cell r="D434">
            <v>26.3</v>
          </cell>
          <cell r="E434">
            <v>0.14799999999999999</v>
          </cell>
        </row>
        <row r="435">
          <cell r="B435" t="str">
            <v>90E- SCH  80  8"</v>
          </cell>
          <cell r="C435">
            <v>12.7</v>
          </cell>
          <cell r="D435">
            <v>30.5</v>
          </cell>
          <cell r="E435">
            <v>0.14799999999999999</v>
          </cell>
        </row>
        <row r="436">
          <cell r="B436" t="str">
            <v>90E- SCH  80S  8"</v>
          </cell>
          <cell r="C436">
            <v>12.7</v>
          </cell>
          <cell r="D436">
            <v>30.5</v>
          </cell>
          <cell r="E436">
            <v>0.14799999999999999</v>
          </cell>
        </row>
        <row r="437">
          <cell r="B437" t="str">
            <v>90E- SCH  XS  8"</v>
          </cell>
          <cell r="C437">
            <v>12.7</v>
          </cell>
          <cell r="D437">
            <v>30.5</v>
          </cell>
          <cell r="E437">
            <v>0.14799999999999999</v>
          </cell>
        </row>
        <row r="438">
          <cell r="B438" t="str">
            <v>90E- SCH  100  8"</v>
          </cell>
          <cell r="C438">
            <v>15.06</v>
          </cell>
          <cell r="D438">
            <v>38</v>
          </cell>
          <cell r="E438">
            <v>0.14799999999999999</v>
          </cell>
        </row>
        <row r="439">
          <cell r="B439" t="str">
            <v>90E- SCH  120  8"</v>
          </cell>
          <cell r="C439">
            <v>18.239999999999998</v>
          </cell>
          <cell r="D439">
            <v>42.5</v>
          </cell>
          <cell r="E439">
            <v>0.14799999999999999</v>
          </cell>
        </row>
        <row r="440">
          <cell r="B440" t="str">
            <v>90E- SCH  140  8"</v>
          </cell>
          <cell r="C440">
            <v>20.62</v>
          </cell>
          <cell r="D440">
            <v>46</v>
          </cell>
          <cell r="E440">
            <v>0.14799999999999999</v>
          </cell>
        </row>
        <row r="441">
          <cell r="B441" t="str">
            <v>90E- SCH  XXS  8"</v>
          </cell>
          <cell r="C441">
            <v>22.22</v>
          </cell>
          <cell r="D441">
            <v>50.8</v>
          </cell>
          <cell r="E441">
            <v>0.14799999999999999</v>
          </cell>
        </row>
        <row r="442">
          <cell r="B442" t="str">
            <v>90E- SCH  160  8"</v>
          </cell>
          <cell r="C442">
            <v>23.01</v>
          </cell>
          <cell r="D442">
            <v>52.5</v>
          </cell>
          <cell r="E442">
            <v>0.14799999999999999</v>
          </cell>
        </row>
        <row r="443">
          <cell r="B443" t="str">
            <v>90E- SCH  5S  10"</v>
          </cell>
          <cell r="C443">
            <v>3.4</v>
          </cell>
          <cell r="D443">
            <v>13.2</v>
          </cell>
          <cell r="E443">
            <v>0.23100000000000001</v>
          </cell>
        </row>
        <row r="444">
          <cell r="B444" t="str">
            <v>90E- SCH  10S  10"</v>
          </cell>
          <cell r="C444">
            <v>4.1900000000000004</v>
          </cell>
          <cell r="D444">
            <v>15.5</v>
          </cell>
          <cell r="E444">
            <v>0.23100000000000001</v>
          </cell>
        </row>
        <row r="445">
          <cell r="B445" t="str">
            <v>90E- SCH  20  10"</v>
          </cell>
          <cell r="C445">
            <v>6.35</v>
          </cell>
          <cell r="D445">
            <v>25.7</v>
          </cell>
          <cell r="E445">
            <v>0.23100000000000001</v>
          </cell>
        </row>
        <row r="446">
          <cell r="B446" t="str">
            <v>90E- SCH  30  10"</v>
          </cell>
          <cell r="C446">
            <v>7.8</v>
          </cell>
          <cell r="D446">
            <v>31.3</v>
          </cell>
          <cell r="E446">
            <v>0.23100000000000001</v>
          </cell>
        </row>
        <row r="447">
          <cell r="B447" t="str">
            <v>90E- SCH  40  10"</v>
          </cell>
          <cell r="C447">
            <v>9.27</v>
          </cell>
          <cell r="D447">
            <v>35.4</v>
          </cell>
          <cell r="E447">
            <v>0.23100000000000001</v>
          </cell>
        </row>
        <row r="448">
          <cell r="B448" t="str">
            <v>90E- SCH  40S  10"</v>
          </cell>
          <cell r="C448">
            <v>9.27</v>
          </cell>
          <cell r="D448">
            <v>35.4</v>
          </cell>
          <cell r="E448">
            <v>0.23100000000000001</v>
          </cell>
        </row>
        <row r="449">
          <cell r="B449" t="str">
            <v>90E- SCH  STD  10"</v>
          </cell>
          <cell r="C449">
            <v>9.27</v>
          </cell>
          <cell r="D449">
            <v>35.4</v>
          </cell>
          <cell r="E449">
            <v>0.23100000000000001</v>
          </cell>
        </row>
        <row r="450">
          <cell r="B450" t="str">
            <v>90E- SCH  60  10"</v>
          </cell>
          <cell r="C450">
            <v>12.7</v>
          </cell>
          <cell r="D450">
            <v>48</v>
          </cell>
          <cell r="E450">
            <v>0.23100000000000001</v>
          </cell>
        </row>
        <row r="451">
          <cell r="B451" t="str">
            <v>90E- SCH  60S  10"</v>
          </cell>
          <cell r="C451">
            <v>12.7</v>
          </cell>
          <cell r="D451">
            <v>48</v>
          </cell>
          <cell r="E451">
            <v>0.23100000000000001</v>
          </cell>
        </row>
        <row r="452">
          <cell r="B452" t="str">
            <v>90E- SCH  XS  10"</v>
          </cell>
          <cell r="C452">
            <v>12.7</v>
          </cell>
          <cell r="D452">
            <v>48</v>
          </cell>
          <cell r="E452">
            <v>0.23100000000000001</v>
          </cell>
        </row>
        <row r="453">
          <cell r="B453" t="str">
            <v>90E- SCH  80  10"</v>
          </cell>
          <cell r="C453">
            <v>15.06</v>
          </cell>
          <cell r="D453">
            <v>56.2</v>
          </cell>
          <cell r="E453">
            <v>0.23100000000000001</v>
          </cell>
        </row>
        <row r="454">
          <cell r="B454" t="str">
            <v>90E- SCH  100  10"</v>
          </cell>
          <cell r="C454">
            <v>18.239999999999998</v>
          </cell>
          <cell r="D454">
            <v>75</v>
          </cell>
          <cell r="E454">
            <v>0.23100000000000001</v>
          </cell>
        </row>
        <row r="455">
          <cell r="B455" t="str">
            <v>90E- SCH  120  10"</v>
          </cell>
          <cell r="C455">
            <v>21.41</v>
          </cell>
          <cell r="D455">
            <v>77.599999999999994</v>
          </cell>
          <cell r="E455">
            <v>0.23100000000000001</v>
          </cell>
        </row>
        <row r="456">
          <cell r="B456" t="str">
            <v>90E- SCH  140  10"</v>
          </cell>
          <cell r="C456">
            <v>25.4</v>
          </cell>
          <cell r="D456">
            <v>90.7</v>
          </cell>
          <cell r="E456">
            <v>0.23100000000000001</v>
          </cell>
        </row>
        <row r="457">
          <cell r="B457" t="str">
            <v>90E- SCH  XXS  10"</v>
          </cell>
          <cell r="C457">
            <v>25.4</v>
          </cell>
          <cell r="D457">
            <v>90.7</v>
          </cell>
          <cell r="E457">
            <v>0.23100000000000001</v>
          </cell>
        </row>
        <row r="458">
          <cell r="B458" t="str">
            <v>90E- SCH  160  10"</v>
          </cell>
          <cell r="C458">
            <v>28.57</v>
          </cell>
          <cell r="D458">
            <v>101</v>
          </cell>
          <cell r="E458">
            <v>0.23100000000000001</v>
          </cell>
        </row>
        <row r="459">
          <cell r="B459" t="str">
            <v>90E- SCH  5S  12"</v>
          </cell>
          <cell r="C459">
            <v>4.1900000000000004</v>
          </cell>
          <cell r="D459">
            <v>22.3</v>
          </cell>
          <cell r="E459">
            <v>0.33300000000000002</v>
          </cell>
        </row>
        <row r="460">
          <cell r="B460" t="str">
            <v>90E- SCH  10S  12"</v>
          </cell>
          <cell r="C460">
            <v>4.57</v>
          </cell>
          <cell r="D460">
            <v>25</v>
          </cell>
          <cell r="E460">
            <v>0.33300000000000002</v>
          </cell>
        </row>
        <row r="461">
          <cell r="B461" t="str">
            <v>90E- SCH  20  12"</v>
          </cell>
          <cell r="C461">
            <v>6.35</v>
          </cell>
          <cell r="D461">
            <v>37.229999999999997</v>
          </cell>
          <cell r="E461">
            <v>0.33300000000000002</v>
          </cell>
        </row>
        <row r="462">
          <cell r="B462" t="str">
            <v>90E- SCH  30  12"</v>
          </cell>
          <cell r="C462">
            <v>8.3800000000000008</v>
          </cell>
          <cell r="D462">
            <v>46.06</v>
          </cell>
          <cell r="E462">
            <v>0.33300000000000002</v>
          </cell>
        </row>
        <row r="463">
          <cell r="B463" t="str">
            <v>90E- SCH  STD  12"</v>
          </cell>
          <cell r="C463">
            <v>9.52</v>
          </cell>
          <cell r="D463">
            <v>54</v>
          </cell>
          <cell r="E463">
            <v>0.33300000000000002</v>
          </cell>
        </row>
        <row r="464">
          <cell r="B464" t="str">
            <v>90E- SCH  40S  12"</v>
          </cell>
          <cell r="C464">
            <v>9.52</v>
          </cell>
          <cell r="D464">
            <v>54</v>
          </cell>
          <cell r="E464">
            <v>0.33300000000000002</v>
          </cell>
        </row>
        <row r="465">
          <cell r="B465" t="str">
            <v>90E- SCH  40  12"</v>
          </cell>
          <cell r="C465">
            <v>10.31</v>
          </cell>
          <cell r="D465">
            <v>56.2</v>
          </cell>
          <cell r="E465">
            <v>0.33300000000000002</v>
          </cell>
        </row>
        <row r="466">
          <cell r="B466" t="str">
            <v>90E- SCH  XS  12"</v>
          </cell>
          <cell r="C466">
            <v>12.7</v>
          </cell>
          <cell r="D466">
            <v>70</v>
          </cell>
          <cell r="E466">
            <v>0.33300000000000002</v>
          </cell>
        </row>
        <row r="467">
          <cell r="B467" t="str">
            <v>90E- SCH  80S  12"</v>
          </cell>
          <cell r="C467">
            <v>12.7</v>
          </cell>
          <cell r="D467">
            <v>70</v>
          </cell>
          <cell r="E467">
            <v>0.33300000000000002</v>
          </cell>
        </row>
        <row r="468">
          <cell r="B468" t="str">
            <v>90E- SCH  60  12"</v>
          </cell>
          <cell r="C468">
            <v>14.27</v>
          </cell>
          <cell r="D468">
            <v>82.6</v>
          </cell>
          <cell r="E468">
            <v>0.33300000000000002</v>
          </cell>
        </row>
        <row r="469">
          <cell r="B469" t="str">
            <v>90E- SCH  80  12"</v>
          </cell>
          <cell r="C469">
            <v>17.45</v>
          </cell>
          <cell r="D469">
            <v>92.7</v>
          </cell>
          <cell r="E469">
            <v>0.33300000000000002</v>
          </cell>
        </row>
        <row r="470">
          <cell r="B470" t="str">
            <v>90E- SCH  100  12"</v>
          </cell>
          <cell r="C470">
            <v>21.41</v>
          </cell>
          <cell r="D470">
            <v>123</v>
          </cell>
          <cell r="E470">
            <v>0.33300000000000002</v>
          </cell>
        </row>
        <row r="471">
          <cell r="B471" t="str">
            <v>90E- SCH  XXS  12"</v>
          </cell>
          <cell r="C471">
            <v>25.4</v>
          </cell>
          <cell r="D471">
            <v>132</v>
          </cell>
          <cell r="E471">
            <v>0.33300000000000002</v>
          </cell>
        </row>
        <row r="472">
          <cell r="B472" t="str">
            <v>90E- SCH  120  12"</v>
          </cell>
          <cell r="C472">
            <v>25.4</v>
          </cell>
          <cell r="D472">
            <v>132</v>
          </cell>
          <cell r="E472">
            <v>0.33300000000000002</v>
          </cell>
        </row>
        <row r="473">
          <cell r="B473" t="str">
            <v>90E- SCH  140  12"</v>
          </cell>
          <cell r="C473">
            <v>28.57</v>
          </cell>
          <cell r="D473">
            <v>157</v>
          </cell>
          <cell r="E473">
            <v>0.33300000000000002</v>
          </cell>
        </row>
        <row r="474">
          <cell r="B474" t="str">
            <v>90E- SCH  160  12"</v>
          </cell>
          <cell r="C474">
            <v>33.32</v>
          </cell>
          <cell r="D474">
            <v>168</v>
          </cell>
          <cell r="E474">
            <v>0.33300000000000002</v>
          </cell>
        </row>
        <row r="475">
          <cell r="B475" t="str">
            <v>90E- SCH  5S  14"</v>
          </cell>
          <cell r="C475">
            <v>3.96</v>
          </cell>
          <cell r="D475">
            <v>29</v>
          </cell>
          <cell r="E475">
            <v>0.45300000000000001</v>
          </cell>
        </row>
        <row r="476">
          <cell r="B476" t="str">
            <v>90E- SCH  10S  14"</v>
          </cell>
          <cell r="C476">
            <v>4.78</v>
          </cell>
          <cell r="D476">
            <v>34.799999999999997</v>
          </cell>
          <cell r="E476">
            <v>0.45300000000000001</v>
          </cell>
        </row>
        <row r="477">
          <cell r="B477" t="str">
            <v>90E- SCH  10  14"</v>
          </cell>
          <cell r="C477">
            <v>6.35</v>
          </cell>
          <cell r="D477">
            <v>57.5</v>
          </cell>
          <cell r="E477">
            <v>0.45300000000000001</v>
          </cell>
        </row>
        <row r="478">
          <cell r="B478" t="str">
            <v>90E- SCH  20  14"</v>
          </cell>
          <cell r="C478">
            <v>7.92</v>
          </cell>
          <cell r="D478">
            <v>59.9</v>
          </cell>
          <cell r="E478">
            <v>0.45300000000000001</v>
          </cell>
        </row>
        <row r="479">
          <cell r="B479" t="str">
            <v>90E- SCH  30  14"</v>
          </cell>
          <cell r="C479">
            <v>9.52</v>
          </cell>
          <cell r="D479">
            <v>68</v>
          </cell>
          <cell r="E479">
            <v>0.45300000000000001</v>
          </cell>
        </row>
        <row r="480">
          <cell r="B480" t="str">
            <v>90E- SCH  STD  14"</v>
          </cell>
          <cell r="C480">
            <v>9.52</v>
          </cell>
          <cell r="D480">
            <v>68</v>
          </cell>
          <cell r="E480">
            <v>0.45300000000000001</v>
          </cell>
        </row>
        <row r="481">
          <cell r="B481" t="str">
            <v>90E- SCH  40  14"</v>
          </cell>
          <cell r="C481">
            <v>11.13</v>
          </cell>
          <cell r="D481">
            <v>79.900000000000006</v>
          </cell>
          <cell r="E481">
            <v>0.45300000000000001</v>
          </cell>
        </row>
        <row r="482">
          <cell r="B482" t="str">
            <v>90E- SCH  XS  14"</v>
          </cell>
          <cell r="C482">
            <v>12.7</v>
          </cell>
          <cell r="D482">
            <v>94.4</v>
          </cell>
          <cell r="E482">
            <v>0.45300000000000001</v>
          </cell>
        </row>
        <row r="483">
          <cell r="B483" t="str">
            <v>90E- SCH  60  14"</v>
          </cell>
          <cell r="C483">
            <v>15.06</v>
          </cell>
          <cell r="D483">
            <v>111.3</v>
          </cell>
          <cell r="E483">
            <v>0.45300000000000001</v>
          </cell>
        </row>
        <row r="484">
          <cell r="B484" t="str">
            <v>90E- SCH  80  14"</v>
          </cell>
          <cell r="C484">
            <v>19.05</v>
          </cell>
          <cell r="D484">
            <v>132</v>
          </cell>
          <cell r="E484">
            <v>0.45300000000000001</v>
          </cell>
        </row>
        <row r="485">
          <cell r="B485" t="str">
            <v>90E- SCH  100  14"</v>
          </cell>
          <cell r="C485">
            <v>23.8</v>
          </cell>
          <cell r="D485">
            <v>188</v>
          </cell>
          <cell r="E485">
            <v>0.45300000000000001</v>
          </cell>
        </row>
        <row r="486">
          <cell r="B486" t="str">
            <v>90E- SCH  120  14"</v>
          </cell>
          <cell r="C486">
            <v>27.76</v>
          </cell>
          <cell r="D486">
            <v>190</v>
          </cell>
          <cell r="E486">
            <v>0.45300000000000001</v>
          </cell>
        </row>
        <row r="487">
          <cell r="B487" t="str">
            <v>90E- SCH  140  14"</v>
          </cell>
          <cell r="C487">
            <v>31.75</v>
          </cell>
          <cell r="D487">
            <v>224</v>
          </cell>
          <cell r="E487">
            <v>0.45300000000000001</v>
          </cell>
        </row>
        <row r="488">
          <cell r="B488" t="str">
            <v>90E- SCH  160  14"</v>
          </cell>
          <cell r="C488">
            <v>35.71</v>
          </cell>
          <cell r="D488">
            <v>236</v>
          </cell>
          <cell r="E488">
            <v>0.45300000000000001</v>
          </cell>
        </row>
        <row r="489">
          <cell r="B489" t="str">
            <v>90E- SCH  5S  16"</v>
          </cell>
          <cell r="C489">
            <v>4.1900000000000004</v>
          </cell>
          <cell r="D489">
            <v>45.3</v>
          </cell>
          <cell r="E489">
            <v>0.59199999999999997</v>
          </cell>
        </row>
        <row r="490">
          <cell r="B490" t="str">
            <v>90E- SCH  10S  16"</v>
          </cell>
          <cell r="C490">
            <v>4.76</v>
          </cell>
          <cell r="D490">
            <v>47.5</v>
          </cell>
          <cell r="E490">
            <v>0.59199999999999997</v>
          </cell>
        </row>
        <row r="491">
          <cell r="B491" t="str">
            <v>90E- SCH  10  16"</v>
          </cell>
          <cell r="C491">
            <v>6.35</v>
          </cell>
          <cell r="D491">
            <v>63.2</v>
          </cell>
          <cell r="E491">
            <v>0.59199999999999997</v>
          </cell>
        </row>
        <row r="492">
          <cell r="B492" t="str">
            <v>90E- SCH  20  16"</v>
          </cell>
          <cell r="C492">
            <v>7.92</v>
          </cell>
          <cell r="D492">
            <v>74.3</v>
          </cell>
          <cell r="E492">
            <v>0.59199999999999997</v>
          </cell>
        </row>
        <row r="493">
          <cell r="B493" t="str">
            <v>90E- SCH  STD  16"</v>
          </cell>
          <cell r="C493">
            <v>9.52</v>
          </cell>
          <cell r="D493">
            <v>89</v>
          </cell>
          <cell r="E493">
            <v>0.59199999999999997</v>
          </cell>
        </row>
        <row r="494">
          <cell r="B494" t="str">
            <v>90E- SCH  30  16"</v>
          </cell>
          <cell r="C494">
            <v>9.52</v>
          </cell>
          <cell r="D494">
            <v>89</v>
          </cell>
          <cell r="E494">
            <v>0.59199999999999997</v>
          </cell>
        </row>
        <row r="495">
          <cell r="B495" t="str">
            <v>90E- SCH  XS  16"</v>
          </cell>
          <cell r="C495">
            <v>12.7</v>
          </cell>
          <cell r="D495">
            <v>118</v>
          </cell>
          <cell r="E495">
            <v>0.59199999999999997</v>
          </cell>
        </row>
        <row r="496">
          <cell r="B496" t="str">
            <v>90E- SCH  40  16"</v>
          </cell>
          <cell r="C496">
            <v>12.7</v>
          </cell>
          <cell r="D496">
            <v>118</v>
          </cell>
          <cell r="E496">
            <v>0.59199999999999997</v>
          </cell>
        </row>
        <row r="497">
          <cell r="B497" t="str">
            <v>90E- SCH  60  16"</v>
          </cell>
          <cell r="C497">
            <v>16.66</v>
          </cell>
          <cell r="D497">
            <v>153.6</v>
          </cell>
          <cell r="E497">
            <v>0.59199999999999997</v>
          </cell>
        </row>
        <row r="498">
          <cell r="B498" t="str">
            <v>90E- SCH  80  16"</v>
          </cell>
          <cell r="C498">
            <v>21.41</v>
          </cell>
          <cell r="D498">
            <v>194</v>
          </cell>
          <cell r="E498">
            <v>0.59199999999999997</v>
          </cell>
        </row>
        <row r="499">
          <cell r="B499" t="str">
            <v>90E- SCH  100  16"</v>
          </cell>
          <cell r="C499">
            <v>26.19</v>
          </cell>
          <cell r="D499">
            <v>235.2</v>
          </cell>
          <cell r="E499">
            <v>0.59199999999999997</v>
          </cell>
        </row>
        <row r="500">
          <cell r="B500" t="str">
            <v>90E- SCH  120  16"</v>
          </cell>
          <cell r="C500">
            <v>30.94</v>
          </cell>
          <cell r="D500">
            <v>274</v>
          </cell>
          <cell r="E500">
            <v>0.59199999999999997</v>
          </cell>
        </row>
        <row r="501">
          <cell r="B501" t="str">
            <v>90E- SCH  140  16"</v>
          </cell>
          <cell r="C501">
            <v>36.53</v>
          </cell>
          <cell r="D501">
            <v>318.8</v>
          </cell>
          <cell r="E501">
            <v>0.59199999999999997</v>
          </cell>
        </row>
        <row r="502">
          <cell r="B502" t="str">
            <v>90E- SCH  160  16"</v>
          </cell>
          <cell r="C502">
            <v>40.46</v>
          </cell>
          <cell r="D502">
            <v>350</v>
          </cell>
          <cell r="E502">
            <v>0.59199999999999997</v>
          </cell>
        </row>
        <row r="503">
          <cell r="B503" t="str">
            <v>90E- SCH  5S  18"</v>
          </cell>
          <cell r="C503">
            <v>4.1900000000000004</v>
          </cell>
          <cell r="D503">
            <v>56.6</v>
          </cell>
          <cell r="E503">
            <v>0.749</v>
          </cell>
        </row>
        <row r="504">
          <cell r="B504" t="str">
            <v>90E- SCH  10S  18"</v>
          </cell>
          <cell r="C504">
            <v>4.78</v>
          </cell>
          <cell r="D504">
            <v>60</v>
          </cell>
          <cell r="E504">
            <v>0.749</v>
          </cell>
        </row>
        <row r="505">
          <cell r="B505" t="str">
            <v>90E- SCH  10  18"</v>
          </cell>
          <cell r="C505">
            <v>6.35</v>
          </cell>
          <cell r="D505">
            <v>82</v>
          </cell>
          <cell r="E505">
            <v>0.749</v>
          </cell>
        </row>
        <row r="506">
          <cell r="B506" t="str">
            <v>90E- SCH  20  18"</v>
          </cell>
          <cell r="C506">
            <v>7.92</v>
          </cell>
          <cell r="D506">
            <v>94.3</v>
          </cell>
          <cell r="E506">
            <v>0.749</v>
          </cell>
        </row>
        <row r="507">
          <cell r="B507" t="str">
            <v>90E- SCH  STD  18"</v>
          </cell>
          <cell r="C507">
            <v>9.52</v>
          </cell>
          <cell r="D507">
            <v>112.5</v>
          </cell>
          <cell r="E507">
            <v>0.749</v>
          </cell>
        </row>
        <row r="508">
          <cell r="B508" t="str">
            <v>90E- SCH  30  18"</v>
          </cell>
          <cell r="C508">
            <v>11.13</v>
          </cell>
          <cell r="D508">
            <v>131.5</v>
          </cell>
          <cell r="E508">
            <v>0.749</v>
          </cell>
        </row>
        <row r="509">
          <cell r="B509" t="str">
            <v>90E- SCH  XS  18"</v>
          </cell>
          <cell r="C509">
            <v>12.7</v>
          </cell>
          <cell r="D509">
            <v>148.9</v>
          </cell>
          <cell r="E509">
            <v>0.749</v>
          </cell>
        </row>
        <row r="510">
          <cell r="B510" t="str">
            <v>90E- SCH  40  18"</v>
          </cell>
          <cell r="C510">
            <v>14.27</v>
          </cell>
          <cell r="D510">
            <v>168</v>
          </cell>
          <cell r="E510">
            <v>0.749</v>
          </cell>
        </row>
        <row r="511">
          <cell r="B511" t="str">
            <v>90E- SCH  60  18"</v>
          </cell>
          <cell r="C511">
            <v>19.05</v>
          </cell>
          <cell r="D511">
            <v>22.3</v>
          </cell>
          <cell r="E511">
            <v>0.749</v>
          </cell>
        </row>
        <row r="512">
          <cell r="B512" t="str">
            <v>90E- SCH  80  18"</v>
          </cell>
          <cell r="C512">
            <v>23.8</v>
          </cell>
          <cell r="D512">
            <v>274</v>
          </cell>
          <cell r="E512">
            <v>0.749</v>
          </cell>
        </row>
        <row r="513">
          <cell r="B513" t="str">
            <v>90E- SCH  100  18"</v>
          </cell>
          <cell r="C513">
            <v>29.36</v>
          </cell>
          <cell r="D513">
            <v>344.1</v>
          </cell>
          <cell r="E513">
            <v>0.749</v>
          </cell>
        </row>
        <row r="514">
          <cell r="B514" t="str">
            <v>90E- SCH  120  18"</v>
          </cell>
          <cell r="C514">
            <v>34.92</v>
          </cell>
          <cell r="D514">
            <v>391.5</v>
          </cell>
          <cell r="E514">
            <v>0.749</v>
          </cell>
        </row>
        <row r="515">
          <cell r="B515" t="str">
            <v>90E- SCH  140  18"</v>
          </cell>
          <cell r="C515">
            <v>39.67</v>
          </cell>
          <cell r="D515">
            <v>440.2</v>
          </cell>
          <cell r="E515">
            <v>0.749</v>
          </cell>
        </row>
        <row r="516">
          <cell r="B516" t="str">
            <v>90E- SCH  160  18"</v>
          </cell>
          <cell r="C516">
            <v>45.24</v>
          </cell>
          <cell r="D516">
            <v>495</v>
          </cell>
          <cell r="E516">
            <v>0.749</v>
          </cell>
        </row>
        <row r="517">
          <cell r="B517" t="str">
            <v>90E- SCH  5S  20"</v>
          </cell>
          <cell r="C517">
            <v>4.78</v>
          </cell>
          <cell r="D517">
            <v>75</v>
          </cell>
          <cell r="E517">
            <v>0.92500000000000004</v>
          </cell>
        </row>
        <row r="518">
          <cell r="B518" t="str">
            <v>90E- SCH  10S  20"</v>
          </cell>
          <cell r="C518">
            <v>5.54</v>
          </cell>
          <cell r="D518">
            <v>100</v>
          </cell>
          <cell r="E518">
            <v>0.92500000000000004</v>
          </cell>
        </row>
        <row r="519">
          <cell r="B519" t="str">
            <v>90E- SCH  10  20"</v>
          </cell>
          <cell r="C519">
            <v>6.35</v>
          </cell>
          <cell r="D519">
            <v>100</v>
          </cell>
          <cell r="E519">
            <v>0.92500000000000004</v>
          </cell>
        </row>
        <row r="520">
          <cell r="B520" t="str">
            <v>90E- SCH  STD  20"</v>
          </cell>
          <cell r="C520">
            <v>9.52</v>
          </cell>
          <cell r="D520">
            <v>139.80000000000001</v>
          </cell>
          <cell r="E520">
            <v>0.92500000000000004</v>
          </cell>
        </row>
        <row r="521">
          <cell r="B521" t="str">
            <v>90E- SCH  20  20"</v>
          </cell>
          <cell r="C521">
            <v>9.52</v>
          </cell>
          <cell r="D521">
            <v>139.80000000000001</v>
          </cell>
          <cell r="E521">
            <v>0.92500000000000004</v>
          </cell>
        </row>
        <row r="522">
          <cell r="B522" t="str">
            <v>90E- SCH  XS  20"</v>
          </cell>
          <cell r="C522">
            <v>12.7</v>
          </cell>
          <cell r="D522">
            <v>184.5</v>
          </cell>
          <cell r="E522">
            <v>0.92500000000000004</v>
          </cell>
        </row>
        <row r="523">
          <cell r="B523" t="str">
            <v>90E- SCH  30  20"</v>
          </cell>
          <cell r="C523">
            <v>12.7</v>
          </cell>
          <cell r="D523">
            <v>184.5</v>
          </cell>
          <cell r="E523">
            <v>0.92500000000000004</v>
          </cell>
        </row>
        <row r="524">
          <cell r="B524" t="str">
            <v>90E- SCH  40  20"</v>
          </cell>
          <cell r="C524">
            <v>15.06</v>
          </cell>
          <cell r="D524">
            <v>220</v>
          </cell>
          <cell r="E524">
            <v>0.92500000000000004</v>
          </cell>
        </row>
        <row r="525">
          <cell r="B525" t="str">
            <v>90E- SCH  60  20"</v>
          </cell>
          <cell r="C525">
            <v>20.62</v>
          </cell>
          <cell r="D525">
            <v>296.39999999999998</v>
          </cell>
          <cell r="E525">
            <v>0.92500000000000004</v>
          </cell>
        </row>
        <row r="526">
          <cell r="B526" t="str">
            <v>90E- SCH  80  20"</v>
          </cell>
          <cell r="C526">
            <v>26.19</v>
          </cell>
          <cell r="D526">
            <v>372</v>
          </cell>
          <cell r="E526">
            <v>0.92500000000000004</v>
          </cell>
        </row>
        <row r="527">
          <cell r="B527" t="str">
            <v>90E- SCH  100  20"</v>
          </cell>
          <cell r="C527">
            <v>32.54</v>
          </cell>
          <cell r="D527">
            <v>456.2</v>
          </cell>
          <cell r="E527">
            <v>0.92500000000000004</v>
          </cell>
        </row>
        <row r="528">
          <cell r="B528" t="str">
            <v>90E- SCH  120  20"</v>
          </cell>
          <cell r="C528">
            <v>38.1</v>
          </cell>
          <cell r="D528">
            <v>528.4</v>
          </cell>
          <cell r="E528">
            <v>0.92500000000000004</v>
          </cell>
        </row>
        <row r="529">
          <cell r="B529" t="str">
            <v>90E- SCH  140  20"</v>
          </cell>
          <cell r="C529">
            <v>44.45</v>
          </cell>
          <cell r="D529">
            <v>607.5</v>
          </cell>
          <cell r="E529">
            <v>0.92500000000000004</v>
          </cell>
        </row>
        <row r="530">
          <cell r="B530" t="str">
            <v>90E- SCH  160  20"</v>
          </cell>
          <cell r="C530">
            <v>49.99</v>
          </cell>
          <cell r="D530">
            <v>676</v>
          </cell>
          <cell r="E530">
            <v>0.92500000000000004</v>
          </cell>
        </row>
        <row r="531">
          <cell r="B531" t="str">
            <v>90E- SCH  5S  24"</v>
          </cell>
          <cell r="C531">
            <v>5.54</v>
          </cell>
          <cell r="D531">
            <v>130</v>
          </cell>
          <cell r="E531">
            <v>1.3320000000000001</v>
          </cell>
        </row>
        <row r="532">
          <cell r="B532" t="str">
            <v>90E- SCH  10  24"</v>
          </cell>
          <cell r="C532">
            <v>6.35</v>
          </cell>
          <cell r="D532">
            <v>140</v>
          </cell>
          <cell r="E532">
            <v>1.3320000000000001</v>
          </cell>
        </row>
        <row r="533">
          <cell r="B533" t="str">
            <v>90E- SCH  10S  24"</v>
          </cell>
          <cell r="C533">
            <v>6.35</v>
          </cell>
          <cell r="D533">
            <v>140</v>
          </cell>
          <cell r="E533">
            <v>1.3320000000000001</v>
          </cell>
        </row>
        <row r="534">
          <cell r="B534" t="str">
            <v>90E- SCH  STD  24"</v>
          </cell>
          <cell r="C534">
            <v>9.52</v>
          </cell>
          <cell r="D534">
            <v>198.8</v>
          </cell>
          <cell r="E534">
            <v>1.3320000000000001</v>
          </cell>
        </row>
        <row r="535">
          <cell r="B535" t="str">
            <v>90E- SCH  20  24"</v>
          </cell>
          <cell r="C535">
            <v>9.52</v>
          </cell>
          <cell r="D535">
            <v>198.8</v>
          </cell>
          <cell r="E535">
            <v>1.3320000000000001</v>
          </cell>
        </row>
        <row r="536">
          <cell r="B536" t="str">
            <v>90E- SCH  XS  24"</v>
          </cell>
          <cell r="C536">
            <v>12.7</v>
          </cell>
          <cell r="D536">
            <v>270</v>
          </cell>
          <cell r="E536">
            <v>1.3320000000000001</v>
          </cell>
        </row>
        <row r="537">
          <cell r="B537" t="str">
            <v>90E- SCH  30  24"</v>
          </cell>
          <cell r="C537">
            <v>14.27</v>
          </cell>
          <cell r="D537">
            <v>301.60000000000002</v>
          </cell>
          <cell r="E537">
            <v>1.3320000000000001</v>
          </cell>
        </row>
        <row r="538">
          <cell r="B538" t="str">
            <v>90E- SCH  40  24"</v>
          </cell>
          <cell r="C538">
            <v>17.45</v>
          </cell>
          <cell r="D538">
            <v>365</v>
          </cell>
          <cell r="E538">
            <v>1.3320000000000001</v>
          </cell>
        </row>
        <row r="539">
          <cell r="B539" t="str">
            <v>90E- SCH  60  24"</v>
          </cell>
          <cell r="C539">
            <v>24.59</v>
          </cell>
          <cell r="D539">
            <v>509.7</v>
          </cell>
          <cell r="E539">
            <v>1.3320000000000001</v>
          </cell>
        </row>
        <row r="540">
          <cell r="B540" t="str">
            <v>90E- SCH  80  24"</v>
          </cell>
          <cell r="C540">
            <v>30.94</v>
          </cell>
          <cell r="D540">
            <v>635</v>
          </cell>
          <cell r="E540">
            <v>1.3320000000000001</v>
          </cell>
        </row>
        <row r="541">
          <cell r="B541" t="str">
            <v>90E- SCH  100  24"</v>
          </cell>
          <cell r="C541">
            <v>38.89</v>
          </cell>
          <cell r="D541">
            <v>786.1</v>
          </cell>
          <cell r="E541">
            <v>1.3320000000000001</v>
          </cell>
        </row>
        <row r="542">
          <cell r="B542" t="str">
            <v>90E- SCH  120  24"</v>
          </cell>
          <cell r="C542">
            <v>46.02</v>
          </cell>
          <cell r="D542">
            <v>918.3</v>
          </cell>
          <cell r="E542">
            <v>1.3320000000000001</v>
          </cell>
        </row>
        <row r="543">
          <cell r="B543" t="str">
            <v>90E- SCH  140  24"</v>
          </cell>
          <cell r="C543">
            <v>52.37</v>
          </cell>
          <cell r="D543">
            <v>103.3</v>
          </cell>
          <cell r="E543">
            <v>1.3320000000000001</v>
          </cell>
        </row>
        <row r="544">
          <cell r="B544" t="str">
            <v>90E- SCH  160  24"</v>
          </cell>
          <cell r="C544">
            <v>59.51</v>
          </cell>
          <cell r="D544">
            <v>116</v>
          </cell>
          <cell r="E544">
            <v>1.3320000000000001</v>
          </cell>
        </row>
        <row r="545">
          <cell r="B545" t="str">
            <v>90E- SCH  6.35  26"</v>
          </cell>
          <cell r="C545">
            <v>6.35</v>
          </cell>
          <cell r="D545">
            <v>150.69999999999999</v>
          </cell>
          <cell r="E545">
            <v>1.5640000000000001</v>
          </cell>
        </row>
        <row r="546">
          <cell r="B546" t="str">
            <v>90E- SCH  10  26"</v>
          </cell>
          <cell r="C546">
            <v>7.92</v>
          </cell>
          <cell r="D546">
            <v>200.3</v>
          </cell>
          <cell r="E546">
            <v>1.5640000000000001</v>
          </cell>
        </row>
        <row r="547">
          <cell r="B547" t="str">
            <v>90E- SCH  STD  26"</v>
          </cell>
          <cell r="C547">
            <v>9.5299999999999994</v>
          </cell>
          <cell r="D547">
            <v>237.2</v>
          </cell>
          <cell r="E547">
            <v>1.5640000000000001</v>
          </cell>
        </row>
        <row r="548">
          <cell r="B548" t="str">
            <v>90E- SCH  XS  26"</v>
          </cell>
          <cell r="C548">
            <v>12.7</v>
          </cell>
          <cell r="D548">
            <v>316</v>
          </cell>
          <cell r="E548">
            <v>1.5640000000000001</v>
          </cell>
        </row>
        <row r="549">
          <cell r="B549" t="str">
            <v>90E- SCH  20  26"</v>
          </cell>
          <cell r="C549">
            <v>12.7</v>
          </cell>
          <cell r="D549">
            <v>316</v>
          </cell>
          <cell r="E549">
            <v>1.5640000000000001</v>
          </cell>
        </row>
        <row r="550">
          <cell r="B550" t="str">
            <v>90E- SCH  STD  28"</v>
          </cell>
          <cell r="C550">
            <v>9.5299999999999994</v>
          </cell>
          <cell r="D550">
            <v>275</v>
          </cell>
          <cell r="E550">
            <v>1.8140000000000001</v>
          </cell>
        </row>
        <row r="551">
          <cell r="B551" t="str">
            <v>90E- SCH  XS  28"</v>
          </cell>
          <cell r="C551">
            <v>12.7</v>
          </cell>
          <cell r="D551">
            <v>366</v>
          </cell>
          <cell r="E551">
            <v>1.8140000000000001</v>
          </cell>
        </row>
        <row r="552">
          <cell r="B552" t="str">
            <v>90E- SCH  20  28"</v>
          </cell>
          <cell r="C552">
            <v>12.7</v>
          </cell>
          <cell r="D552">
            <v>366</v>
          </cell>
          <cell r="E552">
            <v>1.8140000000000001</v>
          </cell>
        </row>
        <row r="553">
          <cell r="B553" t="str">
            <v>90E- SCH  STD  30"</v>
          </cell>
          <cell r="C553">
            <v>9.5299999999999994</v>
          </cell>
          <cell r="D553">
            <v>316</v>
          </cell>
          <cell r="E553">
            <v>2.0819999999999999</v>
          </cell>
        </row>
        <row r="554">
          <cell r="B554" t="str">
            <v>90E- SCH  XS  30"</v>
          </cell>
          <cell r="C554">
            <v>12.7</v>
          </cell>
          <cell r="D554">
            <v>421</v>
          </cell>
          <cell r="E554">
            <v>2.0819999999999999</v>
          </cell>
        </row>
        <row r="555">
          <cell r="B555" t="str">
            <v>90E- SCH  20  30"</v>
          </cell>
          <cell r="C555">
            <v>12.7</v>
          </cell>
          <cell r="D555">
            <v>421</v>
          </cell>
          <cell r="E555">
            <v>2.0819999999999999</v>
          </cell>
        </row>
        <row r="556">
          <cell r="B556" t="str">
            <v>90E- SCH  STD  32"</v>
          </cell>
          <cell r="C556">
            <v>9.5299999999999994</v>
          </cell>
          <cell r="D556">
            <v>360</v>
          </cell>
          <cell r="E556">
            <v>2.3690000000000002</v>
          </cell>
        </row>
        <row r="557">
          <cell r="B557" t="str">
            <v>90E- SCH  30  32"</v>
          </cell>
          <cell r="C557">
            <v>15.88</v>
          </cell>
          <cell r="D557">
            <v>480</v>
          </cell>
          <cell r="E557">
            <v>2.3690000000000002</v>
          </cell>
        </row>
        <row r="558">
          <cell r="B558" t="str">
            <v>90E- SCH  STD  34"</v>
          </cell>
          <cell r="C558">
            <v>9.5299999999999994</v>
          </cell>
          <cell r="D558">
            <v>407</v>
          </cell>
          <cell r="E558">
            <v>2.6739999999999999</v>
          </cell>
        </row>
        <row r="559">
          <cell r="B559" t="str">
            <v>90E- SCH  XS  34"</v>
          </cell>
          <cell r="C559">
            <v>12.7</v>
          </cell>
          <cell r="D559">
            <v>542</v>
          </cell>
          <cell r="E559">
            <v>2.6739999999999999</v>
          </cell>
        </row>
        <row r="560">
          <cell r="B560" t="str">
            <v>90E- SCH  20  34"</v>
          </cell>
          <cell r="C560">
            <v>12.7</v>
          </cell>
          <cell r="D560">
            <v>542</v>
          </cell>
          <cell r="E560">
            <v>2.6739999999999999</v>
          </cell>
        </row>
        <row r="561">
          <cell r="B561" t="str">
            <v>90E- SCH  STD  36"</v>
          </cell>
          <cell r="C561">
            <v>9.5299999999999994</v>
          </cell>
          <cell r="D561">
            <v>457</v>
          </cell>
          <cell r="E561">
            <v>2.9980000000000002</v>
          </cell>
        </row>
        <row r="562">
          <cell r="B562" t="str">
            <v>90E- SCH  XS  36"</v>
          </cell>
          <cell r="C562">
            <v>12.7</v>
          </cell>
          <cell r="D562">
            <v>608</v>
          </cell>
          <cell r="E562">
            <v>2.9980000000000002</v>
          </cell>
        </row>
        <row r="563">
          <cell r="B563" t="str">
            <v>90E- SCH  20  36"</v>
          </cell>
          <cell r="C563">
            <v>12.7</v>
          </cell>
          <cell r="D563">
            <v>608</v>
          </cell>
          <cell r="E563">
            <v>2.9980000000000002</v>
          </cell>
        </row>
        <row r="564">
          <cell r="B564" t="str">
            <v>90E- SCH  STD  38"</v>
          </cell>
          <cell r="C564">
            <v>9.5299999999999994</v>
          </cell>
          <cell r="D564">
            <v>509</v>
          </cell>
          <cell r="E564">
            <v>3.34</v>
          </cell>
        </row>
        <row r="565">
          <cell r="B565" t="str">
            <v>90E- SCH  XS  38"</v>
          </cell>
          <cell r="C565">
            <v>25.4</v>
          </cell>
          <cell r="D565">
            <v>678</v>
          </cell>
          <cell r="E565">
            <v>3.34</v>
          </cell>
        </row>
        <row r="566">
          <cell r="B566" t="str">
            <v>90E- SCH  STD  40"</v>
          </cell>
          <cell r="C566">
            <v>9.5299999999999994</v>
          </cell>
          <cell r="D566">
            <v>564</v>
          </cell>
          <cell r="E566">
            <v>3.7010000000000001</v>
          </cell>
        </row>
        <row r="567">
          <cell r="B567" t="str">
            <v>90E- SCH  XS  40"</v>
          </cell>
          <cell r="C567">
            <v>0</v>
          </cell>
          <cell r="D567">
            <v>752</v>
          </cell>
          <cell r="E567">
            <v>3.7010000000000001</v>
          </cell>
        </row>
        <row r="568">
          <cell r="B568" t="str">
            <v>90E- SCH  STD  42"</v>
          </cell>
          <cell r="C568">
            <v>9.5299999999999994</v>
          </cell>
          <cell r="D568">
            <v>622</v>
          </cell>
          <cell r="E568">
            <v>4.08</v>
          </cell>
        </row>
        <row r="569">
          <cell r="B569" t="str">
            <v>90E- SCH  XS  42"</v>
          </cell>
          <cell r="C569">
            <v>12.7</v>
          </cell>
          <cell r="D569">
            <v>828</v>
          </cell>
          <cell r="E569">
            <v>4.08</v>
          </cell>
        </row>
        <row r="570">
          <cell r="B570" t="str">
            <v>90E- SCH  STD  44"</v>
          </cell>
          <cell r="C570">
            <v>9.5299999999999994</v>
          </cell>
          <cell r="D570">
            <v>683</v>
          </cell>
          <cell r="E570">
            <v>4.4779999999999998</v>
          </cell>
        </row>
        <row r="571">
          <cell r="B571" t="str">
            <v>90E- SCH  XS  44"</v>
          </cell>
          <cell r="C571">
            <v>12.7</v>
          </cell>
          <cell r="D571">
            <v>911</v>
          </cell>
          <cell r="E571">
            <v>4.4779999999999998</v>
          </cell>
        </row>
        <row r="572">
          <cell r="B572" t="str">
            <v>90E- SCH  STD  48"</v>
          </cell>
          <cell r="C572">
            <v>9.5299999999999994</v>
          </cell>
          <cell r="D572">
            <v>814</v>
          </cell>
          <cell r="E572">
            <v>5.33</v>
          </cell>
        </row>
        <row r="573">
          <cell r="B573" t="str">
            <v>90E- SCH  XS  48"</v>
          </cell>
          <cell r="C573">
            <v>12.7</v>
          </cell>
          <cell r="D573">
            <v>1085</v>
          </cell>
          <cell r="E573">
            <v>5.33</v>
          </cell>
        </row>
        <row r="574">
          <cell r="B574" t="str">
            <v>45E- SCH  3000  0.5"</v>
          </cell>
          <cell r="D574">
            <v>0.2</v>
          </cell>
          <cell r="E574">
            <v>0</v>
          </cell>
        </row>
        <row r="575">
          <cell r="B575" t="str">
            <v>45E- SCH  6000  0.5"</v>
          </cell>
          <cell r="D575">
            <v>0.4</v>
          </cell>
          <cell r="E575">
            <v>0</v>
          </cell>
        </row>
        <row r="576">
          <cell r="B576" t="str">
            <v>45E- SCH  3000  0.75"</v>
          </cell>
          <cell r="D576">
            <v>0.24</v>
          </cell>
          <cell r="E576">
            <v>1E-3</v>
          </cell>
        </row>
        <row r="577">
          <cell r="B577" t="str">
            <v>45E- SCH  6000  0.75"</v>
          </cell>
          <cell r="D577">
            <v>0.6</v>
          </cell>
          <cell r="E577">
            <v>1E-3</v>
          </cell>
        </row>
        <row r="578">
          <cell r="B578" t="str">
            <v>45E- SCH  3000  1"</v>
          </cell>
          <cell r="D578">
            <v>0.5</v>
          </cell>
          <cell r="E578">
            <v>1E-3</v>
          </cell>
        </row>
        <row r="579">
          <cell r="B579" t="str">
            <v>45E- SCH  6000  1"</v>
          </cell>
          <cell r="D579">
            <v>0.94</v>
          </cell>
          <cell r="E579">
            <v>1E-3</v>
          </cell>
        </row>
        <row r="580">
          <cell r="B580" t="str">
            <v>45E- SCH  3000  1.5"</v>
          </cell>
          <cell r="D580">
            <v>0.78</v>
          </cell>
          <cell r="E580">
            <v>3.0000000000000001E-3</v>
          </cell>
        </row>
        <row r="581">
          <cell r="B581" t="str">
            <v>45E- SCH  6000  1.5"</v>
          </cell>
          <cell r="D581">
            <v>1.98</v>
          </cell>
          <cell r="E581">
            <v>3.0000000000000001E-3</v>
          </cell>
        </row>
        <row r="582">
          <cell r="B582" t="str">
            <v>45E- SCH  5S  2"</v>
          </cell>
          <cell r="C582">
            <v>1.65</v>
          </cell>
          <cell r="D582">
            <v>0.12</v>
          </cell>
          <cell r="E582">
            <v>5.0000000000000001E-3</v>
          </cell>
        </row>
        <row r="583">
          <cell r="B583" t="str">
            <v>45E- SCH  10S  2"</v>
          </cell>
          <cell r="C583">
            <v>2.77</v>
          </cell>
          <cell r="D583">
            <v>0.24</v>
          </cell>
          <cell r="E583">
            <v>5.0000000000000001E-3</v>
          </cell>
        </row>
        <row r="584">
          <cell r="B584" t="str">
            <v>45E- SCH  40  2"</v>
          </cell>
          <cell r="C584">
            <v>3.91</v>
          </cell>
          <cell r="D584">
            <v>0.33</v>
          </cell>
          <cell r="E584">
            <v>5.0000000000000001E-3</v>
          </cell>
        </row>
        <row r="585">
          <cell r="B585" t="str">
            <v>45E- SCH  40S  2"</v>
          </cell>
          <cell r="C585">
            <v>3.91</v>
          </cell>
          <cell r="D585">
            <v>0.33</v>
          </cell>
          <cell r="E585">
            <v>5.0000000000000001E-3</v>
          </cell>
        </row>
        <row r="586">
          <cell r="B586" t="str">
            <v>45E- SCH  STD  2"</v>
          </cell>
          <cell r="C586">
            <v>3.91</v>
          </cell>
          <cell r="D586">
            <v>0.33</v>
          </cell>
          <cell r="E586">
            <v>5.0000000000000001E-3</v>
          </cell>
        </row>
        <row r="587">
          <cell r="B587" t="str">
            <v>45E- SCH  80  2"</v>
          </cell>
          <cell r="C587">
            <v>5.54</v>
          </cell>
          <cell r="D587">
            <v>0.45</v>
          </cell>
          <cell r="E587">
            <v>5.0000000000000001E-3</v>
          </cell>
        </row>
        <row r="588">
          <cell r="B588" t="str">
            <v>45E- SCH  80S  2"</v>
          </cell>
          <cell r="C588">
            <v>5.54</v>
          </cell>
          <cell r="D588">
            <v>0.45</v>
          </cell>
          <cell r="E588">
            <v>5.0000000000000001E-3</v>
          </cell>
        </row>
        <row r="589">
          <cell r="B589" t="str">
            <v>45E- SCH  XXS  2"</v>
          </cell>
          <cell r="C589">
            <v>5.54</v>
          </cell>
          <cell r="D589">
            <v>0.45</v>
          </cell>
          <cell r="E589">
            <v>5.0000000000000001E-3</v>
          </cell>
        </row>
        <row r="590">
          <cell r="B590" t="str">
            <v>45E- SCH  160  2"</v>
          </cell>
          <cell r="C590">
            <v>8.7100000000000009</v>
          </cell>
          <cell r="D590">
            <v>0.66</v>
          </cell>
          <cell r="E590">
            <v>5.0000000000000001E-3</v>
          </cell>
        </row>
        <row r="591">
          <cell r="B591" t="str">
            <v>45E- SCH  XXS  2"</v>
          </cell>
          <cell r="C591">
            <v>11.07</v>
          </cell>
          <cell r="D591">
            <v>0.81</v>
          </cell>
          <cell r="E591">
            <v>5.0000000000000001E-3</v>
          </cell>
        </row>
        <row r="592">
          <cell r="B592" t="str">
            <v>45E- SCH  5S  2.5"</v>
          </cell>
          <cell r="C592">
            <v>2.11</v>
          </cell>
          <cell r="D592">
            <v>0.28999999999999998</v>
          </cell>
          <cell r="E592">
            <v>7.0000000000000001E-3</v>
          </cell>
        </row>
        <row r="593">
          <cell r="B593" t="str">
            <v>45E- SCH  10S  2.5"</v>
          </cell>
          <cell r="C593">
            <v>3.05</v>
          </cell>
          <cell r="D593">
            <v>0.41</v>
          </cell>
          <cell r="E593">
            <v>7.0000000000000001E-3</v>
          </cell>
        </row>
        <row r="594">
          <cell r="B594" t="str">
            <v>45E- SCH  40  2.5"</v>
          </cell>
          <cell r="C594">
            <v>5.16</v>
          </cell>
          <cell r="D594">
            <v>0.69</v>
          </cell>
          <cell r="E594">
            <v>7.0000000000000001E-3</v>
          </cell>
        </row>
        <row r="595">
          <cell r="B595" t="str">
            <v>45E- SCH  40S  2.5"</v>
          </cell>
          <cell r="C595">
            <v>5.16</v>
          </cell>
          <cell r="D595">
            <v>0.69</v>
          </cell>
          <cell r="E595">
            <v>7.0000000000000001E-3</v>
          </cell>
        </row>
        <row r="596">
          <cell r="B596" t="str">
            <v>45E- SCH  STD  2.5"</v>
          </cell>
          <cell r="C596">
            <v>5.16</v>
          </cell>
          <cell r="D596">
            <v>0.69</v>
          </cell>
          <cell r="E596">
            <v>7.0000000000000001E-3</v>
          </cell>
        </row>
        <row r="597">
          <cell r="B597" t="str">
            <v>45E- SCH  80  2.5"</v>
          </cell>
          <cell r="C597">
            <v>7.01</v>
          </cell>
          <cell r="D597">
            <v>0.89</v>
          </cell>
          <cell r="E597">
            <v>7.0000000000000001E-3</v>
          </cell>
        </row>
        <row r="598">
          <cell r="B598" t="str">
            <v>45E- SCH  80S  2.5"</v>
          </cell>
          <cell r="C598">
            <v>7.01</v>
          </cell>
          <cell r="D598">
            <v>0.89</v>
          </cell>
          <cell r="E598">
            <v>7.0000000000000001E-3</v>
          </cell>
        </row>
        <row r="599">
          <cell r="B599" t="str">
            <v>45E- SCH  XS  2.5"</v>
          </cell>
          <cell r="C599">
            <v>7.01</v>
          </cell>
          <cell r="D599">
            <v>0.89</v>
          </cell>
          <cell r="E599">
            <v>7.0000000000000001E-3</v>
          </cell>
        </row>
        <row r="600">
          <cell r="B600" t="str">
            <v>45E- SCH  160  2.5"</v>
          </cell>
          <cell r="C600">
            <v>9.52</v>
          </cell>
          <cell r="D600">
            <v>1.17</v>
          </cell>
          <cell r="E600">
            <v>7.0000000000000001E-3</v>
          </cell>
        </row>
        <row r="601">
          <cell r="B601" t="str">
            <v>45E- SCH  XXS  2.5"</v>
          </cell>
          <cell r="C601">
            <v>14.02</v>
          </cell>
          <cell r="D601">
            <v>1.61</v>
          </cell>
          <cell r="E601">
            <v>7.0000000000000001E-3</v>
          </cell>
        </row>
        <row r="602">
          <cell r="B602" t="str">
            <v>45E- SCH  5S  3"</v>
          </cell>
          <cell r="C602">
            <v>2.11</v>
          </cell>
          <cell r="D602">
            <v>0.41</v>
          </cell>
          <cell r="E602">
            <v>0.01</v>
          </cell>
        </row>
        <row r="603">
          <cell r="B603" t="str">
            <v>45E- SCH  10S  3"</v>
          </cell>
          <cell r="C603">
            <v>3.05</v>
          </cell>
          <cell r="D603">
            <v>0.56999999999999995</v>
          </cell>
          <cell r="E603">
            <v>0.01</v>
          </cell>
        </row>
        <row r="604">
          <cell r="B604" t="str">
            <v>45E- SCH  40  3"</v>
          </cell>
          <cell r="C604">
            <v>5.49</v>
          </cell>
          <cell r="D604">
            <v>1.02</v>
          </cell>
          <cell r="E604">
            <v>0.01</v>
          </cell>
        </row>
        <row r="605">
          <cell r="B605" t="str">
            <v>45E- SCH  40S  3"</v>
          </cell>
          <cell r="C605">
            <v>5.49</v>
          </cell>
          <cell r="D605">
            <v>1.02</v>
          </cell>
          <cell r="E605">
            <v>0.01</v>
          </cell>
        </row>
        <row r="606">
          <cell r="B606" t="str">
            <v>45E- SCH  STD  3"</v>
          </cell>
          <cell r="C606">
            <v>5.49</v>
          </cell>
          <cell r="D606">
            <v>1.02</v>
          </cell>
          <cell r="E606">
            <v>0.01</v>
          </cell>
        </row>
        <row r="607">
          <cell r="B607" t="str">
            <v>45E- SCH  80  3"</v>
          </cell>
          <cell r="C607">
            <v>7.62</v>
          </cell>
          <cell r="D607">
            <v>1.37</v>
          </cell>
          <cell r="E607">
            <v>0.01</v>
          </cell>
        </row>
        <row r="608">
          <cell r="B608" t="str">
            <v>45E- SCH  80S  3"</v>
          </cell>
          <cell r="C608">
            <v>7.62</v>
          </cell>
          <cell r="D608">
            <v>1.37</v>
          </cell>
          <cell r="E608">
            <v>0.01</v>
          </cell>
        </row>
        <row r="609">
          <cell r="B609" t="str">
            <v>45E- SCH  XS  3"</v>
          </cell>
          <cell r="C609">
            <v>7.62</v>
          </cell>
          <cell r="D609">
            <v>1.37</v>
          </cell>
          <cell r="E609">
            <v>0.01</v>
          </cell>
        </row>
        <row r="610">
          <cell r="B610" t="str">
            <v>45E- SCH  160  3"</v>
          </cell>
          <cell r="C610">
            <v>11.13</v>
          </cell>
          <cell r="D610">
            <v>1.92</v>
          </cell>
          <cell r="E610">
            <v>0.01</v>
          </cell>
        </row>
        <row r="611">
          <cell r="B611" t="str">
            <v>45E- SCH  XXS  3"</v>
          </cell>
          <cell r="C611">
            <v>15.24</v>
          </cell>
          <cell r="D611">
            <v>2.4900000000000002</v>
          </cell>
          <cell r="E611">
            <v>0.01</v>
          </cell>
        </row>
        <row r="612">
          <cell r="B612" t="str">
            <v>45E- SCH  5S  4"</v>
          </cell>
          <cell r="C612">
            <v>2.11</v>
          </cell>
          <cell r="D612">
            <v>0.69</v>
          </cell>
          <cell r="E612">
            <v>1.9E-2</v>
          </cell>
        </row>
        <row r="613">
          <cell r="B613" t="str">
            <v>45E- SCH  10S  4"</v>
          </cell>
          <cell r="C613">
            <v>3.05</v>
          </cell>
          <cell r="D613">
            <v>0.98</v>
          </cell>
          <cell r="E613">
            <v>1.9E-2</v>
          </cell>
        </row>
        <row r="614">
          <cell r="B614" t="str">
            <v>45E- SCH  40  4"</v>
          </cell>
          <cell r="C614">
            <v>6.02</v>
          </cell>
          <cell r="D614">
            <v>1.92</v>
          </cell>
          <cell r="E614">
            <v>1.9E-2</v>
          </cell>
        </row>
        <row r="615">
          <cell r="B615" t="str">
            <v>45E- SCH  40S  4"</v>
          </cell>
          <cell r="C615">
            <v>6.02</v>
          </cell>
          <cell r="D615">
            <v>1.92</v>
          </cell>
          <cell r="E615">
            <v>1.9E-2</v>
          </cell>
        </row>
        <row r="616">
          <cell r="B616" t="str">
            <v>45E- SCH  STD  4"</v>
          </cell>
          <cell r="C616">
            <v>6.02</v>
          </cell>
          <cell r="D616">
            <v>1.92</v>
          </cell>
          <cell r="E616">
            <v>1.9E-2</v>
          </cell>
        </row>
        <row r="617">
          <cell r="B617" t="str">
            <v>45E- SCH  80  4"</v>
          </cell>
          <cell r="C617">
            <v>8.56</v>
          </cell>
          <cell r="D617">
            <v>2.68</v>
          </cell>
          <cell r="E617">
            <v>1.9E-2</v>
          </cell>
        </row>
        <row r="618">
          <cell r="B618" t="str">
            <v>45E- SCH  80S  4"</v>
          </cell>
          <cell r="C618">
            <v>8.56</v>
          </cell>
          <cell r="D618">
            <v>2.68</v>
          </cell>
          <cell r="E618">
            <v>1.9E-2</v>
          </cell>
        </row>
        <row r="619">
          <cell r="B619" t="str">
            <v>45E- SCH  XS  4"</v>
          </cell>
          <cell r="C619">
            <v>8.56</v>
          </cell>
          <cell r="D619">
            <v>2.68</v>
          </cell>
          <cell r="E619">
            <v>1.9E-2</v>
          </cell>
        </row>
        <row r="620">
          <cell r="B620" t="str">
            <v>45E- SCH  160  4"</v>
          </cell>
          <cell r="C620">
            <v>13.49</v>
          </cell>
          <cell r="D620">
            <v>4.0199999999999996</v>
          </cell>
          <cell r="E620">
            <v>1.9E-2</v>
          </cell>
        </row>
        <row r="621">
          <cell r="B621" t="str">
            <v>45E- SCH  XXS  4"</v>
          </cell>
          <cell r="C621">
            <v>17.12</v>
          </cell>
          <cell r="D621">
            <v>4.91</v>
          </cell>
          <cell r="E621">
            <v>1.9E-2</v>
          </cell>
        </row>
        <row r="622">
          <cell r="B622" t="str">
            <v>45E- SCH  5S  5"</v>
          </cell>
          <cell r="C622">
            <v>2.77</v>
          </cell>
          <cell r="D622">
            <v>1.42</v>
          </cell>
          <cell r="E622">
            <v>2.9000000000000001E-2</v>
          </cell>
        </row>
        <row r="623">
          <cell r="B623" t="str">
            <v>45E- SCH  10S  5"</v>
          </cell>
          <cell r="C623">
            <v>3.4</v>
          </cell>
          <cell r="D623">
            <v>1.71</v>
          </cell>
          <cell r="E623">
            <v>2.9000000000000001E-2</v>
          </cell>
        </row>
        <row r="624">
          <cell r="B624" t="str">
            <v>45E- SCH  40  5"</v>
          </cell>
          <cell r="C624">
            <v>6.55</v>
          </cell>
          <cell r="D624">
            <v>3.24</v>
          </cell>
          <cell r="E624">
            <v>2.9000000000000001E-2</v>
          </cell>
        </row>
        <row r="625">
          <cell r="B625" t="str">
            <v>45E- SCH  40S  5"</v>
          </cell>
          <cell r="C625">
            <v>6.55</v>
          </cell>
          <cell r="D625">
            <v>3.24</v>
          </cell>
          <cell r="E625">
            <v>2.9000000000000001E-2</v>
          </cell>
        </row>
        <row r="626">
          <cell r="B626" t="str">
            <v>45E- SCH  STD  5"</v>
          </cell>
          <cell r="C626">
            <v>6.55</v>
          </cell>
          <cell r="D626">
            <v>3.24</v>
          </cell>
          <cell r="E626">
            <v>2.9000000000000001E-2</v>
          </cell>
        </row>
        <row r="627">
          <cell r="B627" t="str">
            <v>45E- SCH  80  5"</v>
          </cell>
          <cell r="C627">
            <v>9.52</v>
          </cell>
          <cell r="D627">
            <v>4.57</v>
          </cell>
          <cell r="E627">
            <v>2.9000000000000001E-2</v>
          </cell>
        </row>
        <row r="628">
          <cell r="B628" t="str">
            <v>45E- SCH  80S  5"</v>
          </cell>
          <cell r="C628">
            <v>9.52</v>
          </cell>
          <cell r="D628">
            <v>4.57</v>
          </cell>
          <cell r="E628">
            <v>2.9000000000000001E-2</v>
          </cell>
        </row>
        <row r="629">
          <cell r="B629" t="str">
            <v>45E- SCH  XS  5"</v>
          </cell>
          <cell r="C629">
            <v>9.52</v>
          </cell>
          <cell r="D629">
            <v>4.57</v>
          </cell>
          <cell r="E629">
            <v>2.9000000000000001E-2</v>
          </cell>
        </row>
        <row r="630">
          <cell r="B630" t="str">
            <v>45E- SCH  160  5"</v>
          </cell>
          <cell r="C630">
            <v>15.87</v>
          </cell>
          <cell r="D630">
            <v>7.25</v>
          </cell>
          <cell r="E630">
            <v>2.9000000000000001E-2</v>
          </cell>
        </row>
        <row r="631">
          <cell r="B631" t="str">
            <v>45E- SCH  XXS  5"</v>
          </cell>
          <cell r="C631">
            <v>19.05</v>
          </cell>
          <cell r="D631">
            <v>8.4499999999999993</v>
          </cell>
          <cell r="E631">
            <v>2.9000000000000001E-2</v>
          </cell>
        </row>
        <row r="632">
          <cell r="B632" t="str">
            <v>45E- SCH  5S  6"</v>
          </cell>
          <cell r="C632">
            <v>2.77</v>
          </cell>
          <cell r="D632">
            <v>2.02</v>
          </cell>
          <cell r="E632">
            <v>4.2000000000000003E-2</v>
          </cell>
        </row>
        <row r="633">
          <cell r="B633" t="str">
            <v>45E- SCH  10S  6"</v>
          </cell>
          <cell r="C633">
            <v>3.4</v>
          </cell>
          <cell r="D633">
            <v>2.44</v>
          </cell>
          <cell r="E633">
            <v>4.2000000000000003E-2</v>
          </cell>
        </row>
        <row r="634">
          <cell r="B634" t="str">
            <v>45E- SCH  40  6"</v>
          </cell>
          <cell r="C634">
            <v>7.11</v>
          </cell>
          <cell r="D634">
            <v>4.97</v>
          </cell>
          <cell r="E634">
            <v>4.2000000000000003E-2</v>
          </cell>
        </row>
        <row r="635">
          <cell r="B635" t="str">
            <v>45E- SCH  40S  6"</v>
          </cell>
          <cell r="C635">
            <v>7.11</v>
          </cell>
          <cell r="D635">
            <v>4.97</v>
          </cell>
          <cell r="E635">
            <v>4.2000000000000003E-2</v>
          </cell>
        </row>
        <row r="636">
          <cell r="B636" t="str">
            <v>45E- SCH  STD  6"</v>
          </cell>
          <cell r="C636">
            <v>7.11</v>
          </cell>
          <cell r="D636">
            <v>4.97</v>
          </cell>
          <cell r="E636">
            <v>4.2000000000000003E-2</v>
          </cell>
        </row>
        <row r="637">
          <cell r="B637" t="str">
            <v>45E- SCH  80  6"</v>
          </cell>
          <cell r="C637">
            <v>10.97</v>
          </cell>
          <cell r="D637">
            <v>7.5</v>
          </cell>
          <cell r="E637">
            <v>4.2000000000000003E-2</v>
          </cell>
        </row>
        <row r="638">
          <cell r="B638" t="str">
            <v>45E- SCH  80S  6"</v>
          </cell>
          <cell r="C638">
            <v>10.97</v>
          </cell>
          <cell r="D638">
            <v>7.5</v>
          </cell>
          <cell r="E638">
            <v>4.2000000000000003E-2</v>
          </cell>
        </row>
        <row r="639">
          <cell r="B639" t="str">
            <v>45E- SCH  XS  6"</v>
          </cell>
          <cell r="C639">
            <v>10.97</v>
          </cell>
          <cell r="D639">
            <v>7.5</v>
          </cell>
          <cell r="E639">
            <v>4.2000000000000003E-2</v>
          </cell>
        </row>
        <row r="640">
          <cell r="B640" t="str">
            <v>45E- SCH  160  6"</v>
          </cell>
          <cell r="C640">
            <v>18.239999999999998</v>
          </cell>
          <cell r="D640">
            <v>11.9</v>
          </cell>
          <cell r="E640">
            <v>4.2000000000000003E-2</v>
          </cell>
        </row>
        <row r="641">
          <cell r="B641" t="str">
            <v>45E- SCH  XXS  6"</v>
          </cell>
          <cell r="C641">
            <v>21.95</v>
          </cell>
          <cell r="D641">
            <v>13.9</v>
          </cell>
          <cell r="E641">
            <v>4.2000000000000003E-2</v>
          </cell>
        </row>
        <row r="642">
          <cell r="B642" t="str">
            <v>45E- SCH  5S  8"</v>
          </cell>
          <cell r="C642">
            <v>2.77</v>
          </cell>
          <cell r="D642">
            <v>3.53</v>
          </cell>
          <cell r="E642">
            <v>7.3999999999999996E-2</v>
          </cell>
        </row>
        <row r="643">
          <cell r="B643" t="str">
            <v>45E- SCH  10S  8"</v>
          </cell>
          <cell r="C643">
            <v>3.76</v>
          </cell>
          <cell r="D643">
            <v>5</v>
          </cell>
          <cell r="E643">
            <v>7.3999999999999996E-2</v>
          </cell>
        </row>
        <row r="644">
          <cell r="B644" t="str">
            <v>45E- SCH  20  8"</v>
          </cell>
          <cell r="C644">
            <v>6.35</v>
          </cell>
          <cell r="D644">
            <v>8.3000000000000007</v>
          </cell>
          <cell r="E644">
            <v>7.3999999999999996E-2</v>
          </cell>
        </row>
        <row r="645">
          <cell r="B645" t="str">
            <v>45E- SCH  30  8"</v>
          </cell>
          <cell r="C645">
            <v>7.04</v>
          </cell>
          <cell r="D645">
            <v>8.8000000000000007</v>
          </cell>
          <cell r="E645">
            <v>7.3999999999999996E-2</v>
          </cell>
        </row>
        <row r="646">
          <cell r="B646" t="str">
            <v>45E- SCH  40  8"</v>
          </cell>
          <cell r="C646">
            <v>8.18</v>
          </cell>
          <cell r="D646">
            <v>10.1</v>
          </cell>
          <cell r="E646">
            <v>7.3999999999999996E-2</v>
          </cell>
        </row>
        <row r="647">
          <cell r="B647" t="str">
            <v>45E- SCH  40S  8"</v>
          </cell>
          <cell r="C647">
            <v>8.18</v>
          </cell>
          <cell r="D647">
            <v>10.1</v>
          </cell>
          <cell r="E647">
            <v>7.3999999999999996E-2</v>
          </cell>
        </row>
        <row r="648">
          <cell r="B648" t="str">
            <v>45E- SCH  STD  8"</v>
          </cell>
          <cell r="C648">
            <v>8.18</v>
          </cell>
          <cell r="D648">
            <v>10.1</v>
          </cell>
          <cell r="E648">
            <v>7.3999999999999996E-2</v>
          </cell>
        </row>
        <row r="649">
          <cell r="B649" t="str">
            <v>45E- SCH  60  8"</v>
          </cell>
          <cell r="C649">
            <v>10.31</v>
          </cell>
          <cell r="D649">
            <v>13.2</v>
          </cell>
          <cell r="E649">
            <v>7.3999999999999996E-2</v>
          </cell>
        </row>
        <row r="650">
          <cell r="B650" t="str">
            <v>45E- SCH  80  8"</v>
          </cell>
          <cell r="C650">
            <v>12.7</v>
          </cell>
          <cell r="D650">
            <v>15.3</v>
          </cell>
          <cell r="E650">
            <v>7.3999999999999996E-2</v>
          </cell>
        </row>
        <row r="651">
          <cell r="B651" t="str">
            <v>45E- SCH  80S  8"</v>
          </cell>
          <cell r="C651">
            <v>12.7</v>
          </cell>
          <cell r="D651">
            <v>15.3</v>
          </cell>
          <cell r="E651">
            <v>7.3999999999999996E-2</v>
          </cell>
        </row>
        <row r="652">
          <cell r="B652" t="str">
            <v>45E- SCH  XS  8"</v>
          </cell>
          <cell r="C652">
            <v>12.7</v>
          </cell>
          <cell r="D652">
            <v>15.3</v>
          </cell>
          <cell r="E652">
            <v>7.3999999999999996E-2</v>
          </cell>
        </row>
        <row r="653">
          <cell r="B653" t="str">
            <v>45E- SCH  100  8"</v>
          </cell>
          <cell r="C653">
            <v>15.06</v>
          </cell>
          <cell r="D653">
            <v>19</v>
          </cell>
          <cell r="E653">
            <v>7.3999999999999996E-2</v>
          </cell>
        </row>
        <row r="654">
          <cell r="B654" t="str">
            <v>45E- SCH  120  8"</v>
          </cell>
          <cell r="C654">
            <v>18.239999999999998</v>
          </cell>
          <cell r="D654">
            <v>21.3</v>
          </cell>
          <cell r="E654">
            <v>7.3999999999999996E-2</v>
          </cell>
        </row>
        <row r="655">
          <cell r="B655" t="str">
            <v>45E- SCH  140  8"</v>
          </cell>
          <cell r="C655">
            <v>20.62</v>
          </cell>
          <cell r="D655">
            <v>23</v>
          </cell>
          <cell r="E655">
            <v>7.3999999999999996E-2</v>
          </cell>
        </row>
        <row r="656">
          <cell r="B656" t="str">
            <v>45E- SCH  XXS  8"</v>
          </cell>
          <cell r="C656">
            <v>22.22</v>
          </cell>
          <cell r="D656">
            <v>25.4</v>
          </cell>
          <cell r="E656">
            <v>7.3999999999999996E-2</v>
          </cell>
        </row>
        <row r="657">
          <cell r="B657" t="str">
            <v>45E- SCH  160  8"</v>
          </cell>
          <cell r="C657">
            <v>23.01</v>
          </cell>
          <cell r="D657">
            <v>26.3</v>
          </cell>
          <cell r="E657">
            <v>7.3999999999999996E-2</v>
          </cell>
        </row>
        <row r="658">
          <cell r="B658" t="str">
            <v>45E- SCH  5S  10"</v>
          </cell>
          <cell r="C658">
            <v>3.4</v>
          </cell>
          <cell r="D658">
            <v>6.6</v>
          </cell>
          <cell r="E658">
            <v>0.11600000000000001</v>
          </cell>
        </row>
        <row r="659">
          <cell r="B659" t="str">
            <v>45E- SCH  10S  10"</v>
          </cell>
          <cell r="C659">
            <v>4.1900000000000004</v>
          </cell>
          <cell r="D659">
            <v>7.8</v>
          </cell>
          <cell r="E659">
            <v>0.11600000000000001</v>
          </cell>
        </row>
        <row r="660">
          <cell r="B660" t="str">
            <v>45E- SCH  40  10"</v>
          </cell>
          <cell r="C660">
            <v>9.27</v>
          </cell>
          <cell r="D660">
            <v>17.7</v>
          </cell>
          <cell r="E660">
            <v>0.11600000000000001</v>
          </cell>
        </row>
        <row r="661">
          <cell r="B661" t="str">
            <v>45E- SCH  40S  10"</v>
          </cell>
          <cell r="C661">
            <v>9.27</v>
          </cell>
          <cell r="D661">
            <v>17.7</v>
          </cell>
          <cell r="E661">
            <v>0.11600000000000001</v>
          </cell>
        </row>
        <row r="662">
          <cell r="B662" t="str">
            <v>45E- SCH  STD  10"</v>
          </cell>
          <cell r="C662">
            <v>9.27</v>
          </cell>
          <cell r="D662">
            <v>17.7</v>
          </cell>
          <cell r="E662">
            <v>0.11600000000000001</v>
          </cell>
        </row>
        <row r="663">
          <cell r="B663" t="str">
            <v>45E- SCH  80  10"</v>
          </cell>
          <cell r="C663">
            <v>15.06</v>
          </cell>
          <cell r="D663">
            <v>28.1</v>
          </cell>
          <cell r="E663">
            <v>0.11600000000000001</v>
          </cell>
        </row>
        <row r="664">
          <cell r="B664" t="str">
            <v>45E- SCH  120  10"</v>
          </cell>
          <cell r="C664">
            <v>21.41</v>
          </cell>
          <cell r="D664">
            <v>38.799999999999997</v>
          </cell>
          <cell r="E664">
            <v>0.11600000000000001</v>
          </cell>
        </row>
        <row r="665">
          <cell r="B665" t="str">
            <v>45E- SCH  140  10"</v>
          </cell>
          <cell r="C665">
            <v>25.4</v>
          </cell>
          <cell r="D665">
            <v>45.4</v>
          </cell>
          <cell r="E665">
            <v>0.11600000000000001</v>
          </cell>
        </row>
        <row r="666">
          <cell r="B666" t="str">
            <v>45E- SCH  XXS  10"</v>
          </cell>
          <cell r="C666">
            <v>25.4</v>
          </cell>
          <cell r="D666">
            <v>45.4</v>
          </cell>
          <cell r="E666">
            <v>0.11600000000000001</v>
          </cell>
        </row>
        <row r="667">
          <cell r="B667" t="str">
            <v>45E- SCH  160  10"</v>
          </cell>
          <cell r="C667">
            <v>28.57</v>
          </cell>
          <cell r="D667">
            <v>50.5</v>
          </cell>
          <cell r="E667">
            <v>0.11600000000000001</v>
          </cell>
        </row>
        <row r="668">
          <cell r="B668" t="str">
            <v>45E- SCH  5S  12"</v>
          </cell>
          <cell r="C668">
            <v>4.1900000000000004</v>
          </cell>
          <cell r="D668">
            <v>11.2</v>
          </cell>
          <cell r="E668">
            <v>0.16700000000000001</v>
          </cell>
        </row>
        <row r="669">
          <cell r="B669" t="str">
            <v>45E- SCH  10S  12"</v>
          </cell>
          <cell r="C669">
            <v>4.57</v>
          </cell>
          <cell r="D669">
            <v>12.5</v>
          </cell>
          <cell r="E669">
            <v>0.16700000000000001</v>
          </cell>
        </row>
        <row r="670">
          <cell r="B670" t="str">
            <v>45E- SCH  20  12"</v>
          </cell>
          <cell r="C670">
            <v>6.35</v>
          </cell>
          <cell r="D670">
            <v>18.600000000000001</v>
          </cell>
          <cell r="E670">
            <v>0.16700000000000001</v>
          </cell>
        </row>
        <row r="671">
          <cell r="B671" t="str">
            <v>45E- SCH  30  12"</v>
          </cell>
          <cell r="C671">
            <v>8.3800000000000008</v>
          </cell>
          <cell r="D671">
            <v>23</v>
          </cell>
          <cell r="E671">
            <v>0.16700000000000001</v>
          </cell>
        </row>
        <row r="672">
          <cell r="B672" t="str">
            <v>45E- SCH  STD  12"</v>
          </cell>
          <cell r="C672">
            <v>9.52</v>
          </cell>
          <cell r="D672">
            <v>27</v>
          </cell>
          <cell r="E672">
            <v>0.16700000000000001</v>
          </cell>
        </row>
        <row r="673">
          <cell r="B673" t="str">
            <v>45E- SCH  40S  12"</v>
          </cell>
          <cell r="C673">
            <v>9.52</v>
          </cell>
          <cell r="D673">
            <v>27</v>
          </cell>
          <cell r="E673">
            <v>0.16700000000000001</v>
          </cell>
        </row>
        <row r="674">
          <cell r="B674" t="str">
            <v>45E- SCH  40  12"</v>
          </cell>
          <cell r="C674">
            <v>10.31</v>
          </cell>
          <cell r="D674">
            <v>28.1</v>
          </cell>
          <cell r="E674">
            <v>0.16700000000000001</v>
          </cell>
        </row>
        <row r="675">
          <cell r="B675" t="str">
            <v>45E- SCH  XS  12"</v>
          </cell>
          <cell r="C675">
            <v>12.7</v>
          </cell>
          <cell r="D675">
            <v>35</v>
          </cell>
          <cell r="E675">
            <v>0.16700000000000001</v>
          </cell>
        </row>
        <row r="676">
          <cell r="B676" t="str">
            <v>45E- SCH  80S  12"</v>
          </cell>
          <cell r="C676">
            <v>12.7</v>
          </cell>
          <cell r="D676">
            <v>35</v>
          </cell>
          <cell r="E676">
            <v>0.16700000000000001</v>
          </cell>
        </row>
        <row r="677">
          <cell r="B677" t="str">
            <v>45E- SCH  60  12"</v>
          </cell>
          <cell r="C677">
            <v>14.27</v>
          </cell>
          <cell r="D677">
            <v>41.3</v>
          </cell>
          <cell r="E677">
            <v>0.16700000000000001</v>
          </cell>
        </row>
        <row r="678">
          <cell r="B678" t="str">
            <v>45E- SCH  80  12"</v>
          </cell>
          <cell r="C678">
            <v>17.45</v>
          </cell>
          <cell r="D678">
            <v>46.4</v>
          </cell>
          <cell r="E678">
            <v>0.16700000000000001</v>
          </cell>
        </row>
        <row r="679">
          <cell r="B679" t="str">
            <v>45E- SCH  100  12"</v>
          </cell>
          <cell r="C679">
            <v>21.41</v>
          </cell>
          <cell r="D679">
            <v>61.5</v>
          </cell>
          <cell r="E679">
            <v>0.16700000000000001</v>
          </cell>
        </row>
        <row r="680">
          <cell r="B680" t="str">
            <v>45E- SCH  XXS  12"</v>
          </cell>
          <cell r="C680">
            <v>25.4</v>
          </cell>
          <cell r="D680">
            <v>66</v>
          </cell>
          <cell r="E680">
            <v>0.16700000000000001</v>
          </cell>
        </row>
        <row r="681">
          <cell r="B681" t="str">
            <v>45E- SCH  120  12"</v>
          </cell>
          <cell r="C681">
            <v>25.4</v>
          </cell>
          <cell r="D681">
            <v>66</v>
          </cell>
          <cell r="E681">
            <v>0.16700000000000001</v>
          </cell>
        </row>
        <row r="682">
          <cell r="B682" t="str">
            <v>45E- SCH  140  12"</v>
          </cell>
          <cell r="C682">
            <v>28.57</v>
          </cell>
          <cell r="D682">
            <v>78</v>
          </cell>
          <cell r="E682">
            <v>0.16700000000000001</v>
          </cell>
        </row>
        <row r="683">
          <cell r="B683" t="str">
            <v>45E- SCH  160  12"</v>
          </cell>
          <cell r="C683">
            <v>33.32</v>
          </cell>
          <cell r="D683">
            <v>84</v>
          </cell>
          <cell r="E683">
            <v>0.16700000000000001</v>
          </cell>
        </row>
        <row r="684">
          <cell r="B684" t="str">
            <v>45E- SCH  5S  14"</v>
          </cell>
          <cell r="C684">
            <v>3.96</v>
          </cell>
          <cell r="D684">
            <v>14.5</v>
          </cell>
          <cell r="E684">
            <v>0.22700000000000001</v>
          </cell>
        </row>
        <row r="685">
          <cell r="B685" t="str">
            <v>45E- SCH  10S  14"</v>
          </cell>
          <cell r="C685">
            <v>4.78</v>
          </cell>
          <cell r="D685">
            <v>17.399999999999999</v>
          </cell>
          <cell r="E685">
            <v>0.22700000000000001</v>
          </cell>
        </row>
        <row r="686">
          <cell r="B686" t="str">
            <v>45E- SCH  10  14"</v>
          </cell>
          <cell r="C686">
            <v>6.35</v>
          </cell>
          <cell r="D686">
            <v>28.7</v>
          </cell>
          <cell r="E686">
            <v>0.22700000000000001</v>
          </cell>
        </row>
        <row r="687">
          <cell r="B687" t="str">
            <v>45E- SCH  20  14"</v>
          </cell>
          <cell r="C687">
            <v>7.92</v>
          </cell>
          <cell r="D687">
            <v>29.9</v>
          </cell>
          <cell r="E687">
            <v>0.22700000000000001</v>
          </cell>
        </row>
        <row r="688">
          <cell r="B688" t="str">
            <v>45E- SCH  30  14"</v>
          </cell>
          <cell r="C688">
            <v>9.52</v>
          </cell>
          <cell r="D688">
            <v>34</v>
          </cell>
          <cell r="E688">
            <v>0.22700000000000001</v>
          </cell>
        </row>
        <row r="689">
          <cell r="B689" t="str">
            <v>45E- SCH  STD  14"</v>
          </cell>
          <cell r="C689">
            <v>9.52</v>
          </cell>
          <cell r="D689">
            <v>34</v>
          </cell>
          <cell r="E689">
            <v>0.22700000000000001</v>
          </cell>
        </row>
        <row r="690">
          <cell r="B690" t="str">
            <v>45E- SCH  40  14"</v>
          </cell>
          <cell r="C690">
            <v>11.13</v>
          </cell>
          <cell r="D690">
            <v>39.9</v>
          </cell>
          <cell r="E690">
            <v>0.22700000000000001</v>
          </cell>
        </row>
        <row r="691">
          <cell r="B691" t="str">
            <v>45E- SCH  XS  14"</v>
          </cell>
          <cell r="C691">
            <v>12.7</v>
          </cell>
          <cell r="D691">
            <v>47.2</v>
          </cell>
          <cell r="E691">
            <v>0.22700000000000001</v>
          </cell>
        </row>
        <row r="692">
          <cell r="B692" t="str">
            <v>45E- SCH  60  14"</v>
          </cell>
          <cell r="C692">
            <v>15.06</v>
          </cell>
          <cell r="D692">
            <v>55.6</v>
          </cell>
          <cell r="E692">
            <v>0.22700000000000001</v>
          </cell>
        </row>
        <row r="693">
          <cell r="B693" t="str">
            <v>45E- SCH  80  14"</v>
          </cell>
          <cell r="C693">
            <v>19.05</v>
          </cell>
          <cell r="D693">
            <v>66</v>
          </cell>
          <cell r="E693">
            <v>0.22700000000000001</v>
          </cell>
        </row>
        <row r="694">
          <cell r="B694" t="str">
            <v>45E- SCH  100  14"</v>
          </cell>
          <cell r="C694">
            <v>23.8</v>
          </cell>
          <cell r="D694">
            <v>94</v>
          </cell>
          <cell r="E694">
            <v>0.22700000000000001</v>
          </cell>
        </row>
        <row r="695">
          <cell r="B695" t="str">
            <v>45E- SCH  120  14"</v>
          </cell>
          <cell r="C695">
            <v>27.76</v>
          </cell>
          <cell r="D695">
            <v>95</v>
          </cell>
          <cell r="E695">
            <v>0.22700000000000001</v>
          </cell>
        </row>
        <row r="696">
          <cell r="B696" t="str">
            <v>45E- SCH  140  14"</v>
          </cell>
          <cell r="C696">
            <v>31.75</v>
          </cell>
          <cell r="D696">
            <v>112</v>
          </cell>
          <cell r="E696">
            <v>0.22700000000000001</v>
          </cell>
        </row>
        <row r="697">
          <cell r="B697" t="str">
            <v>45E- SCH  160  14"</v>
          </cell>
          <cell r="C697">
            <v>35.71</v>
          </cell>
          <cell r="D697">
            <v>118</v>
          </cell>
          <cell r="E697">
            <v>0.22700000000000001</v>
          </cell>
        </row>
        <row r="698">
          <cell r="B698" t="str">
            <v>45E- SCH  5S  16"</v>
          </cell>
          <cell r="C698">
            <v>4.1900000000000004</v>
          </cell>
          <cell r="D698">
            <v>22.7</v>
          </cell>
          <cell r="E698">
            <v>0.29599999999999999</v>
          </cell>
        </row>
        <row r="699">
          <cell r="B699" t="str">
            <v>45E- SCH  10S  16"</v>
          </cell>
          <cell r="C699">
            <v>4.76</v>
          </cell>
          <cell r="D699">
            <v>24.8</v>
          </cell>
          <cell r="E699">
            <v>0.29599999999999999</v>
          </cell>
        </row>
        <row r="700">
          <cell r="B700" t="str">
            <v>45E- SCH  10  16"</v>
          </cell>
          <cell r="C700">
            <v>6.35</v>
          </cell>
          <cell r="D700">
            <v>31.6</v>
          </cell>
          <cell r="E700">
            <v>0.29599999999999999</v>
          </cell>
        </row>
        <row r="701">
          <cell r="B701" t="str">
            <v>45E- SCH  20  16"</v>
          </cell>
          <cell r="C701">
            <v>7.92</v>
          </cell>
          <cell r="D701">
            <v>27.2</v>
          </cell>
          <cell r="E701">
            <v>0.29599999999999999</v>
          </cell>
        </row>
        <row r="702">
          <cell r="B702" t="str">
            <v>45E- SCH  STD  16"</v>
          </cell>
          <cell r="C702">
            <v>9.52</v>
          </cell>
          <cell r="D702">
            <v>44.5</v>
          </cell>
          <cell r="E702">
            <v>0.29599999999999999</v>
          </cell>
        </row>
        <row r="703">
          <cell r="B703" t="str">
            <v>45E- SCH  30  16"</v>
          </cell>
          <cell r="C703">
            <v>9.52</v>
          </cell>
          <cell r="D703">
            <v>44.5</v>
          </cell>
          <cell r="E703">
            <v>0.29599999999999999</v>
          </cell>
        </row>
        <row r="704">
          <cell r="B704" t="str">
            <v>45E- SCH  XS  16"</v>
          </cell>
          <cell r="C704">
            <v>12.7</v>
          </cell>
          <cell r="D704">
            <v>59</v>
          </cell>
          <cell r="E704">
            <v>0.29599999999999999</v>
          </cell>
        </row>
        <row r="705">
          <cell r="B705" t="str">
            <v>45E- SCH  40  16"</v>
          </cell>
          <cell r="C705">
            <v>12.7</v>
          </cell>
          <cell r="D705">
            <v>59</v>
          </cell>
          <cell r="E705">
            <v>0.29599999999999999</v>
          </cell>
        </row>
        <row r="706">
          <cell r="B706" t="str">
            <v>45E- SCH  60  16"</v>
          </cell>
          <cell r="C706">
            <v>16.66</v>
          </cell>
          <cell r="D706">
            <v>76.8</v>
          </cell>
          <cell r="E706">
            <v>0.29599999999999999</v>
          </cell>
        </row>
        <row r="707">
          <cell r="B707" t="str">
            <v>45E- SCH  80  16"</v>
          </cell>
          <cell r="C707">
            <v>21.41</v>
          </cell>
          <cell r="D707">
            <v>97</v>
          </cell>
          <cell r="E707">
            <v>0.29599999999999999</v>
          </cell>
        </row>
        <row r="708">
          <cell r="B708" t="str">
            <v>45E- SCH  100  16"</v>
          </cell>
          <cell r="C708">
            <v>26.19</v>
          </cell>
          <cell r="D708">
            <v>117.6</v>
          </cell>
          <cell r="E708">
            <v>0.29599999999999999</v>
          </cell>
        </row>
        <row r="709">
          <cell r="B709" t="str">
            <v>45E- SCH  120  16"</v>
          </cell>
          <cell r="C709">
            <v>30.94</v>
          </cell>
          <cell r="D709">
            <v>137</v>
          </cell>
          <cell r="E709">
            <v>0.29599999999999999</v>
          </cell>
        </row>
        <row r="710">
          <cell r="B710" t="str">
            <v>45E- SCH  140  16"</v>
          </cell>
          <cell r="C710">
            <v>36.53</v>
          </cell>
          <cell r="D710">
            <v>159.4</v>
          </cell>
          <cell r="E710">
            <v>0.29599999999999999</v>
          </cell>
        </row>
        <row r="711">
          <cell r="B711" t="str">
            <v>45E- SCH  160  16"</v>
          </cell>
          <cell r="C711">
            <v>40.46</v>
          </cell>
          <cell r="D711">
            <v>175</v>
          </cell>
          <cell r="E711">
            <v>0.29599999999999999</v>
          </cell>
        </row>
        <row r="712">
          <cell r="B712" t="str">
            <v>45E- SCH  5S  18"</v>
          </cell>
          <cell r="C712">
            <v>4.1900000000000004</v>
          </cell>
          <cell r="D712">
            <v>18.3</v>
          </cell>
          <cell r="E712">
            <v>0.375</v>
          </cell>
        </row>
        <row r="713">
          <cell r="B713" t="str">
            <v>45E- SCH  10S  18"</v>
          </cell>
          <cell r="C713">
            <v>4.78</v>
          </cell>
          <cell r="D713">
            <v>30</v>
          </cell>
          <cell r="E713">
            <v>0.375</v>
          </cell>
        </row>
        <row r="714">
          <cell r="B714" t="str">
            <v>45E- SCH  10  18"</v>
          </cell>
          <cell r="C714">
            <v>6.35</v>
          </cell>
          <cell r="D714">
            <v>41</v>
          </cell>
          <cell r="E714">
            <v>0.375</v>
          </cell>
        </row>
        <row r="715">
          <cell r="B715" t="str">
            <v>45E- SCH  20  18"</v>
          </cell>
          <cell r="C715">
            <v>7.92</v>
          </cell>
          <cell r="D715">
            <v>47.7</v>
          </cell>
          <cell r="E715">
            <v>0.375</v>
          </cell>
        </row>
        <row r="716">
          <cell r="B716" t="str">
            <v>45E- SCH  STD  18"</v>
          </cell>
          <cell r="C716">
            <v>9.52</v>
          </cell>
          <cell r="D716">
            <v>56.6</v>
          </cell>
          <cell r="E716">
            <v>0.375</v>
          </cell>
        </row>
        <row r="717">
          <cell r="B717" t="str">
            <v>45E- SCH  30  18"</v>
          </cell>
          <cell r="C717">
            <v>11.13</v>
          </cell>
          <cell r="D717">
            <v>65.8</v>
          </cell>
          <cell r="E717">
            <v>0.375</v>
          </cell>
        </row>
        <row r="718">
          <cell r="B718" t="str">
            <v>45E- SCH  XS  18"</v>
          </cell>
          <cell r="C718">
            <v>12.7</v>
          </cell>
          <cell r="D718">
            <v>74.5</v>
          </cell>
          <cell r="E718">
            <v>0.375</v>
          </cell>
        </row>
        <row r="719">
          <cell r="B719" t="str">
            <v>45E- SCH  40  18"</v>
          </cell>
          <cell r="C719">
            <v>14.27</v>
          </cell>
          <cell r="D719">
            <v>84</v>
          </cell>
          <cell r="E719">
            <v>0.375</v>
          </cell>
        </row>
        <row r="720">
          <cell r="B720" t="str">
            <v>45E- SCH  60  18"</v>
          </cell>
          <cell r="C720">
            <v>19.05</v>
          </cell>
          <cell r="D720">
            <v>111.2</v>
          </cell>
          <cell r="E720">
            <v>0.375</v>
          </cell>
        </row>
        <row r="721">
          <cell r="B721" t="str">
            <v>45E- SCH  80  18"</v>
          </cell>
          <cell r="C721">
            <v>23.8</v>
          </cell>
          <cell r="D721">
            <v>137</v>
          </cell>
          <cell r="E721">
            <v>0.375</v>
          </cell>
        </row>
        <row r="722">
          <cell r="B722" t="str">
            <v>45E- SCH  100  18"</v>
          </cell>
          <cell r="C722">
            <v>29.36</v>
          </cell>
          <cell r="D722">
            <v>172.1</v>
          </cell>
          <cell r="E722">
            <v>0.375</v>
          </cell>
        </row>
        <row r="723">
          <cell r="B723" t="str">
            <v>45E- SCH  120  18"</v>
          </cell>
          <cell r="C723">
            <v>34.92</v>
          </cell>
          <cell r="D723">
            <v>195.8</v>
          </cell>
          <cell r="E723">
            <v>0.375</v>
          </cell>
        </row>
        <row r="724">
          <cell r="B724" t="str">
            <v>45E- SCH  140  18"</v>
          </cell>
          <cell r="C724">
            <v>39.67</v>
          </cell>
          <cell r="D724">
            <v>220.1</v>
          </cell>
          <cell r="E724">
            <v>0.375</v>
          </cell>
        </row>
        <row r="725">
          <cell r="B725" t="str">
            <v>45E- SCH  160  18"</v>
          </cell>
          <cell r="C725">
            <v>45.24</v>
          </cell>
          <cell r="D725">
            <v>247.5</v>
          </cell>
          <cell r="E725">
            <v>0.375</v>
          </cell>
        </row>
        <row r="726">
          <cell r="B726" t="str">
            <v>45E- SCH  5S  20"</v>
          </cell>
          <cell r="C726">
            <v>4.78</v>
          </cell>
          <cell r="D726">
            <v>37.5</v>
          </cell>
          <cell r="E726">
            <v>0.46300000000000002</v>
          </cell>
        </row>
        <row r="727">
          <cell r="B727" t="str">
            <v>45E- SCH  10S  20"</v>
          </cell>
          <cell r="C727">
            <v>5.54</v>
          </cell>
          <cell r="D727">
            <v>50</v>
          </cell>
          <cell r="E727">
            <v>0.46300000000000002</v>
          </cell>
        </row>
        <row r="728">
          <cell r="B728" t="str">
            <v>45E- SCH  10  20"</v>
          </cell>
          <cell r="C728">
            <v>6.35</v>
          </cell>
          <cell r="D728">
            <v>50</v>
          </cell>
          <cell r="E728">
            <v>0.46300000000000002</v>
          </cell>
        </row>
        <row r="729">
          <cell r="B729" t="str">
            <v>45E- SCH  STD  20"</v>
          </cell>
          <cell r="C729">
            <v>9.52</v>
          </cell>
          <cell r="D729">
            <v>69.900000000000006</v>
          </cell>
          <cell r="E729">
            <v>0.46300000000000002</v>
          </cell>
        </row>
        <row r="730">
          <cell r="B730" t="str">
            <v>45E- SCH  20  20"</v>
          </cell>
          <cell r="C730">
            <v>9.52</v>
          </cell>
          <cell r="D730">
            <v>69.900000000000006</v>
          </cell>
          <cell r="E730">
            <v>0.46300000000000002</v>
          </cell>
        </row>
        <row r="731">
          <cell r="B731" t="str">
            <v>45E- SCH  XS  20"</v>
          </cell>
          <cell r="C731">
            <v>12.7</v>
          </cell>
          <cell r="D731">
            <v>92.3</v>
          </cell>
          <cell r="E731">
            <v>0.46300000000000002</v>
          </cell>
        </row>
        <row r="732">
          <cell r="B732" t="str">
            <v>45E- SCH  30  20"</v>
          </cell>
          <cell r="C732">
            <v>12.7</v>
          </cell>
          <cell r="D732">
            <v>92.3</v>
          </cell>
          <cell r="E732">
            <v>0.46300000000000002</v>
          </cell>
        </row>
        <row r="733">
          <cell r="B733" t="str">
            <v>45E- SCH  40  20"</v>
          </cell>
          <cell r="C733">
            <v>15.06</v>
          </cell>
          <cell r="D733">
            <v>110</v>
          </cell>
          <cell r="E733">
            <v>0.46300000000000002</v>
          </cell>
        </row>
        <row r="734">
          <cell r="B734" t="str">
            <v>45E- SCH  60  20"</v>
          </cell>
          <cell r="C734">
            <v>20.62</v>
          </cell>
          <cell r="D734">
            <v>148.19999999999999</v>
          </cell>
          <cell r="E734">
            <v>0.46300000000000002</v>
          </cell>
        </row>
        <row r="735">
          <cell r="B735" t="str">
            <v>45E- SCH  80  20"</v>
          </cell>
          <cell r="C735">
            <v>26.19</v>
          </cell>
          <cell r="D735">
            <v>186</v>
          </cell>
          <cell r="E735">
            <v>0.46300000000000002</v>
          </cell>
        </row>
        <row r="736">
          <cell r="B736" t="str">
            <v>45E- SCH  100  20"</v>
          </cell>
          <cell r="C736">
            <v>32.54</v>
          </cell>
          <cell r="D736">
            <v>228.1</v>
          </cell>
          <cell r="E736">
            <v>0.46300000000000002</v>
          </cell>
        </row>
        <row r="737">
          <cell r="B737" t="str">
            <v>45E- SCH  120  20"</v>
          </cell>
          <cell r="C737">
            <v>38.1</v>
          </cell>
          <cell r="D737">
            <v>269.2</v>
          </cell>
          <cell r="E737">
            <v>0.46300000000000002</v>
          </cell>
        </row>
        <row r="738">
          <cell r="B738" t="str">
            <v>45E- SCH  140  20"</v>
          </cell>
          <cell r="C738">
            <v>44.45</v>
          </cell>
          <cell r="D738">
            <v>303.8</v>
          </cell>
          <cell r="E738">
            <v>0.46300000000000002</v>
          </cell>
        </row>
        <row r="739">
          <cell r="B739" t="str">
            <v>45E- SCH  160  20"</v>
          </cell>
          <cell r="C739">
            <v>49.99</v>
          </cell>
          <cell r="D739">
            <v>338</v>
          </cell>
          <cell r="E739">
            <v>0.46300000000000002</v>
          </cell>
        </row>
        <row r="740">
          <cell r="B740" t="str">
            <v>45E- SCH  5S  24"</v>
          </cell>
          <cell r="C740">
            <v>5.54</v>
          </cell>
          <cell r="D740">
            <v>65</v>
          </cell>
          <cell r="E740">
            <v>0.66600000000000004</v>
          </cell>
        </row>
        <row r="741">
          <cell r="B741" t="str">
            <v>45E- SCH  10  24"</v>
          </cell>
          <cell r="C741">
            <v>6.35</v>
          </cell>
          <cell r="D741">
            <v>70</v>
          </cell>
          <cell r="E741">
            <v>0.66600000000000004</v>
          </cell>
        </row>
        <row r="742">
          <cell r="B742" t="str">
            <v>45E- SCH  10S  24"</v>
          </cell>
          <cell r="C742">
            <v>6.35</v>
          </cell>
          <cell r="D742">
            <v>70</v>
          </cell>
          <cell r="E742">
            <v>0.66600000000000004</v>
          </cell>
        </row>
        <row r="743">
          <cell r="B743" t="str">
            <v>45E- SCH  STD  24"</v>
          </cell>
          <cell r="C743">
            <v>9.52</v>
          </cell>
          <cell r="D743">
            <v>99.4</v>
          </cell>
          <cell r="E743">
            <v>0.66600000000000004</v>
          </cell>
        </row>
        <row r="744">
          <cell r="B744" t="str">
            <v>45E- SCH  20  24"</v>
          </cell>
          <cell r="C744">
            <v>9.52</v>
          </cell>
          <cell r="D744">
            <v>99.4</v>
          </cell>
          <cell r="E744">
            <v>0.66600000000000004</v>
          </cell>
        </row>
        <row r="745">
          <cell r="B745" t="str">
            <v>45E- SCH  XS  24"</v>
          </cell>
          <cell r="C745">
            <v>12.7</v>
          </cell>
          <cell r="D745">
            <v>135</v>
          </cell>
          <cell r="E745">
            <v>0.66600000000000004</v>
          </cell>
        </row>
        <row r="746">
          <cell r="B746" t="str">
            <v>45E- SCH  30  24"</v>
          </cell>
          <cell r="C746">
            <v>14.27</v>
          </cell>
          <cell r="D746">
            <v>150.80000000000001</v>
          </cell>
          <cell r="E746">
            <v>0.66600000000000004</v>
          </cell>
        </row>
        <row r="747">
          <cell r="B747" t="str">
            <v>45E- SCH  40  24"</v>
          </cell>
          <cell r="C747">
            <v>17.45</v>
          </cell>
          <cell r="D747">
            <v>187.5</v>
          </cell>
          <cell r="E747">
            <v>0.66600000000000004</v>
          </cell>
        </row>
        <row r="748">
          <cell r="B748" t="str">
            <v>45E- SCH  60  24"</v>
          </cell>
          <cell r="C748">
            <v>24.59</v>
          </cell>
          <cell r="D748">
            <v>254.9</v>
          </cell>
          <cell r="E748">
            <v>0.66600000000000004</v>
          </cell>
        </row>
        <row r="749">
          <cell r="B749" t="str">
            <v>45E- SCH  80  24"</v>
          </cell>
          <cell r="C749">
            <v>30.94</v>
          </cell>
          <cell r="D749">
            <v>317.5</v>
          </cell>
          <cell r="E749">
            <v>0.66600000000000004</v>
          </cell>
        </row>
        <row r="750">
          <cell r="B750" t="str">
            <v>45E- SCH  100  24"</v>
          </cell>
          <cell r="C750">
            <v>38.89</v>
          </cell>
          <cell r="D750">
            <v>393.1</v>
          </cell>
          <cell r="E750">
            <v>0.66600000000000004</v>
          </cell>
        </row>
        <row r="751">
          <cell r="B751" t="str">
            <v>45E- SCH  120  24"</v>
          </cell>
          <cell r="C751">
            <v>46.02</v>
          </cell>
          <cell r="D751">
            <v>459.2</v>
          </cell>
          <cell r="E751">
            <v>0.66600000000000004</v>
          </cell>
        </row>
        <row r="752">
          <cell r="B752" t="str">
            <v>45E- SCH  140  24"</v>
          </cell>
          <cell r="C752">
            <v>52.37</v>
          </cell>
          <cell r="D752">
            <v>516.5</v>
          </cell>
          <cell r="E752">
            <v>0.66600000000000004</v>
          </cell>
        </row>
        <row r="753">
          <cell r="B753" t="str">
            <v>45E- SCH  160  24"</v>
          </cell>
          <cell r="C753">
            <v>59.51</v>
          </cell>
          <cell r="D753">
            <v>580</v>
          </cell>
          <cell r="E753">
            <v>0.66600000000000004</v>
          </cell>
        </row>
        <row r="754">
          <cell r="B754" t="str">
            <v>45E- SCH  6.35  26"</v>
          </cell>
          <cell r="C754">
            <v>6.35</v>
          </cell>
          <cell r="D754">
            <v>75.400000000000006</v>
          </cell>
          <cell r="E754">
            <v>0.78200000000000003</v>
          </cell>
        </row>
        <row r="755">
          <cell r="B755" t="str">
            <v>45E- SCH  10  26"</v>
          </cell>
          <cell r="C755">
            <v>7.92</v>
          </cell>
          <cell r="D755">
            <v>100.2</v>
          </cell>
          <cell r="E755">
            <v>0.78200000000000003</v>
          </cell>
        </row>
        <row r="756">
          <cell r="B756" t="str">
            <v>45E- SCH  STD  26"</v>
          </cell>
          <cell r="C756">
            <v>9.5299999999999994</v>
          </cell>
          <cell r="D756">
            <v>168.6</v>
          </cell>
          <cell r="E756">
            <v>0.78200000000000003</v>
          </cell>
        </row>
        <row r="757">
          <cell r="B757" t="str">
            <v>45E- SCH  XS  26"</v>
          </cell>
          <cell r="C757">
            <v>12.7</v>
          </cell>
          <cell r="D757">
            <v>158</v>
          </cell>
          <cell r="E757">
            <v>0.78200000000000003</v>
          </cell>
        </row>
        <row r="758">
          <cell r="B758" t="str">
            <v>45E- SCH  20  26"</v>
          </cell>
          <cell r="C758">
            <v>12.7</v>
          </cell>
          <cell r="D758">
            <v>158</v>
          </cell>
          <cell r="E758">
            <v>0.78200000000000003</v>
          </cell>
        </row>
        <row r="759">
          <cell r="B759" t="str">
            <v>45E- SCH  STD  28"</v>
          </cell>
          <cell r="C759">
            <v>9.5299999999999994</v>
          </cell>
          <cell r="D759">
            <v>147.5</v>
          </cell>
          <cell r="E759">
            <v>0.90700000000000003</v>
          </cell>
        </row>
        <row r="760">
          <cell r="B760" t="str">
            <v>45E- SCH  XS  28"</v>
          </cell>
          <cell r="C760">
            <v>12.7</v>
          </cell>
          <cell r="D760">
            <v>183</v>
          </cell>
          <cell r="E760">
            <v>0.90700000000000003</v>
          </cell>
        </row>
        <row r="761">
          <cell r="B761" t="str">
            <v>45E- SCH  20  28"</v>
          </cell>
          <cell r="C761">
            <v>12.7</v>
          </cell>
          <cell r="D761">
            <v>183</v>
          </cell>
          <cell r="E761">
            <v>0.90700000000000003</v>
          </cell>
        </row>
        <row r="762">
          <cell r="B762" t="str">
            <v>45E- SCH  STD  30"</v>
          </cell>
          <cell r="C762">
            <v>9.5299999999999994</v>
          </cell>
          <cell r="D762">
            <v>158</v>
          </cell>
          <cell r="E762">
            <v>1.0409999999999999</v>
          </cell>
        </row>
        <row r="763">
          <cell r="B763" t="str">
            <v>45E- SCH  XS  30"</v>
          </cell>
          <cell r="C763">
            <v>12.7</v>
          </cell>
          <cell r="D763">
            <v>210</v>
          </cell>
          <cell r="E763">
            <v>1.0409999999999999</v>
          </cell>
        </row>
        <row r="764">
          <cell r="B764" t="str">
            <v>45E- SCH  20  30"</v>
          </cell>
          <cell r="C764">
            <v>12.7</v>
          </cell>
          <cell r="D764">
            <v>210</v>
          </cell>
          <cell r="E764">
            <v>1.0409999999999999</v>
          </cell>
        </row>
        <row r="765">
          <cell r="B765" t="str">
            <v>45E- SCH  STD  32"</v>
          </cell>
          <cell r="C765">
            <v>9.5299999999999994</v>
          </cell>
          <cell r="D765">
            <v>180</v>
          </cell>
          <cell r="E765">
            <v>1.1839999999999999</v>
          </cell>
        </row>
        <row r="766">
          <cell r="B766" t="str">
            <v>45E- SCH  30  32"</v>
          </cell>
          <cell r="C766">
            <v>15.88</v>
          </cell>
          <cell r="D766">
            <v>240</v>
          </cell>
          <cell r="E766">
            <v>1.1839999999999999</v>
          </cell>
        </row>
        <row r="767">
          <cell r="B767" t="str">
            <v>45E- SCH  STD  34"</v>
          </cell>
          <cell r="C767">
            <v>9.5299999999999994</v>
          </cell>
          <cell r="D767">
            <v>203.5</v>
          </cell>
          <cell r="E767">
            <v>1.337</v>
          </cell>
        </row>
        <row r="768">
          <cell r="B768" t="str">
            <v>45E- SCH  XS  34"</v>
          </cell>
          <cell r="C768">
            <v>12.7</v>
          </cell>
          <cell r="D768">
            <v>271</v>
          </cell>
          <cell r="E768">
            <v>1.337</v>
          </cell>
        </row>
        <row r="769">
          <cell r="B769" t="str">
            <v>45E- SCH  20  34"</v>
          </cell>
          <cell r="C769">
            <v>12.7</v>
          </cell>
          <cell r="D769">
            <v>271</v>
          </cell>
          <cell r="E769">
            <v>1.337</v>
          </cell>
        </row>
        <row r="770">
          <cell r="B770" t="str">
            <v>45E- SCH  STD  36"</v>
          </cell>
          <cell r="C770">
            <v>9.5299999999999994</v>
          </cell>
          <cell r="D770">
            <v>228.5</v>
          </cell>
          <cell r="E770">
            <v>1.4990000000000001</v>
          </cell>
        </row>
        <row r="771">
          <cell r="B771" t="str">
            <v>45E- SCH  XS  36"</v>
          </cell>
          <cell r="C771">
            <v>12.7</v>
          </cell>
          <cell r="D771">
            <v>304</v>
          </cell>
          <cell r="E771">
            <v>1.4990000000000001</v>
          </cell>
        </row>
        <row r="772">
          <cell r="B772" t="str">
            <v>45E- SCH  20  36"</v>
          </cell>
          <cell r="C772">
            <v>12.7</v>
          </cell>
          <cell r="D772">
            <v>304</v>
          </cell>
          <cell r="E772">
            <v>1.4990000000000001</v>
          </cell>
        </row>
        <row r="773">
          <cell r="B773" t="str">
            <v>45E- SCH  STD  38"</v>
          </cell>
          <cell r="C773">
            <v>9.5299999999999994</v>
          </cell>
          <cell r="D773">
            <v>254.5</v>
          </cell>
          <cell r="E773">
            <v>1.67</v>
          </cell>
        </row>
        <row r="774">
          <cell r="B774" t="str">
            <v>45E- SCH  XS  38"</v>
          </cell>
          <cell r="C774">
            <v>25.4</v>
          </cell>
          <cell r="D774">
            <v>339</v>
          </cell>
          <cell r="E774">
            <v>1.67</v>
          </cell>
        </row>
        <row r="775">
          <cell r="B775" t="str">
            <v>45E- SCH  STD  40"</v>
          </cell>
          <cell r="C775">
            <v>9.5299999999999994</v>
          </cell>
          <cell r="D775">
            <v>282</v>
          </cell>
          <cell r="E775">
            <v>1.851</v>
          </cell>
        </row>
        <row r="776">
          <cell r="B776" t="str">
            <v>45E- SCH  XS  40"</v>
          </cell>
          <cell r="C776">
            <v>0</v>
          </cell>
          <cell r="D776">
            <v>376</v>
          </cell>
          <cell r="E776">
            <v>1.851</v>
          </cell>
        </row>
        <row r="777">
          <cell r="B777" t="str">
            <v>45E- SCH  STD  42"</v>
          </cell>
          <cell r="C777">
            <v>9.5299999999999994</v>
          </cell>
          <cell r="D777">
            <v>311</v>
          </cell>
          <cell r="E777">
            <v>2.04</v>
          </cell>
        </row>
        <row r="778">
          <cell r="B778" t="str">
            <v>45E- SCH  XS  42"</v>
          </cell>
          <cell r="C778">
            <v>12.7</v>
          </cell>
          <cell r="D778">
            <v>414</v>
          </cell>
          <cell r="E778">
            <v>2.04</v>
          </cell>
        </row>
        <row r="779">
          <cell r="B779" t="str">
            <v>45E- SCH  STD  44"</v>
          </cell>
          <cell r="C779">
            <v>9.5299999999999994</v>
          </cell>
          <cell r="D779">
            <v>341.5</v>
          </cell>
          <cell r="E779">
            <v>2.2389999999999999</v>
          </cell>
        </row>
        <row r="780">
          <cell r="B780" t="str">
            <v>45E- SCH  XS  44"</v>
          </cell>
          <cell r="C780">
            <v>12.7</v>
          </cell>
          <cell r="D780">
            <v>455.5</v>
          </cell>
          <cell r="E780">
            <v>2.2389999999999999</v>
          </cell>
        </row>
        <row r="781">
          <cell r="B781" t="str">
            <v>45E- SCH  9.53  46"</v>
          </cell>
          <cell r="C781">
            <v>272.25</v>
          </cell>
          <cell r="D781">
            <v>520</v>
          </cell>
          <cell r="E781">
            <v>2.4470000000000001</v>
          </cell>
        </row>
        <row r="782">
          <cell r="B782" t="str">
            <v>45E- SCH  12.7  46"</v>
          </cell>
          <cell r="C782">
            <v>361.82</v>
          </cell>
          <cell r="D782">
            <v>694</v>
          </cell>
          <cell r="E782">
            <v>2.4470000000000001</v>
          </cell>
        </row>
        <row r="783">
          <cell r="B783" t="str">
            <v>45E- SCH  STD  48"</v>
          </cell>
          <cell r="C783">
            <v>9.5299999999999994</v>
          </cell>
          <cell r="D783">
            <v>407</v>
          </cell>
          <cell r="E783">
            <v>2.665</v>
          </cell>
        </row>
        <row r="784">
          <cell r="B784" t="str">
            <v>45E- SCH  XS  48"</v>
          </cell>
          <cell r="C784">
            <v>12.7</v>
          </cell>
          <cell r="D784">
            <v>542.5</v>
          </cell>
          <cell r="E784">
            <v>2.665</v>
          </cell>
        </row>
        <row r="785">
          <cell r="B785" t="str">
            <v>TEE- SCH  3000  0.5"</v>
          </cell>
          <cell r="D785">
            <v>0.17</v>
          </cell>
          <cell r="E785">
            <v>1E-3</v>
          </cell>
        </row>
        <row r="786">
          <cell r="B786" t="str">
            <v>TEE- SCH  6000  0.5"</v>
          </cell>
          <cell r="D786">
            <v>0.62</v>
          </cell>
          <cell r="E786">
            <v>1E-3</v>
          </cell>
        </row>
        <row r="787">
          <cell r="B787" t="str">
            <v>TEE- SCH  3000  0.75"</v>
          </cell>
          <cell r="D787">
            <v>0.4</v>
          </cell>
          <cell r="E787">
            <v>3.0000000000000001E-3</v>
          </cell>
        </row>
        <row r="788">
          <cell r="B788" t="str">
            <v>TEE- SCH  6000  0.75"</v>
          </cell>
          <cell r="D788">
            <v>0.9</v>
          </cell>
          <cell r="E788">
            <v>3.0000000000000001E-3</v>
          </cell>
        </row>
        <row r="789">
          <cell r="B789" t="str">
            <v>TEE- SCH  3000  1"</v>
          </cell>
          <cell r="D789">
            <v>0.62</v>
          </cell>
          <cell r="E789">
            <v>6.0000000000000001E-3</v>
          </cell>
        </row>
        <row r="790">
          <cell r="B790" t="str">
            <v>TEE- SCH  6000  1"</v>
          </cell>
          <cell r="D790">
            <v>1.5</v>
          </cell>
          <cell r="E790">
            <v>6.0000000000000001E-3</v>
          </cell>
        </row>
        <row r="791">
          <cell r="B791" t="str">
            <v>TEE- SCH  3000  1.5"</v>
          </cell>
          <cell r="D791">
            <v>1.1299999999999999</v>
          </cell>
          <cell r="E791">
            <v>1.2999999999999999E-2</v>
          </cell>
        </row>
        <row r="792">
          <cell r="B792" t="str">
            <v>TEE- SCH  6000  1.5"</v>
          </cell>
          <cell r="D792">
            <v>2.95</v>
          </cell>
          <cell r="E792">
            <v>1.2999999999999999E-2</v>
          </cell>
        </row>
        <row r="793">
          <cell r="B793" t="str">
            <v>TEE- SCH  5S  2"</v>
          </cell>
          <cell r="C793">
            <v>1.65</v>
          </cell>
          <cell r="D793">
            <v>0.38</v>
          </cell>
          <cell r="E793">
            <v>2.4E-2</v>
          </cell>
        </row>
        <row r="794">
          <cell r="B794" t="str">
            <v>TEE- SCH  10S  2"</v>
          </cell>
          <cell r="C794">
            <v>2.77</v>
          </cell>
          <cell r="D794">
            <v>0.64</v>
          </cell>
          <cell r="E794">
            <v>2.4E-2</v>
          </cell>
        </row>
        <row r="795">
          <cell r="B795" t="str">
            <v>TEE- SCH  40  2"</v>
          </cell>
          <cell r="C795">
            <v>3.91</v>
          </cell>
          <cell r="D795">
            <v>0.87</v>
          </cell>
          <cell r="E795">
            <v>2.4E-2</v>
          </cell>
        </row>
        <row r="796">
          <cell r="B796" t="str">
            <v>TEE- SCH  40S  2"</v>
          </cell>
          <cell r="C796">
            <v>3.91</v>
          </cell>
          <cell r="D796">
            <v>0.87</v>
          </cell>
          <cell r="E796">
            <v>2.4E-2</v>
          </cell>
        </row>
        <row r="797">
          <cell r="B797" t="str">
            <v>TEE- SCH  STD  2"</v>
          </cell>
          <cell r="C797">
            <v>3.91</v>
          </cell>
          <cell r="D797">
            <v>0.87</v>
          </cell>
          <cell r="E797">
            <v>2.4E-2</v>
          </cell>
        </row>
        <row r="798">
          <cell r="B798" t="str">
            <v>TEE- SCH  80  2"</v>
          </cell>
          <cell r="C798">
            <v>5.54</v>
          </cell>
          <cell r="D798">
            <v>1.2</v>
          </cell>
          <cell r="E798">
            <v>2.4E-2</v>
          </cell>
        </row>
        <row r="799">
          <cell r="B799" t="str">
            <v>TEE- SCH  80S  2"</v>
          </cell>
          <cell r="C799">
            <v>5.54</v>
          </cell>
          <cell r="D799">
            <v>1.2</v>
          </cell>
          <cell r="E799">
            <v>2.4E-2</v>
          </cell>
        </row>
        <row r="800">
          <cell r="B800" t="str">
            <v>TEE- SCH  XXS  2"</v>
          </cell>
          <cell r="C800">
            <v>5.54</v>
          </cell>
          <cell r="D800">
            <v>1.2</v>
          </cell>
          <cell r="E800">
            <v>2.4E-2</v>
          </cell>
        </row>
        <row r="801">
          <cell r="B801" t="str">
            <v>TEE- SCH  160  2"</v>
          </cell>
          <cell r="C801">
            <v>8.7100000000000009</v>
          </cell>
          <cell r="D801">
            <v>1.78</v>
          </cell>
          <cell r="E801">
            <v>2.4E-2</v>
          </cell>
        </row>
        <row r="802">
          <cell r="B802" t="str">
            <v>TEE- SCH  XXS  2"</v>
          </cell>
          <cell r="C802">
            <v>11.07</v>
          </cell>
          <cell r="D802">
            <v>2.17</v>
          </cell>
          <cell r="E802">
            <v>2.4E-2</v>
          </cell>
        </row>
        <row r="803">
          <cell r="B803" t="str">
            <v>TEE- SCH  5S  2.5"</v>
          </cell>
          <cell r="C803">
            <v>2.11</v>
          </cell>
          <cell r="D803">
            <v>0.73</v>
          </cell>
          <cell r="E803">
            <v>3.6999999999999998E-2</v>
          </cell>
        </row>
        <row r="804">
          <cell r="B804" t="str">
            <v>TEE- SCH  10S  2.5"</v>
          </cell>
          <cell r="C804">
            <v>3.05</v>
          </cell>
          <cell r="D804">
            <v>1.03</v>
          </cell>
          <cell r="E804">
            <v>3.6999999999999998E-2</v>
          </cell>
        </row>
        <row r="805">
          <cell r="B805" t="str">
            <v>TEE- SCH  40  2.5"</v>
          </cell>
          <cell r="C805">
            <v>5.16</v>
          </cell>
          <cell r="D805">
            <v>1.74</v>
          </cell>
          <cell r="E805">
            <v>3.6999999999999998E-2</v>
          </cell>
        </row>
        <row r="806">
          <cell r="B806" t="str">
            <v>TEE- SCH  40S  2.5"</v>
          </cell>
          <cell r="C806">
            <v>5.16</v>
          </cell>
          <cell r="D806">
            <v>1.74</v>
          </cell>
          <cell r="E806">
            <v>3.6999999999999998E-2</v>
          </cell>
        </row>
        <row r="807">
          <cell r="B807" t="str">
            <v>TEE- SCH  STD  2.5"</v>
          </cell>
          <cell r="C807">
            <v>5.16</v>
          </cell>
          <cell r="D807">
            <v>1.74</v>
          </cell>
          <cell r="E807">
            <v>3.6999999999999998E-2</v>
          </cell>
        </row>
        <row r="808">
          <cell r="B808" t="str">
            <v>TEE- SCH  80  2.5"</v>
          </cell>
          <cell r="C808">
            <v>7.01</v>
          </cell>
          <cell r="D808">
            <v>2.2799999999999998</v>
          </cell>
          <cell r="E808">
            <v>3.6999999999999998E-2</v>
          </cell>
        </row>
        <row r="809">
          <cell r="B809" t="str">
            <v>TEE- SCH  80S  2.5"</v>
          </cell>
          <cell r="C809">
            <v>7.01</v>
          </cell>
          <cell r="D809">
            <v>2.2799999999999998</v>
          </cell>
          <cell r="E809">
            <v>3.6999999999999998E-2</v>
          </cell>
        </row>
        <row r="810">
          <cell r="B810" t="str">
            <v>TEE- SCH  XS  2.5"</v>
          </cell>
          <cell r="C810">
            <v>7.01</v>
          </cell>
          <cell r="D810">
            <v>2.2799999999999998</v>
          </cell>
          <cell r="E810">
            <v>3.6999999999999998E-2</v>
          </cell>
        </row>
        <row r="811">
          <cell r="B811" t="str">
            <v>TEE- SCH  160  2.5"</v>
          </cell>
          <cell r="C811">
            <v>9.52</v>
          </cell>
          <cell r="D811">
            <v>2.98</v>
          </cell>
          <cell r="E811">
            <v>3.6999999999999998E-2</v>
          </cell>
        </row>
        <row r="812">
          <cell r="B812" t="str">
            <v>TEE- SCH  XXS  2.5"</v>
          </cell>
          <cell r="C812">
            <v>14.02</v>
          </cell>
          <cell r="D812">
            <v>4.0999999999999996</v>
          </cell>
          <cell r="E812">
            <v>3.6999999999999998E-2</v>
          </cell>
        </row>
        <row r="813">
          <cell r="B813" t="str">
            <v>TEE- SCH  5S  3"</v>
          </cell>
          <cell r="C813">
            <v>2.11</v>
          </cell>
          <cell r="D813">
            <v>0.92</v>
          </cell>
          <cell r="E813">
            <v>5.2999999999999999E-2</v>
          </cell>
        </row>
        <row r="814">
          <cell r="B814" t="str">
            <v>TEE- SCH  10S  3"</v>
          </cell>
          <cell r="C814">
            <v>3.05</v>
          </cell>
          <cell r="D814">
            <v>1.35</v>
          </cell>
          <cell r="E814">
            <v>5.2999999999999999E-2</v>
          </cell>
        </row>
        <row r="815">
          <cell r="B815" t="str">
            <v>TEE- SCH  40  3"</v>
          </cell>
          <cell r="C815">
            <v>5.49</v>
          </cell>
          <cell r="D815">
            <v>2.41</v>
          </cell>
          <cell r="E815">
            <v>5.2999999999999999E-2</v>
          </cell>
        </row>
        <row r="816">
          <cell r="B816" t="str">
            <v>TEE- SCH  40S  3"</v>
          </cell>
          <cell r="C816">
            <v>5.49</v>
          </cell>
          <cell r="D816">
            <v>2.41</v>
          </cell>
          <cell r="E816">
            <v>5.2999999999999999E-2</v>
          </cell>
        </row>
        <row r="817">
          <cell r="B817" t="str">
            <v>TEE- SCH  STD  3"</v>
          </cell>
          <cell r="C817">
            <v>5.49</v>
          </cell>
          <cell r="D817">
            <v>2.41</v>
          </cell>
          <cell r="E817">
            <v>5.2999999999999999E-2</v>
          </cell>
        </row>
        <row r="818">
          <cell r="B818" t="str">
            <v>TEE- SCH  80  3"</v>
          </cell>
          <cell r="C818">
            <v>7.62</v>
          </cell>
          <cell r="D818">
            <v>3.25</v>
          </cell>
          <cell r="E818">
            <v>5.2999999999999999E-2</v>
          </cell>
        </row>
        <row r="819">
          <cell r="B819" t="str">
            <v>TEE- SCH  80S  3"</v>
          </cell>
          <cell r="C819">
            <v>7.62</v>
          </cell>
          <cell r="D819">
            <v>3.25</v>
          </cell>
          <cell r="E819">
            <v>5.2999999999999999E-2</v>
          </cell>
        </row>
        <row r="820">
          <cell r="B820" t="str">
            <v>TEE- SCH  XS  3"</v>
          </cell>
          <cell r="C820">
            <v>7.62</v>
          </cell>
          <cell r="D820">
            <v>3.25</v>
          </cell>
          <cell r="E820">
            <v>5.2999999999999999E-2</v>
          </cell>
        </row>
        <row r="821">
          <cell r="B821" t="str">
            <v>TEE- SCH  160  3"</v>
          </cell>
          <cell r="C821">
            <v>11.13</v>
          </cell>
          <cell r="D821">
            <v>4.54</v>
          </cell>
          <cell r="E821">
            <v>5.2999999999999999E-2</v>
          </cell>
        </row>
        <row r="822">
          <cell r="B822" t="str">
            <v>TEE- SCH  XXS  3"</v>
          </cell>
          <cell r="C822">
            <v>15.24</v>
          </cell>
          <cell r="D822">
            <v>5.89</v>
          </cell>
          <cell r="E822">
            <v>5.2999999999999999E-2</v>
          </cell>
        </row>
        <row r="823">
          <cell r="B823" t="str">
            <v>TEE- SCH  5S  4"</v>
          </cell>
          <cell r="C823">
            <v>2.11</v>
          </cell>
          <cell r="D823">
            <v>1.49</v>
          </cell>
          <cell r="E823">
            <v>9.4E-2</v>
          </cell>
        </row>
        <row r="824">
          <cell r="B824" t="str">
            <v>TEE- SCH  10S  4"</v>
          </cell>
          <cell r="C824">
            <v>3.05</v>
          </cell>
          <cell r="D824">
            <v>2.12</v>
          </cell>
          <cell r="E824">
            <v>9.4E-2</v>
          </cell>
        </row>
        <row r="825">
          <cell r="B825" t="str">
            <v>TEE- SCH  40  4"</v>
          </cell>
          <cell r="C825">
            <v>6.02</v>
          </cell>
          <cell r="D825">
            <v>4.12</v>
          </cell>
          <cell r="E825">
            <v>9.4E-2</v>
          </cell>
        </row>
        <row r="826">
          <cell r="B826" t="str">
            <v>TEE- SCH  40S  4"</v>
          </cell>
          <cell r="C826">
            <v>6.02</v>
          </cell>
          <cell r="D826">
            <v>4.12</v>
          </cell>
          <cell r="E826">
            <v>9.4E-2</v>
          </cell>
        </row>
        <row r="827">
          <cell r="B827" t="str">
            <v>TEE- SCH  STD  4"</v>
          </cell>
          <cell r="C827">
            <v>6.02</v>
          </cell>
          <cell r="D827">
            <v>4.12</v>
          </cell>
          <cell r="E827">
            <v>9.4E-2</v>
          </cell>
        </row>
        <row r="828">
          <cell r="B828" t="str">
            <v>TEE- SCH  80  4"</v>
          </cell>
          <cell r="C828">
            <v>8.56</v>
          </cell>
          <cell r="D828">
            <v>5.77</v>
          </cell>
          <cell r="E828">
            <v>9.4E-2</v>
          </cell>
        </row>
        <row r="829">
          <cell r="B829" t="str">
            <v>TEE- SCH  80S  4"</v>
          </cell>
          <cell r="C829">
            <v>8.56</v>
          </cell>
          <cell r="D829">
            <v>5.77</v>
          </cell>
          <cell r="E829">
            <v>9.4E-2</v>
          </cell>
        </row>
        <row r="830">
          <cell r="B830" t="str">
            <v>TEE- SCH  XS  4"</v>
          </cell>
          <cell r="C830">
            <v>8.56</v>
          </cell>
          <cell r="D830">
            <v>5.77</v>
          </cell>
          <cell r="E830">
            <v>9.4E-2</v>
          </cell>
        </row>
        <row r="831">
          <cell r="B831" t="str">
            <v>TEE- SCH  160  4"</v>
          </cell>
          <cell r="C831">
            <v>13.49</v>
          </cell>
          <cell r="D831">
            <v>8.6300000000000008</v>
          </cell>
          <cell r="E831">
            <v>9.4E-2</v>
          </cell>
        </row>
        <row r="832">
          <cell r="B832" t="str">
            <v>TEE- SCH  XXS  4"</v>
          </cell>
          <cell r="C832">
            <v>17.12</v>
          </cell>
          <cell r="D832">
            <v>10.5</v>
          </cell>
          <cell r="E832">
            <v>9.4E-2</v>
          </cell>
        </row>
        <row r="833">
          <cell r="B833" t="str">
            <v>TEE- SCH  5S  5"</v>
          </cell>
          <cell r="C833">
            <v>2.77</v>
          </cell>
          <cell r="D833">
            <v>2.85</v>
          </cell>
          <cell r="E833">
            <v>0.14699999999999999</v>
          </cell>
        </row>
        <row r="834">
          <cell r="B834" t="str">
            <v>TEE- SCH  10S  5"</v>
          </cell>
          <cell r="C834">
            <v>3.4</v>
          </cell>
          <cell r="D834">
            <v>3.45</v>
          </cell>
          <cell r="E834">
            <v>0.14699999999999999</v>
          </cell>
        </row>
        <row r="835">
          <cell r="B835" t="str">
            <v>TEE- SCH  40  5"</v>
          </cell>
          <cell r="C835">
            <v>6.55</v>
          </cell>
          <cell r="D835">
            <v>6.54</v>
          </cell>
          <cell r="E835">
            <v>0.14699999999999999</v>
          </cell>
        </row>
        <row r="836">
          <cell r="B836" t="str">
            <v>TEE- SCH  40S  5"</v>
          </cell>
          <cell r="C836">
            <v>6.55</v>
          </cell>
          <cell r="D836">
            <v>6.54</v>
          </cell>
          <cell r="E836">
            <v>0.14699999999999999</v>
          </cell>
        </row>
        <row r="837">
          <cell r="B837" t="str">
            <v>TEE- SCH  STD  5"</v>
          </cell>
          <cell r="C837">
            <v>6.55</v>
          </cell>
          <cell r="D837">
            <v>6.54</v>
          </cell>
          <cell r="E837">
            <v>0.14699999999999999</v>
          </cell>
        </row>
        <row r="838">
          <cell r="B838" t="str">
            <v>TEE- SCH  80  5"</v>
          </cell>
          <cell r="C838">
            <v>9.52</v>
          </cell>
          <cell r="D838">
            <v>9.1999999999999993</v>
          </cell>
          <cell r="E838">
            <v>0.14699999999999999</v>
          </cell>
        </row>
        <row r="839">
          <cell r="B839" t="str">
            <v>TEE- SCH  80S  5"</v>
          </cell>
          <cell r="C839">
            <v>9.52</v>
          </cell>
          <cell r="D839">
            <v>9.1999999999999993</v>
          </cell>
          <cell r="E839">
            <v>0.14699999999999999</v>
          </cell>
        </row>
        <row r="840">
          <cell r="B840" t="str">
            <v>TEE- SCH  XS  5"</v>
          </cell>
          <cell r="C840">
            <v>9.52</v>
          </cell>
          <cell r="D840">
            <v>9.1999999999999993</v>
          </cell>
          <cell r="E840">
            <v>0.14699999999999999</v>
          </cell>
        </row>
        <row r="841">
          <cell r="B841" t="str">
            <v>TEE- SCH  160  5"</v>
          </cell>
          <cell r="C841">
            <v>15.87</v>
          </cell>
          <cell r="D841">
            <v>14.6</v>
          </cell>
          <cell r="E841">
            <v>0.14699999999999999</v>
          </cell>
        </row>
        <row r="842">
          <cell r="B842" t="str">
            <v>TEE- SCH  XXS  5"</v>
          </cell>
          <cell r="C842">
            <v>19.05</v>
          </cell>
          <cell r="D842">
            <v>17.100000000000001</v>
          </cell>
          <cell r="E842">
            <v>0.14699999999999999</v>
          </cell>
        </row>
        <row r="843">
          <cell r="B843" t="str">
            <v>TEE- SCH  5S  6"</v>
          </cell>
          <cell r="C843">
            <v>2.77</v>
          </cell>
          <cell r="D843">
            <v>3.88</v>
          </cell>
          <cell r="E843">
            <v>0.21199999999999999</v>
          </cell>
        </row>
        <row r="844">
          <cell r="B844" t="str">
            <v>TEE- SCH  10S  6"</v>
          </cell>
          <cell r="C844">
            <v>3.4</v>
          </cell>
          <cell r="D844">
            <v>4.7</v>
          </cell>
          <cell r="E844">
            <v>0.21199999999999999</v>
          </cell>
        </row>
        <row r="845">
          <cell r="B845" t="str">
            <v>TEE- SCH  40  6"</v>
          </cell>
          <cell r="C845">
            <v>7.11</v>
          </cell>
          <cell r="D845">
            <v>9.58</v>
          </cell>
          <cell r="E845">
            <v>0.21199999999999999</v>
          </cell>
        </row>
        <row r="846">
          <cell r="B846" t="str">
            <v>TEE- SCH  40S  6"</v>
          </cell>
          <cell r="C846">
            <v>7.11</v>
          </cell>
          <cell r="D846">
            <v>9.58</v>
          </cell>
          <cell r="E846">
            <v>0.21199999999999999</v>
          </cell>
        </row>
        <row r="847">
          <cell r="B847" t="str">
            <v>TEE- SCH  STD  6"</v>
          </cell>
          <cell r="C847">
            <v>7.11</v>
          </cell>
          <cell r="D847">
            <v>9.58</v>
          </cell>
          <cell r="E847">
            <v>0.21199999999999999</v>
          </cell>
        </row>
        <row r="848">
          <cell r="B848" t="str">
            <v>TEE- SCH  80  6"</v>
          </cell>
          <cell r="C848">
            <v>10.97</v>
          </cell>
          <cell r="D848">
            <v>14.6</v>
          </cell>
          <cell r="E848">
            <v>0.21199999999999999</v>
          </cell>
        </row>
        <row r="849">
          <cell r="B849" t="str">
            <v>TEE- SCH  80S  6"</v>
          </cell>
          <cell r="C849">
            <v>10.97</v>
          </cell>
          <cell r="D849">
            <v>14.6</v>
          </cell>
          <cell r="E849">
            <v>0.21199999999999999</v>
          </cell>
        </row>
        <row r="850">
          <cell r="B850" t="str">
            <v>TEE- SCH  XS  6"</v>
          </cell>
          <cell r="C850">
            <v>10.97</v>
          </cell>
          <cell r="D850">
            <v>14.6</v>
          </cell>
          <cell r="E850">
            <v>0.21199999999999999</v>
          </cell>
        </row>
        <row r="851">
          <cell r="B851" t="str">
            <v>TEE- SCH  160  6"</v>
          </cell>
          <cell r="C851">
            <v>18.239999999999998</v>
          </cell>
          <cell r="D851">
            <v>22.8</v>
          </cell>
          <cell r="E851">
            <v>0.21199999999999999</v>
          </cell>
        </row>
        <row r="852">
          <cell r="B852" t="str">
            <v>TEE- SCH  XXS  6"</v>
          </cell>
          <cell r="C852">
            <v>21.95</v>
          </cell>
          <cell r="D852">
            <v>26.8</v>
          </cell>
          <cell r="E852">
            <v>0.21199999999999999</v>
          </cell>
        </row>
        <row r="853">
          <cell r="B853" t="str">
            <v>TEE- SCH  5S  8"</v>
          </cell>
          <cell r="C853">
            <v>2.77</v>
          </cell>
          <cell r="D853">
            <v>6.27</v>
          </cell>
          <cell r="E853">
            <v>0.377</v>
          </cell>
        </row>
        <row r="854">
          <cell r="B854" t="str">
            <v>TEE- SCH  10S  8"</v>
          </cell>
          <cell r="C854">
            <v>3.76</v>
          </cell>
          <cell r="D854">
            <v>8.91</v>
          </cell>
          <cell r="E854">
            <v>0.377</v>
          </cell>
        </row>
        <row r="855">
          <cell r="B855" t="str">
            <v>TEE- SCH  40  8"</v>
          </cell>
          <cell r="C855">
            <v>8.18</v>
          </cell>
          <cell r="D855">
            <v>17.899999999999999</v>
          </cell>
          <cell r="E855">
            <v>0.377</v>
          </cell>
        </row>
        <row r="856">
          <cell r="B856" t="str">
            <v>TEE- SCH  40S  8"</v>
          </cell>
          <cell r="C856">
            <v>8.18</v>
          </cell>
          <cell r="D856">
            <v>17.899999999999999</v>
          </cell>
          <cell r="E856">
            <v>0.377</v>
          </cell>
        </row>
        <row r="857">
          <cell r="B857" t="str">
            <v>TEE- SCH  STD  8"</v>
          </cell>
          <cell r="C857">
            <v>8.18</v>
          </cell>
          <cell r="D857">
            <v>17.899999999999999</v>
          </cell>
          <cell r="E857">
            <v>0.377</v>
          </cell>
        </row>
        <row r="858">
          <cell r="B858" t="str">
            <v>TEE- SCH  80  8"</v>
          </cell>
          <cell r="C858">
            <v>12.7</v>
          </cell>
          <cell r="D858">
            <v>27.1</v>
          </cell>
          <cell r="E858">
            <v>0.377</v>
          </cell>
        </row>
        <row r="859">
          <cell r="B859" t="str">
            <v>TEE- SCH  80S  8"</v>
          </cell>
          <cell r="C859">
            <v>12.7</v>
          </cell>
          <cell r="D859">
            <v>27.1</v>
          </cell>
          <cell r="E859">
            <v>0.377</v>
          </cell>
        </row>
        <row r="860">
          <cell r="B860" t="str">
            <v>TEE- SCH  XS  8"</v>
          </cell>
          <cell r="C860">
            <v>12.7</v>
          </cell>
          <cell r="D860">
            <v>27.1</v>
          </cell>
          <cell r="E860">
            <v>0.377</v>
          </cell>
        </row>
        <row r="861">
          <cell r="B861" t="str">
            <v>TEE- SCH  120  8"</v>
          </cell>
          <cell r="C861">
            <v>18.239999999999998</v>
          </cell>
          <cell r="D861">
            <v>37.799999999999997</v>
          </cell>
          <cell r="E861">
            <v>0.377</v>
          </cell>
        </row>
        <row r="862">
          <cell r="B862" t="str">
            <v>TEE- SCH  XXS  8"</v>
          </cell>
          <cell r="C862">
            <v>22.22</v>
          </cell>
          <cell r="D862">
            <v>45.2</v>
          </cell>
          <cell r="E862">
            <v>0.377</v>
          </cell>
        </row>
        <row r="863">
          <cell r="B863" t="str">
            <v>TEE- SCH  160  8"</v>
          </cell>
          <cell r="C863">
            <v>23.01</v>
          </cell>
          <cell r="D863">
            <v>46.6</v>
          </cell>
          <cell r="E863">
            <v>0.377</v>
          </cell>
        </row>
        <row r="864">
          <cell r="B864" t="str">
            <v>TEE- SCH  5S  10"</v>
          </cell>
          <cell r="C864">
            <v>3.4</v>
          </cell>
          <cell r="D864">
            <v>11.4</v>
          </cell>
          <cell r="E864">
            <v>0.58899999999999997</v>
          </cell>
        </row>
        <row r="865">
          <cell r="B865" t="str">
            <v>TEE- SCH  10S  10"</v>
          </cell>
          <cell r="C865">
            <v>4.1900000000000004</v>
          </cell>
          <cell r="D865">
            <v>13.4</v>
          </cell>
          <cell r="E865">
            <v>0.58899999999999997</v>
          </cell>
        </row>
        <row r="866">
          <cell r="B866" t="str">
            <v>TEE- SCH  40  10"</v>
          </cell>
          <cell r="C866">
            <v>9.27</v>
          </cell>
          <cell r="D866">
            <v>30.4</v>
          </cell>
          <cell r="E866">
            <v>0.58899999999999997</v>
          </cell>
        </row>
        <row r="867">
          <cell r="B867" t="str">
            <v>TEE- SCH  40S  10"</v>
          </cell>
          <cell r="C867">
            <v>9.27</v>
          </cell>
          <cell r="D867">
            <v>30.4</v>
          </cell>
          <cell r="E867">
            <v>0.58899999999999997</v>
          </cell>
        </row>
        <row r="868">
          <cell r="B868" t="str">
            <v>TEE- SCH  STD  10"</v>
          </cell>
          <cell r="C868">
            <v>9.27</v>
          </cell>
          <cell r="D868">
            <v>30.4</v>
          </cell>
          <cell r="E868">
            <v>0.58899999999999997</v>
          </cell>
        </row>
        <row r="869">
          <cell r="B869" t="str">
            <v>TEE- SCH  80  10"</v>
          </cell>
          <cell r="C869">
            <v>15.06</v>
          </cell>
          <cell r="D869">
            <v>48.3</v>
          </cell>
          <cell r="E869">
            <v>0.58899999999999997</v>
          </cell>
        </row>
        <row r="870">
          <cell r="B870" t="str">
            <v>TEE- SCH  120  10"</v>
          </cell>
          <cell r="C870">
            <v>21.41</v>
          </cell>
          <cell r="D870">
            <v>66.7</v>
          </cell>
          <cell r="E870">
            <v>0.58899999999999997</v>
          </cell>
        </row>
        <row r="871">
          <cell r="B871" t="str">
            <v>TEE- SCH  160  10"</v>
          </cell>
          <cell r="C871">
            <v>28.57</v>
          </cell>
          <cell r="D871">
            <v>86.6</v>
          </cell>
          <cell r="E871">
            <v>0.58899999999999997</v>
          </cell>
        </row>
        <row r="872">
          <cell r="B872" t="str">
            <v>TEE- SCH  5S  12"</v>
          </cell>
          <cell r="C872">
            <v>4.1900000000000004</v>
          </cell>
          <cell r="D872">
            <v>18.7</v>
          </cell>
          <cell r="E872">
            <v>0.84799999999999998</v>
          </cell>
        </row>
        <row r="873">
          <cell r="B873" t="str">
            <v>TEE- SCH  10S  12"</v>
          </cell>
          <cell r="C873">
            <v>4.57</v>
          </cell>
          <cell r="D873">
            <v>21</v>
          </cell>
          <cell r="E873">
            <v>0.84799999999999998</v>
          </cell>
        </row>
        <row r="874">
          <cell r="B874" t="str">
            <v>TEE- SCH  20  12"</v>
          </cell>
          <cell r="C874">
            <v>6.35</v>
          </cell>
          <cell r="D874">
            <v>59</v>
          </cell>
          <cell r="E874">
            <v>0.84799999999999998</v>
          </cell>
        </row>
        <row r="875">
          <cell r="B875" t="str">
            <v>TEE- SCH  30  12"</v>
          </cell>
          <cell r="C875">
            <v>8.3800000000000008</v>
          </cell>
          <cell r="D875">
            <v>61.7</v>
          </cell>
          <cell r="E875">
            <v>0.84799999999999998</v>
          </cell>
        </row>
        <row r="876">
          <cell r="B876" t="str">
            <v>TEE- SCH  STD  12"</v>
          </cell>
          <cell r="C876">
            <v>9.52</v>
          </cell>
          <cell r="D876">
            <v>65</v>
          </cell>
          <cell r="E876">
            <v>0.84799999999999998</v>
          </cell>
        </row>
        <row r="877">
          <cell r="B877" t="str">
            <v>TEE- SCH  40S  12"</v>
          </cell>
          <cell r="C877">
            <v>9.52</v>
          </cell>
          <cell r="D877">
            <v>65</v>
          </cell>
          <cell r="E877">
            <v>0.84799999999999998</v>
          </cell>
        </row>
        <row r="878">
          <cell r="B878" t="str">
            <v>TEE- SCH  40  12"</v>
          </cell>
          <cell r="C878">
            <v>10.31</v>
          </cell>
          <cell r="D878">
            <v>47.2</v>
          </cell>
          <cell r="E878">
            <v>0.84799999999999998</v>
          </cell>
        </row>
        <row r="879">
          <cell r="B879" t="str">
            <v>TEE- SCH  XS  12"</v>
          </cell>
          <cell r="C879">
            <v>12.7</v>
          </cell>
          <cell r="D879">
            <v>84.9</v>
          </cell>
          <cell r="E879">
            <v>0.84799999999999998</v>
          </cell>
        </row>
        <row r="880">
          <cell r="B880" t="str">
            <v>TEE- SCH  80S  12"</v>
          </cell>
          <cell r="C880">
            <v>12.7</v>
          </cell>
          <cell r="D880">
            <v>84.9</v>
          </cell>
          <cell r="E880">
            <v>0.84799999999999998</v>
          </cell>
        </row>
        <row r="881">
          <cell r="B881" t="str">
            <v>TEE- SCH  60  12"</v>
          </cell>
          <cell r="C881">
            <v>14.27</v>
          </cell>
          <cell r="D881">
            <v>102.6</v>
          </cell>
          <cell r="E881">
            <v>0.84799999999999998</v>
          </cell>
        </row>
        <row r="882">
          <cell r="B882" t="str">
            <v>TEE- SCH  80  12"</v>
          </cell>
          <cell r="C882">
            <v>17.45</v>
          </cell>
          <cell r="D882">
            <v>77.900000000000006</v>
          </cell>
          <cell r="E882">
            <v>0.84799999999999998</v>
          </cell>
        </row>
        <row r="883">
          <cell r="B883" t="str">
            <v>TEE- SCH  100  12"</v>
          </cell>
          <cell r="C883">
            <v>21.41</v>
          </cell>
          <cell r="D883">
            <v>136</v>
          </cell>
          <cell r="E883">
            <v>0.84799999999999998</v>
          </cell>
        </row>
        <row r="884">
          <cell r="B884" t="str">
            <v>TEE- SCH  XXS  12"</v>
          </cell>
          <cell r="C884">
            <v>25.4</v>
          </cell>
          <cell r="D884">
            <v>111</v>
          </cell>
          <cell r="E884">
            <v>0.84799999999999998</v>
          </cell>
        </row>
        <row r="885">
          <cell r="B885" t="str">
            <v>TEE- SCH  120  12"</v>
          </cell>
          <cell r="C885">
            <v>25.4</v>
          </cell>
          <cell r="D885">
            <v>111</v>
          </cell>
          <cell r="E885">
            <v>0.84799999999999998</v>
          </cell>
        </row>
        <row r="886">
          <cell r="B886" t="str">
            <v>TEE- SCH  140  12"</v>
          </cell>
          <cell r="C886">
            <v>28.57</v>
          </cell>
          <cell r="D886">
            <v>177</v>
          </cell>
          <cell r="E886">
            <v>0.84799999999999998</v>
          </cell>
        </row>
        <row r="887">
          <cell r="B887" t="str">
            <v>TEE- SCH  160  12"</v>
          </cell>
          <cell r="C887">
            <v>33.32</v>
          </cell>
          <cell r="D887">
            <v>141</v>
          </cell>
          <cell r="E887">
            <v>0.84799999999999998</v>
          </cell>
        </row>
        <row r="888">
          <cell r="B888" t="str">
            <v>TEE- SCH  5S  14"</v>
          </cell>
          <cell r="C888">
            <v>3.96</v>
          </cell>
          <cell r="D888">
            <v>40</v>
          </cell>
          <cell r="E888">
            <v>1.155</v>
          </cell>
        </row>
        <row r="889">
          <cell r="B889" t="str">
            <v>TEE- SCH  10S  14"</v>
          </cell>
          <cell r="C889">
            <v>4.78</v>
          </cell>
          <cell r="D889">
            <v>48</v>
          </cell>
          <cell r="E889">
            <v>1.155</v>
          </cell>
        </row>
        <row r="890">
          <cell r="B890" t="str">
            <v>TEE- SCH  10  14"</v>
          </cell>
          <cell r="C890">
            <v>6.35</v>
          </cell>
          <cell r="D890">
            <v>87.2</v>
          </cell>
          <cell r="E890">
            <v>1.155</v>
          </cell>
        </row>
        <row r="891">
          <cell r="B891" t="str">
            <v>TEE- SCH  20  14"</v>
          </cell>
          <cell r="C891">
            <v>7.92</v>
          </cell>
          <cell r="D891">
            <v>90</v>
          </cell>
          <cell r="E891">
            <v>1.155</v>
          </cell>
        </row>
        <row r="892">
          <cell r="B892" t="str">
            <v>TEE- SCH  30  14"</v>
          </cell>
          <cell r="C892">
            <v>9.52</v>
          </cell>
          <cell r="D892">
            <v>93</v>
          </cell>
          <cell r="E892">
            <v>1.155</v>
          </cell>
        </row>
        <row r="893">
          <cell r="B893" t="str">
            <v>TEE- SCH  STD  14"</v>
          </cell>
          <cell r="C893">
            <v>9.52</v>
          </cell>
          <cell r="D893">
            <v>93</v>
          </cell>
          <cell r="E893">
            <v>1.155</v>
          </cell>
        </row>
        <row r="894">
          <cell r="B894" t="str">
            <v>TEE- SCH  40  14"</v>
          </cell>
          <cell r="C894">
            <v>11.13</v>
          </cell>
          <cell r="D894">
            <v>114.4</v>
          </cell>
          <cell r="E894">
            <v>1.155</v>
          </cell>
        </row>
        <row r="895">
          <cell r="B895" t="str">
            <v>TEE- SCH  XS  14"</v>
          </cell>
          <cell r="C895">
            <v>12.7</v>
          </cell>
          <cell r="D895">
            <v>127.1</v>
          </cell>
          <cell r="E895">
            <v>1.155</v>
          </cell>
        </row>
        <row r="896">
          <cell r="B896" t="str">
            <v>TEE- SCH  60  14"</v>
          </cell>
          <cell r="C896">
            <v>15.06</v>
          </cell>
          <cell r="D896">
            <v>141.19999999999999</v>
          </cell>
          <cell r="E896">
            <v>1.155</v>
          </cell>
        </row>
        <row r="897">
          <cell r="B897" t="str">
            <v>TEE- SCH  80  14"</v>
          </cell>
          <cell r="C897">
            <v>19.05</v>
          </cell>
          <cell r="D897">
            <v>165</v>
          </cell>
          <cell r="E897">
            <v>1.155</v>
          </cell>
        </row>
        <row r="898">
          <cell r="B898" t="str">
            <v>TEE- SCH  100  14"</v>
          </cell>
          <cell r="C898">
            <v>23.8</v>
          </cell>
          <cell r="D898">
            <v>206</v>
          </cell>
          <cell r="E898">
            <v>1.155</v>
          </cell>
        </row>
        <row r="899">
          <cell r="B899" t="str">
            <v>TEE- SCH  120  14"</v>
          </cell>
          <cell r="C899">
            <v>27.76</v>
          </cell>
          <cell r="D899">
            <v>240</v>
          </cell>
          <cell r="E899">
            <v>1.155</v>
          </cell>
        </row>
        <row r="900">
          <cell r="B900" t="str">
            <v>TEE- SCH  140  14"</v>
          </cell>
          <cell r="C900">
            <v>31.75</v>
          </cell>
          <cell r="D900">
            <v>275</v>
          </cell>
          <cell r="E900">
            <v>1.155</v>
          </cell>
        </row>
        <row r="901">
          <cell r="B901" t="str">
            <v>TEE- SCH  160  14"</v>
          </cell>
          <cell r="C901">
            <v>35.71</v>
          </cell>
          <cell r="D901">
            <v>300</v>
          </cell>
          <cell r="E901">
            <v>1.155</v>
          </cell>
        </row>
        <row r="902">
          <cell r="B902" t="str">
            <v>TEE- SCH  XS  16"</v>
          </cell>
          <cell r="C902">
            <v>12.7</v>
          </cell>
          <cell r="D902">
            <v>87.7</v>
          </cell>
          <cell r="E902">
            <v>1.508</v>
          </cell>
        </row>
        <row r="903">
          <cell r="B903" t="str">
            <v>TEE- SCH  40  16"</v>
          </cell>
          <cell r="C903">
            <v>12.7</v>
          </cell>
          <cell r="D903">
            <v>87.7</v>
          </cell>
          <cell r="E903">
            <v>1.508</v>
          </cell>
        </row>
        <row r="904">
          <cell r="B904" t="str">
            <v>TEE- SCH  80  16"</v>
          </cell>
          <cell r="C904">
            <v>21.41</v>
          </cell>
          <cell r="D904">
            <v>144</v>
          </cell>
          <cell r="E904">
            <v>1.508</v>
          </cell>
        </row>
        <row r="905">
          <cell r="B905" t="str">
            <v>TEE- SCH  5S  18"</v>
          </cell>
          <cell r="C905">
            <v>4.1900000000000004</v>
          </cell>
          <cell r="D905">
            <v>68</v>
          </cell>
          <cell r="E905">
            <v>1.909</v>
          </cell>
        </row>
        <row r="906">
          <cell r="B906" t="str">
            <v>TEE- SCH  10S  18"</v>
          </cell>
          <cell r="C906">
            <v>4.78</v>
          </cell>
          <cell r="D906">
            <v>77</v>
          </cell>
          <cell r="E906">
            <v>1.909</v>
          </cell>
        </row>
        <row r="907">
          <cell r="B907" t="str">
            <v>TEE- SCH  10  18"</v>
          </cell>
          <cell r="C907">
            <v>6.35</v>
          </cell>
          <cell r="D907">
            <v>94.5</v>
          </cell>
          <cell r="E907">
            <v>1.909</v>
          </cell>
        </row>
        <row r="908">
          <cell r="B908" t="str">
            <v>TEE- SCH  40  18"</v>
          </cell>
          <cell r="C908">
            <v>14.27</v>
          </cell>
          <cell r="D908">
            <v>125</v>
          </cell>
          <cell r="E908">
            <v>1.909</v>
          </cell>
        </row>
        <row r="909">
          <cell r="B909" t="str">
            <v>TEE- SCH  80  18"</v>
          </cell>
          <cell r="C909">
            <v>23.8</v>
          </cell>
          <cell r="D909">
            <v>204.4</v>
          </cell>
          <cell r="E909">
            <v>1.909</v>
          </cell>
        </row>
        <row r="910">
          <cell r="B910" t="str">
            <v>TEE- SCH  5S  20"</v>
          </cell>
          <cell r="C910">
            <v>4.78</v>
          </cell>
          <cell r="D910">
            <v>78</v>
          </cell>
          <cell r="E910">
            <v>2.3559999999999999</v>
          </cell>
        </row>
        <row r="911">
          <cell r="B911" t="str">
            <v>TEE- SCH  10S  20"</v>
          </cell>
          <cell r="C911">
            <v>5.54</v>
          </cell>
          <cell r="D911">
            <v>103</v>
          </cell>
          <cell r="E911">
            <v>2.3559999999999999</v>
          </cell>
        </row>
        <row r="912">
          <cell r="B912" t="str">
            <v>TEE- SCH  10  20"</v>
          </cell>
          <cell r="C912">
            <v>6.35</v>
          </cell>
          <cell r="D912">
            <v>120</v>
          </cell>
          <cell r="E912">
            <v>2.3559999999999999</v>
          </cell>
        </row>
        <row r="913">
          <cell r="B913" t="str">
            <v>TEE- SCH  40  20"</v>
          </cell>
          <cell r="C913">
            <v>15.06</v>
          </cell>
          <cell r="D913">
            <v>163</v>
          </cell>
          <cell r="E913">
            <v>2.3559999999999999</v>
          </cell>
        </row>
        <row r="914">
          <cell r="B914" t="str">
            <v>TEE- SCH  80  20"</v>
          </cell>
          <cell r="C914">
            <v>26.19</v>
          </cell>
          <cell r="D914">
            <v>311.2</v>
          </cell>
          <cell r="E914">
            <v>2.3559999999999999</v>
          </cell>
        </row>
        <row r="915">
          <cell r="B915" t="str">
            <v>TEE- SCH  5S  24"</v>
          </cell>
          <cell r="C915">
            <v>5.54</v>
          </cell>
          <cell r="D915">
            <v>90</v>
          </cell>
          <cell r="E915">
            <v>3.3929999999999998</v>
          </cell>
        </row>
        <row r="916">
          <cell r="B916" t="str">
            <v>TEE- SCH  10  24"</v>
          </cell>
          <cell r="C916">
            <v>6.35</v>
          </cell>
          <cell r="D916">
            <v>155</v>
          </cell>
          <cell r="E916">
            <v>3.3929999999999998</v>
          </cell>
        </row>
        <row r="917">
          <cell r="B917" t="str">
            <v>TEE- SCH  10S  24"</v>
          </cell>
          <cell r="C917">
            <v>6.35</v>
          </cell>
          <cell r="D917">
            <v>155</v>
          </cell>
          <cell r="E917">
            <v>3.3929999999999998</v>
          </cell>
        </row>
        <row r="918">
          <cell r="B918" t="str">
            <v>TEE- SCH  STD  24"</v>
          </cell>
          <cell r="C918">
            <v>9.52</v>
          </cell>
          <cell r="D918">
            <v>240</v>
          </cell>
          <cell r="E918">
            <v>3.3929999999999998</v>
          </cell>
        </row>
        <row r="919">
          <cell r="B919" t="str">
            <v>TEE- SCH  20  24"</v>
          </cell>
          <cell r="C919">
            <v>9.52</v>
          </cell>
          <cell r="D919">
            <v>240</v>
          </cell>
          <cell r="E919">
            <v>3.3929999999999998</v>
          </cell>
        </row>
        <row r="920">
          <cell r="B920" t="str">
            <v>TEE- SCH  40  24"</v>
          </cell>
          <cell r="C920">
            <v>17.45</v>
          </cell>
          <cell r="D920">
            <v>252</v>
          </cell>
          <cell r="E920">
            <v>3.3929999999999998</v>
          </cell>
        </row>
        <row r="921">
          <cell r="B921" t="str">
            <v>TEE- SCH  80  24"</v>
          </cell>
          <cell r="C921">
            <v>30.94</v>
          </cell>
          <cell r="D921">
            <v>437</v>
          </cell>
          <cell r="E921">
            <v>3.3929999999999998</v>
          </cell>
        </row>
        <row r="922">
          <cell r="B922" t="str">
            <v>TEE- SCH  100  24"</v>
          </cell>
          <cell r="C922">
            <v>38.89</v>
          </cell>
          <cell r="D922">
            <v>910</v>
          </cell>
          <cell r="E922">
            <v>3.3929999999999998</v>
          </cell>
        </row>
        <row r="923">
          <cell r="B923" t="str">
            <v>TEE- SCH  120  24"</v>
          </cell>
          <cell r="C923">
            <v>46.02</v>
          </cell>
          <cell r="D923">
            <v>1100</v>
          </cell>
          <cell r="E923">
            <v>3.3929999999999998</v>
          </cell>
        </row>
        <row r="924">
          <cell r="B924" t="str">
            <v>TEE- SCH  140  24"</v>
          </cell>
          <cell r="C924">
            <v>52.37</v>
          </cell>
          <cell r="D924">
            <v>1180</v>
          </cell>
          <cell r="E924">
            <v>3.3929999999999998</v>
          </cell>
        </row>
        <row r="925">
          <cell r="B925" t="str">
            <v>TEE- SCH  160  24"</v>
          </cell>
          <cell r="C925">
            <v>59.51</v>
          </cell>
          <cell r="D925">
            <v>1310</v>
          </cell>
          <cell r="E925">
            <v>3.3929999999999998</v>
          </cell>
        </row>
        <row r="926">
          <cell r="B926" t="str">
            <v>TEE- SCH  STD  26"</v>
          </cell>
          <cell r="C926">
            <v>9.5299999999999994</v>
          </cell>
          <cell r="D926">
            <v>176</v>
          </cell>
          <cell r="E926">
            <v>3.9820000000000002</v>
          </cell>
        </row>
        <row r="927">
          <cell r="B927" t="str">
            <v>TEE- SCH  XS  26"</v>
          </cell>
          <cell r="C927">
            <v>12.7</v>
          </cell>
          <cell r="D927">
            <v>234</v>
          </cell>
          <cell r="E927">
            <v>3.9820000000000002</v>
          </cell>
        </row>
        <row r="928">
          <cell r="B928" t="str">
            <v>TEE- SCH  20  26"</v>
          </cell>
          <cell r="C928">
            <v>12.7</v>
          </cell>
          <cell r="D928">
            <v>234</v>
          </cell>
          <cell r="E928">
            <v>3.9820000000000002</v>
          </cell>
        </row>
        <row r="929">
          <cell r="B929" t="str">
            <v>TEE- SCH  STD  28"</v>
          </cell>
          <cell r="C929">
            <v>9.5299999999999994</v>
          </cell>
          <cell r="D929">
            <v>792</v>
          </cell>
          <cell r="E929">
            <v>4.6180000000000003</v>
          </cell>
        </row>
        <row r="930">
          <cell r="B930" t="str">
            <v>TEE- SCH  XS  28"</v>
          </cell>
          <cell r="C930">
            <v>12.7</v>
          </cell>
          <cell r="D930">
            <v>256</v>
          </cell>
          <cell r="E930">
            <v>4.6180000000000003</v>
          </cell>
        </row>
        <row r="931">
          <cell r="B931" t="str">
            <v>TEE- SCH  20  28"</v>
          </cell>
          <cell r="C931">
            <v>12.7</v>
          </cell>
          <cell r="D931">
            <v>256</v>
          </cell>
          <cell r="E931">
            <v>4.6180000000000003</v>
          </cell>
        </row>
        <row r="932">
          <cell r="B932" t="str">
            <v>TEE- SCH  STD  30"</v>
          </cell>
          <cell r="C932">
            <v>9.5299999999999994</v>
          </cell>
          <cell r="D932">
            <v>228</v>
          </cell>
          <cell r="E932">
            <v>5.3010000000000002</v>
          </cell>
        </row>
        <row r="933">
          <cell r="B933" t="str">
            <v>TEE- SCH  XS  30"</v>
          </cell>
          <cell r="C933">
            <v>12.7</v>
          </cell>
          <cell r="D933">
            <v>304</v>
          </cell>
          <cell r="E933">
            <v>5.3010000000000002</v>
          </cell>
        </row>
        <row r="934">
          <cell r="B934" t="str">
            <v>TEE- SCH  20  30"</v>
          </cell>
          <cell r="C934">
            <v>12.7</v>
          </cell>
          <cell r="D934">
            <v>304</v>
          </cell>
          <cell r="E934">
            <v>5.3010000000000002</v>
          </cell>
        </row>
        <row r="935">
          <cell r="B935" t="str">
            <v>TEE- SCH  STD  32"</v>
          </cell>
          <cell r="C935">
            <v>9.5299999999999994</v>
          </cell>
          <cell r="D935">
            <v>260</v>
          </cell>
          <cell r="E935">
            <v>6.032</v>
          </cell>
        </row>
        <row r="936">
          <cell r="B936" t="str">
            <v>TEE- SCH  30  32"</v>
          </cell>
          <cell r="C936">
            <v>15.88</v>
          </cell>
          <cell r="D936">
            <v>331</v>
          </cell>
          <cell r="E936">
            <v>6.032</v>
          </cell>
        </row>
        <row r="937">
          <cell r="B937" t="str">
            <v>TEE- SCH  STD  34"</v>
          </cell>
          <cell r="C937">
            <v>9.5299999999999994</v>
          </cell>
          <cell r="D937">
            <v>299</v>
          </cell>
          <cell r="E937">
            <v>6.8090000000000002</v>
          </cell>
        </row>
        <row r="938">
          <cell r="B938" t="str">
            <v>TEE- SCH  XS  34"</v>
          </cell>
          <cell r="C938">
            <v>12.7</v>
          </cell>
          <cell r="D938">
            <v>393</v>
          </cell>
          <cell r="E938">
            <v>6.8090000000000002</v>
          </cell>
        </row>
        <row r="939">
          <cell r="B939" t="str">
            <v>TEE- SCH  20  34"</v>
          </cell>
          <cell r="C939">
            <v>12.7</v>
          </cell>
          <cell r="D939">
            <v>393</v>
          </cell>
          <cell r="E939">
            <v>6.8090000000000002</v>
          </cell>
        </row>
        <row r="940">
          <cell r="B940" t="str">
            <v>TEE- SCH  STD  36"</v>
          </cell>
          <cell r="C940">
            <v>9.5299999999999994</v>
          </cell>
          <cell r="D940">
            <v>331</v>
          </cell>
          <cell r="E940">
            <v>7.6340000000000003</v>
          </cell>
        </row>
        <row r="941">
          <cell r="B941" t="str">
            <v>TEE- SCH  XS  36"</v>
          </cell>
          <cell r="C941">
            <v>12.7</v>
          </cell>
          <cell r="D941">
            <v>441</v>
          </cell>
          <cell r="E941">
            <v>7.6340000000000003</v>
          </cell>
        </row>
        <row r="942">
          <cell r="B942" t="str">
            <v>TEE- SCH  20  36"</v>
          </cell>
          <cell r="C942">
            <v>12.7</v>
          </cell>
          <cell r="D942">
            <v>441</v>
          </cell>
          <cell r="E942">
            <v>7.6340000000000003</v>
          </cell>
        </row>
        <row r="943">
          <cell r="B943" t="str">
            <v>TEE- SCH  STD  38"</v>
          </cell>
          <cell r="C943">
            <v>9.5299999999999994</v>
          </cell>
          <cell r="D943">
            <v>370</v>
          </cell>
          <cell r="E943">
            <v>8.5060000000000002</v>
          </cell>
        </row>
        <row r="944">
          <cell r="B944" t="str">
            <v>TEE- SCH  XS  38"</v>
          </cell>
          <cell r="C944">
            <v>25.4</v>
          </cell>
          <cell r="D944">
            <v>492</v>
          </cell>
          <cell r="E944">
            <v>8.5060000000000002</v>
          </cell>
        </row>
        <row r="945">
          <cell r="B945" t="str">
            <v>TEE- SCH  STD  40"</v>
          </cell>
          <cell r="C945">
            <v>9.5299999999999994</v>
          </cell>
          <cell r="D945">
            <v>410</v>
          </cell>
          <cell r="E945">
            <v>9.4250000000000007</v>
          </cell>
        </row>
        <row r="946">
          <cell r="B946" t="str">
            <v>TEE- SCH  XS  40"</v>
          </cell>
          <cell r="C946">
            <v>0</v>
          </cell>
          <cell r="D946">
            <v>546</v>
          </cell>
          <cell r="E946">
            <v>9.4250000000000007</v>
          </cell>
        </row>
        <row r="947">
          <cell r="B947" t="str">
            <v>TEE- SCH  STD  42"</v>
          </cell>
          <cell r="C947">
            <v>9.5299999999999994</v>
          </cell>
          <cell r="D947">
            <v>421</v>
          </cell>
          <cell r="E947">
            <v>10.391</v>
          </cell>
        </row>
        <row r="948">
          <cell r="B948" t="str">
            <v>TEE- SCH  XS  42"</v>
          </cell>
          <cell r="C948">
            <v>12.7</v>
          </cell>
          <cell r="D948">
            <v>562</v>
          </cell>
          <cell r="E948">
            <v>10.391</v>
          </cell>
        </row>
        <row r="949">
          <cell r="B949" t="str">
            <v>TEE- SCH  STD  44"</v>
          </cell>
          <cell r="C949">
            <v>9.5299999999999994</v>
          </cell>
          <cell r="D949">
            <v>474</v>
          </cell>
          <cell r="E949">
            <v>11.404</v>
          </cell>
        </row>
        <row r="950">
          <cell r="B950" t="str">
            <v>TEE- SCH  XS  44"</v>
          </cell>
          <cell r="C950">
            <v>12.7</v>
          </cell>
          <cell r="D950">
            <v>632</v>
          </cell>
          <cell r="E950">
            <v>11.404</v>
          </cell>
        </row>
        <row r="951">
          <cell r="B951" t="str">
            <v>TEE- SCH  9.53  46"</v>
          </cell>
          <cell r="C951">
            <v>272.25</v>
          </cell>
          <cell r="D951">
            <v>189</v>
          </cell>
          <cell r="E951">
            <v>12.464</v>
          </cell>
        </row>
        <row r="952">
          <cell r="B952" t="str">
            <v>TEE- SCH  12.7  46"</v>
          </cell>
          <cell r="C952">
            <v>361.82</v>
          </cell>
          <cell r="D952">
            <v>262</v>
          </cell>
          <cell r="E952">
            <v>12.464</v>
          </cell>
        </row>
        <row r="953">
          <cell r="B953" t="str">
            <v>TEE- SCH  STD  48"</v>
          </cell>
          <cell r="C953">
            <v>9.5299999999999994</v>
          </cell>
          <cell r="D953">
            <v>568</v>
          </cell>
          <cell r="E953">
            <v>13.571999999999999</v>
          </cell>
        </row>
        <row r="954">
          <cell r="B954" t="str">
            <v>TEE- SCH  XS  48"</v>
          </cell>
          <cell r="C954">
            <v>12.7</v>
          </cell>
          <cell r="D954">
            <v>758</v>
          </cell>
          <cell r="E954">
            <v>13.571999999999999</v>
          </cell>
        </row>
        <row r="955">
          <cell r="B955" t="str">
            <v>RED- SCH  5S  2"</v>
          </cell>
          <cell r="C955">
            <v>1.65</v>
          </cell>
          <cell r="D955">
            <v>0.16</v>
          </cell>
          <cell r="E955">
            <v>1.2E-2</v>
          </cell>
        </row>
        <row r="956">
          <cell r="B956" t="str">
            <v>RED- SCH  10S  2"</v>
          </cell>
          <cell r="C956">
            <v>2.77</v>
          </cell>
          <cell r="D956">
            <v>0.27</v>
          </cell>
          <cell r="E956">
            <v>1.2E-2</v>
          </cell>
        </row>
        <row r="957">
          <cell r="B957" t="str">
            <v>RED- SCH  40  2"</v>
          </cell>
          <cell r="C957">
            <v>3.91</v>
          </cell>
          <cell r="D957">
            <v>0.37</v>
          </cell>
          <cell r="E957">
            <v>1.2E-2</v>
          </cell>
        </row>
        <row r="958">
          <cell r="B958" t="str">
            <v>RED- SCH  40S  2"</v>
          </cell>
          <cell r="C958">
            <v>3.91</v>
          </cell>
          <cell r="D958">
            <v>0.37</v>
          </cell>
          <cell r="E958">
            <v>1.2E-2</v>
          </cell>
        </row>
        <row r="959">
          <cell r="B959" t="str">
            <v>RED- SCH  STD  2"</v>
          </cell>
          <cell r="C959">
            <v>3.91</v>
          </cell>
          <cell r="D959">
            <v>0.37</v>
          </cell>
          <cell r="E959">
            <v>1.2E-2</v>
          </cell>
        </row>
        <row r="960">
          <cell r="B960" t="str">
            <v>RED- SCH  80  2"</v>
          </cell>
          <cell r="C960">
            <v>5.54</v>
          </cell>
          <cell r="D960">
            <v>0.51</v>
          </cell>
          <cell r="E960">
            <v>1.2E-2</v>
          </cell>
        </row>
        <row r="961">
          <cell r="B961" t="str">
            <v>RED- SCH  80S  2"</v>
          </cell>
          <cell r="C961">
            <v>5.54</v>
          </cell>
          <cell r="D961">
            <v>0.51</v>
          </cell>
          <cell r="E961">
            <v>1.2E-2</v>
          </cell>
        </row>
        <row r="962">
          <cell r="B962" t="str">
            <v>RED- SCH  XXS  2"</v>
          </cell>
          <cell r="C962">
            <v>5.54</v>
          </cell>
          <cell r="D962">
            <v>0.51</v>
          </cell>
          <cell r="E962">
            <v>1.2E-2</v>
          </cell>
        </row>
        <row r="963">
          <cell r="B963" t="str">
            <v>RED- SCH  160  2"</v>
          </cell>
          <cell r="C963">
            <v>8.7100000000000009</v>
          </cell>
          <cell r="D963">
            <v>0.75</v>
          </cell>
          <cell r="E963">
            <v>1.2E-2</v>
          </cell>
        </row>
        <row r="964">
          <cell r="B964" t="str">
            <v>RED- SCH  XXS  2"</v>
          </cell>
          <cell r="C964">
            <v>11.07</v>
          </cell>
          <cell r="D964">
            <v>0.91</v>
          </cell>
          <cell r="E964">
            <v>1.2E-2</v>
          </cell>
        </row>
        <row r="965">
          <cell r="B965" t="str">
            <v>RED- SCH  5S  2.5"</v>
          </cell>
          <cell r="C965">
            <v>2.11</v>
          </cell>
          <cell r="D965">
            <v>0.13</v>
          </cell>
          <cell r="E965">
            <v>1.7999999999999999E-2</v>
          </cell>
        </row>
        <row r="966">
          <cell r="B966" t="str">
            <v>RED- SCH  10S  2.5"</v>
          </cell>
          <cell r="C966">
            <v>3.05</v>
          </cell>
          <cell r="D966">
            <v>0.43</v>
          </cell>
          <cell r="E966">
            <v>1.7999999999999999E-2</v>
          </cell>
        </row>
        <row r="967">
          <cell r="B967" t="str">
            <v>RED- SCH  40  2.5"</v>
          </cell>
          <cell r="C967">
            <v>5.16</v>
          </cell>
          <cell r="D967">
            <v>0.72</v>
          </cell>
          <cell r="E967">
            <v>1.7999999999999999E-2</v>
          </cell>
        </row>
        <row r="968">
          <cell r="B968" t="str">
            <v>RED- SCH  40S  2.5"</v>
          </cell>
          <cell r="C968">
            <v>5.16</v>
          </cell>
          <cell r="D968">
            <v>0.72</v>
          </cell>
          <cell r="E968">
            <v>1.7999999999999999E-2</v>
          </cell>
        </row>
        <row r="969">
          <cell r="B969" t="str">
            <v>RED- SCH  STD  2.5"</v>
          </cell>
          <cell r="C969">
            <v>5.16</v>
          </cell>
          <cell r="D969">
            <v>0.72</v>
          </cell>
          <cell r="E969">
            <v>1.7999999999999999E-2</v>
          </cell>
        </row>
        <row r="970">
          <cell r="B970" t="str">
            <v>RED- SCH  80  2.5"</v>
          </cell>
          <cell r="C970">
            <v>7.01</v>
          </cell>
          <cell r="D970">
            <v>0.95</v>
          </cell>
          <cell r="E970">
            <v>1.7999999999999999E-2</v>
          </cell>
        </row>
        <row r="971">
          <cell r="B971" t="str">
            <v>RED- SCH  80S  2.5"</v>
          </cell>
          <cell r="C971">
            <v>7.01</v>
          </cell>
          <cell r="D971">
            <v>0.95</v>
          </cell>
          <cell r="E971">
            <v>1.7999999999999999E-2</v>
          </cell>
        </row>
        <row r="972">
          <cell r="B972" t="str">
            <v>RED- SCH  XS  2.5"</v>
          </cell>
          <cell r="C972">
            <v>7.01</v>
          </cell>
          <cell r="D972">
            <v>0.95</v>
          </cell>
          <cell r="E972">
            <v>1.7999999999999999E-2</v>
          </cell>
        </row>
        <row r="973">
          <cell r="B973" t="str">
            <v>RED- SCH  160  2.5"</v>
          </cell>
          <cell r="C973">
            <v>9.52</v>
          </cell>
          <cell r="D973">
            <v>1.23</v>
          </cell>
          <cell r="E973">
            <v>1.7999999999999999E-2</v>
          </cell>
        </row>
        <row r="974">
          <cell r="B974" t="str">
            <v>RED- SCH  XXS  2.5"</v>
          </cell>
          <cell r="C974">
            <v>14.02</v>
          </cell>
          <cell r="D974">
            <v>1.68</v>
          </cell>
          <cell r="E974">
            <v>1.7999999999999999E-2</v>
          </cell>
        </row>
        <row r="975">
          <cell r="B975" t="str">
            <v>RED- SCH  5S  3"</v>
          </cell>
          <cell r="C975">
            <v>2.11</v>
          </cell>
          <cell r="D975">
            <v>0.37</v>
          </cell>
          <cell r="E975">
            <v>2.7E-2</v>
          </cell>
        </row>
        <row r="976">
          <cell r="B976" t="str">
            <v>RED- SCH  10S  3"</v>
          </cell>
          <cell r="C976">
            <v>3.05</v>
          </cell>
          <cell r="D976">
            <v>0.53</v>
          </cell>
          <cell r="E976">
            <v>2.7E-2</v>
          </cell>
        </row>
        <row r="977">
          <cell r="B977" t="str">
            <v>RED- SCH  40  3"</v>
          </cell>
          <cell r="C977">
            <v>5.49</v>
          </cell>
          <cell r="D977">
            <v>0.93</v>
          </cell>
          <cell r="E977">
            <v>2.7E-2</v>
          </cell>
        </row>
        <row r="978">
          <cell r="B978" t="str">
            <v>RED- SCH  40S  3"</v>
          </cell>
          <cell r="C978">
            <v>5.49</v>
          </cell>
          <cell r="D978">
            <v>0.93</v>
          </cell>
          <cell r="E978">
            <v>2.7E-2</v>
          </cell>
        </row>
        <row r="979">
          <cell r="B979" t="str">
            <v>RED- SCH  STD  3"</v>
          </cell>
          <cell r="C979">
            <v>5.49</v>
          </cell>
          <cell r="D979">
            <v>0.93</v>
          </cell>
          <cell r="E979">
            <v>2.7E-2</v>
          </cell>
        </row>
        <row r="980">
          <cell r="B980" t="str">
            <v>RED- SCH  80  3"</v>
          </cell>
          <cell r="C980">
            <v>7.62</v>
          </cell>
          <cell r="D980">
            <v>1.25</v>
          </cell>
          <cell r="E980">
            <v>2.7E-2</v>
          </cell>
        </row>
        <row r="981">
          <cell r="B981" t="str">
            <v>RED- SCH  80S  3"</v>
          </cell>
          <cell r="C981">
            <v>7.62</v>
          </cell>
          <cell r="D981">
            <v>1.25</v>
          </cell>
          <cell r="E981">
            <v>2.7E-2</v>
          </cell>
        </row>
        <row r="982">
          <cell r="B982" t="str">
            <v>RED- SCH  XS  3"</v>
          </cell>
          <cell r="C982">
            <v>7.62</v>
          </cell>
          <cell r="D982">
            <v>1.25</v>
          </cell>
          <cell r="E982">
            <v>2.7E-2</v>
          </cell>
        </row>
        <row r="983">
          <cell r="B983" t="str">
            <v>RED- SCH  160  3"</v>
          </cell>
          <cell r="C983">
            <v>11.13</v>
          </cell>
          <cell r="D983">
            <v>1.75</v>
          </cell>
          <cell r="E983">
            <v>2.7E-2</v>
          </cell>
        </row>
        <row r="984">
          <cell r="B984" t="str">
            <v>RED- SCH  XXS  3"</v>
          </cell>
          <cell r="C984">
            <v>15.24</v>
          </cell>
          <cell r="D984">
            <v>2.25</v>
          </cell>
          <cell r="E984">
            <v>2.7E-2</v>
          </cell>
        </row>
        <row r="985">
          <cell r="B985" t="str">
            <v>RED- SCH  5S  4"</v>
          </cell>
          <cell r="C985">
            <v>2.11</v>
          </cell>
          <cell r="D985">
            <v>0.53</v>
          </cell>
          <cell r="E985">
            <v>4.7E-2</v>
          </cell>
        </row>
        <row r="986">
          <cell r="B986" t="str">
            <v>RED- SCH  10S  4"</v>
          </cell>
          <cell r="C986">
            <v>3.05</v>
          </cell>
          <cell r="D986">
            <v>0.75</v>
          </cell>
          <cell r="E986">
            <v>4.7E-2</v>
          </cell>
        </row>
        <row r="987">
          <cell r="B987" t="str">
            <v>RED- SCH  40  4"</v>
          </cell>
          <cell r="C987">
            <v>6.02</v>
          </cell>
          <cell r="D987">
            <v>1.45</v>
          </cell>
          <cell r="E987">
            <v>4.7E-2</v>
          </cell>
        </row>
        <row r="988">
          <cell r="B988" t="str">
            <v>RED- SCH  40S  4"</v>
          </cell>
          <cell r="C988">
            <v>6.02</v>
          </cell>
          <cell r="D988">
            <v>1.45</v>
          </cell>
          <cell r="E988">
            <v>4.7E-2</v>
          </cell>
        </row>
        <row r="989">
          <cell r="B989" t="str">
            <v>RED- SCH  STD  4"</v>
          </cell>
          <cell r="C989">
            <v>6.02</v>
          </cell>
          <cell r="D989">
            <v>1.45</v>
          </cell>
          <cell r="E989">
            <v>4.7E-2</v>
          </cell>
        </row>
        <row r="990">
          <cell r="B990" t="str">
            <v>RED- SCH  80  4"</v>
          </cell>
          <cell r="C990">
            <v>8.56</v>
          </cell>
          <cell r="D990">
            <v>2.02</v>
          </cell>
          <cell r="E990">
            <v>4.7E-2</v>
          </cell>
        </row>
        <row r="991">
          <cell r="B991" t="str">
            <v>RED- SCH  80S  4"</v>
          </cell>
          <cell r="C991">
            <v>8.56</v>
          </cell>
          <cell r="D991">
            <v>2.02</v>
          </cell>
          <cell r="E991">
            <v>4.7E-2</v>
          </cell>
        </row>
        <row r="992">
          <cell r="B992" t="str">
            <v>RED- SCH  XS  4"</v>
          </cell>
          <cell r="C992">
            <v>8.56</v>
          </cell>
          <cell r="D992">
            <v>2.02</v>
          </cell>
          <cell r="E992">
            <v>4.7E-2</v>
          </cell>
        </row>
        <row r="993">
          <cell r="B993" t="str">
            <v>RED- SCH  160  4"</v>
          </cell>
          <cell r="C993">
            <v>13.49</v>
          </cell>
          <cell r="D993">
            <v>3.01</v>
          </cell>
          <cell r="E993">
            <v>4.7E-2</v>
          </cell>
        </row>
        <row r="994">
          <cell r="B994" t="str">
            <v>RED- SCH  XXS  4"</v>
          </cell>
          <cell r="C994">
            <v>17.12</v>
          </cell>
          <cell r="D994">
            <v>3.65</v>
          </cell>
          <cell r="E994">
            <v>4.7E-2</v>
          </cell>
        </row>
        <row r="995">
          <cell r="B995" t="str">
            <v>RED- SCH  5S  5"</v>
          </cell>
          <cell r="C995">
            <v>2.77</v>
          </cell>
          <cell r="D995">
            <v>1.1000000000000001</v>
          </cell>
          <cell r="E995">
            <v>7.3999999999999996E-2</v>
          </cell>
        </row>
        <row r="996">
          <cell r="B996" t="str">
            <v>RED- SCH  10S  5"</v>
          </cell>
          <cell r="C996">
            <v>3.4</v>
          </cell>
          <cell r="D996">
            <v>1.32</v>
          </cell>
          <cell r="E996">
            <v>7.3999999999999996E-2</v>
          </cell>
        </row>
        <row r="997">
          <cell r="B997" t="str">
            <v>RED- SCH  40  5"</v>
          </cell>
          <cell r="C997">
            <v>6.55</v>
          </cell>
          <cell r="D997">
            <v>2.5</v>
          </cell>
          <cell r="E997">
            <v>7.3999999999999996E-2</v>
          </cell>
        </row>
        <row r="998">
          <cell r="B998" t="str">
            <v>RED- SCH  40S  5"</v>
          </cell>
          <cell r="C998">
            <v>6.55</v>
          </cell>
          <cell r="D998">
            <v>2.5</v>
          </cell>
          <cell r="E998">
            <v>7.3999999999999996E-2</v>
          </cell>
        </row>
        <row r="999">
          <cell r="B999" t="str">
            <v>RED- SCH  STD  5"</v>
          </cell>
          <cell r="C999">
            <v>6.55</v>
          </cell>
          <cell r="D999">
            <v>2.5</v>
          </cell>
          <cell r="E999">
            <v>7.3999999999999996E-2</v>
          </cell>
        </row>
        <row r="1000">
          <cell r="B1000" t="str">
            <v>RED- SCH  80  5"</v>
          </cell>
          <cell r="C1000">
            <v>9.52</v>
          </cell>
          <cell r="D1000">
            <v>3.52</v>
          </cell>
          <cell r="E1000">
            <v>7.3999999999999996E-2</v>
          </cell>
        </row>
        <row r="1001">
          <cell r="B1001" t="str">
            <v>RED- SCH  80S  5"</v>
          </cell>
          <cell r="C1001">
            <v>9.52</v>
          </cell>
          <cell r="D1001">
            <v>3.52</v>
          </cell>
          <cell r="E1001">
            <v>7.3999999999999996E-2</v>
          </cell>
        </row>
        <row r="1002">
          <cell r="B1002" t="str">
            <v>RED- SCH  XS  5"</v>
          </cell>
          <cell r="C1002">
            <v>9.52</v>
          </cell>
          <cell r="D1002">
            <v>3.52</v>
          </cell>
          <cell r="E1002">
            <v>7.3999999999999996E-2</v>
          </cell>
        </row>
        <row r="1003">
          <cell r="B1003" t="str">
            <v>RED- SCH  160  5"</v>
          </cell>
          <cell r="C1003">
            <v>15.87</v>
          </cell>
          <cell r="D1003">
            <v>5.57</v>
          </cell>
          <cell r="E1003">
            <v>7.3999999999999996E-2</v>
          </cell>
        </row>
        <row r="1004">
          <cell r="B1004" t="str">
            <v>RED- SCH  XXS  5"</v>
          </cell>
          <cell r="C1004">
            <v>19.05</v>
          </cell>
          <cell r="D1004">
            <v>6.47</v>
          </cell>
          <cell r="E1004">
            <v>7.3999999999999996E-2</v>
          </cell>
        </row>
        <row r="1005">
          <cell r="B1005" t="str">
            <v>RED- SCH  5S  6"</v>
          </cell>
          <cell r="C1005">
            <v>2.77</v>
          </cell>
          <cell r="D1005">
            <v>1.45</v>
          </cell>
          <cell r="E1005">
            <v>0.106</v>
          </cell>
        </row>
        <row r="1006">
          <cell r="B1006" t="str">
            <v>RED- SCH  10S  6"</v>
          </cell>
          <cell r="C1006">
            <v>3.4</v>
          </cell>
          <cell r="D1006">
            <v>1.75</v>
          </cell>
          <cell r="E1006">
            <v>0.106</v>
          </cell>
        </row>
        <row r="1007">
          <cell r="B1007" t="str">
            <v>RED- SCH  40  6"</v>
          </cell>
          <cell r="C1007">
            <v>7.11</v>
          </cell>
          <cell r="D1007">
            <v>3.75</v>
          </cell>
          <cell r="E1007">
            <v>0.106</v>
          </cell>
        </row>
        <row r="1008">
          <cell r="B1008" t="str">
            <v>RED- SCH  40S  6"</v>
          </cell>
          <cell r="C1008">
            <v>7.11</v>
          </cell>
          <cell r="D1008">
            <v>3.75</v>
          </cell>
          <cell r="E1008">
            <v>0.106</v>
          </cell>
        </row>
        <row r="1009">
          <cell r="B1009" t="str">
            <v>RED- SCH  STD  6"</v>
          </cell>
          <cell r="C1009">
            <v>7.11</v>
          </cell>
          <cell r="D1009">
            <v>3.75</v>
          </cell>
          <cell r="E1009">
            <v>0.106</v>
          </cell>
        </row>
        <row r="1010">
          <cell r="B1010" t="str">
            <v>RED- SCH  80  6"</v>
          </cell>
          <cell r="C1010">
            <v>10.97</v>
          </cell>
          <cell r="D1010">
            <v>5.38</v>
          </cell>
          <cell r="E1010">
            <v>0.106</v>
          </cell>
        </row>
        <row r="1011">
          <cell r="B1011" t="str">
            <v>RED- SCH  80S  6"</v>
          </cell>
          <cell r="C1011">
            <v>10.97</v>
          </cell>
          <cell r="D1011">
            <v>5.38</v>
          </cell>
          <cell r="E1011">
            <v>0.106</v>
          </cell>
        </row>
        <row r="1012">
          <cell r="B1012" t="str">
            <v>RED- SCH  XS  6"</v>
          </cell>
          <cell r="C1012">
            <v>10.97</v>
          </cell>
          <cell r="D1012">
            <v>5.38</v>
          </cell>
          <cell r="E1012">
            <v>0.106</v>
          </cell>
        </row>
        <row r="1013">
          <cell r="B1013" t="str">
            <v>RED- SCH  160  6"</v>
          </cell>
          <cell r="C1013">
            <v>18.239999999999998</v>
          </cell>
          <cell r="D1013">
            <v>8.4499999999999993</v>
          </cell>
          <cell r="E1013">
            <v>0.106</v>
          </cell>
        </row>
        <row r="1014">
          <cell r="B1014" t="str">
            <v>RED- SCH  XXS  6"</v>
          </cell>
          <cell r="C1014">
            <v>21.95</v>
          </cell>
          <cell r="D1014">
            <v>9.89</v>
          </cell>
          <cell r="E1014">
            <v>0.106</v>
          </cell>
        </row>
        <row r="1015">
          <cell r="B1015" t="str">
            <v>RED- SCH  5S  8"</v>
          </cell>
          <cell r="C1015">
            <v>2.77</v>
          </cell>
          <cell r="D1015">
            <v>2.0099999999999998</v>
          </cell>
          <cell r="E1015">
            <v>0.188</v>
          </cell>
        </row>
        <row r="1016">
          <cell r="B1016" t="str">
            <v>RED- SCH  10S  8"</v>
          </cell>
          <cell r="C1016">
            <v>3.76</v>
          </cell>
          <cell r="D1016">
            <v>2.85</v>
          </cell>
          <cell r="E1016">
            <v>0.188</v>
          </cell>
        </row>
        <row r="1017">
          <cell r="B1017" t="str">
            <v>RED- SCH  40  8"</v>
          </cell>
          <cell r="C1017">
            <v>8.18</v>
          </cell>
          <cell r="D1017">
            <v>12</v>
          </cell>
          <cell r="E1017">
            <v>0.188</v>
          </cell>
        </row>
        <row r="1018">
          <cell r="B1018" t="str">
            <v>RED- SCH  40S  8"</v>
          </cell>
          <cell r="C1018">
            <v>8.18</v>
          </cell>
          <cell r="D1018">
            <v>12</v>
          </cell>
          <cell r="E1018">
            <v>0.188</v>
          </cell>
        </row>
        <row r="1019">
          <cell r="B1019" t="str">
            <v>RED- SCH  STD  8"</v>
          </cell>
          <cell r="C1019">
            <v>8.18</v>
          </cell>
          <cell r="D1019">
            <v>12</v>
          </cell>
          <cell r="E1019">
            <v>0.188</v>
          </cell>
        </row>
        <row r="1020">
          <cell r="B1020" t="str">
            <v>RED- SCH  80  8"</v>
          </cell>
          <cell r="C1020">
            <v>12.7</v>
          </cell>
          <cell r="D1020">
            <v>8.6300000000000008</v>
          </cell>
          <cell r="E1020">
            <v>0.188</v>
          </cell>
        </row>
        <row r="1021">
          <cell r="B1021" t="str">
            <v>RED- SCH  80S  8"</v>
          </cell>
          <cell r="C1021">
            <v>12.7</v>
          </cell>
          <cell r="D1021">
            <v>8.6300000000000008</v>
          </cell>
          <cell r="E1021">
            <v>0.188</v>
          </cell>
        </row>
        <row r="1022">
          <cell r="B1022" t="str">
            <v>RED- SCH  XS  8"</v>
          </cell>
          <cell r="C1022">
            <v>12.7</v>
          </cell>
          <cell r="D1022">
            <v>8.6300000000000008</v>
          </cell>
          <cell r="E1022">
            <v>0.188</v>
          </cell>
        </row>
        <row r="1023">
          <cell r="B1023" t="str">
            <v>RED- SCH  120  8"</v>
          </cell>
          <cell r="C1023">
            <v>18.239999999999998</v>
          </cell>
          <cell r="D1023">
            <v>8.6300000000000008</v>
          </cell>
          <cell r="E1023">
            <v>0.188</v>
          </cell>
        </row>
        <row r="1024">
          <cell r="B1024" t="str">
            <v>RED- SCH  XXS  8"</v>
          </cell>
          <cell r="C1024">
            <v>22.22</v>
          </cell>
          <cell r="D1024">
            <v>14.3</v>
          </cell>
          <cell r="E1024">
            <v>0.188</v>
          </cell>
        </row>
        <row r="1025">
          <cell r="B1025" t="str">
            <v>RED- SCH  160  8"</v>
          </cell>
          <cell r="C1025">
            <v>23.01</v>
          </cell>
          <cell r="D1025">
            <v>14.7</v>
          </cell>
          <cell r="E1025">
            <v>0.188</v>
          </cell>
        </row>
        <row r="1026">
          <cell r="B1026" t="str">
            <v>RED- SCH  5S  10"</v>
          </cell>
          <cell r="C1026">
            <v>3.4</v>
          </cell>
          <cell r="D1026">
            <v>3.59</v>
          </cell>
          <cell r="E1026">
            <v>0.29499999999999998</v>
          </cell>
        </row>
        <row r="1027">
          <cell r="B1027" t="str">
            <v>RED- SCH  10S  10"</v>
          </cell>
          <cell r="C1027">
            <v>4.1900000000000004</v>
          </cell>
          <cell r="D1027">
            <v>4.21</v>
          </cell>
          <cell r="E1027">
            <v>0.29499999999999998</v>
          </cell>
        </row>
        <row r="1028">
          <cell r="B1028" t="str">
            <v>RED- SCH  40  10"</v>
          </cell>
          <cell r="C1028">
            <v>9.27</v>
          </cell>
          <cell r="D1028">
            <v>9.58</v>
          </cell>
          <cell r="E1028">
            <v>0.29499999999999998</v>
          </cell>
        </row>
        <row r="1029">
          <cell r="B1029" t="str">
            <v>RED- SCH  40S  10"</v>
          </cell>
          <cell r="C1029">
            <v>9.27</v>
          </cell>
          <cell r="D1029">
            <v>9.58</v>
          </cell>
          <cell r="E1029">
            <v>0.29499999999999998</v>
          </cell>
        </row>
        <row r="1030">
          <cell r="B1030" t="str">
            <v>RED- SCH  STD  10"</v>
          </cell>
          <cell r="C1030">
            <v>9.27</v>
          </cell>
          <cell r="D1030">
            <v>9.58</v>
          </cell>
          <cell r="E1030">
            <v>0.29499999999999998</v>
          </cell>
        </row>
        <row r="1031">
          <cell r="B1031" t="str">
            <v>RED- SCH  80  10"</v>
          </cell>
          <cell r="C1031">
            <v>15.06</v>
          </cell>
          <cell r="D1031">
            <v>15.2</v>
          </cell>
          <cell r="E1031">
            <v>0.29499999999999998</v>
          </cell>
        </row>
        <row r="1032">
          <cell r="B1032" t="str">
            <v>RED- SCH  120  10"</v>
          </cell>
          <cell r="C1032">
            <v>21.41</v>
          </cell>
          <cell r="D1032">
            <v>20.9</v>
          </cell>
          <cell r="E1032">
            <v>0.29499999999999998</v>
          </cell>
        </row>
        <row r="1033">
          <cell r="B1033" t="str">
            <v>RED- SCH  160  10"</v>
          </cell>
          <cell r="C1033">
            <v>28.57</v>
          </cell>
          <cell r="D1033">
            <v>27</v>
          </cell>
          <cell r="E1033">
            <v>0.29499999999999998</v>
          </cell>
        </row>
        <row r="1034">
          <cell r="B1034" t="str">
            <v>RED- SCH  5S  12"</v>
          </cell>
          <cell r="C1034">
            <v>4.1900000000000004</v>
          </cell>
          <cell r="D1034">
            <v>5.8</v>
          </cell>
          <cell r="E1034">
            <v>0.42399999999999999</v>
          </cell>
        </row>
        <row r="1035">
          <cell r="B1035" t="str">
            <v>RED- SCH  10S  12"</v>
          </cell>
          <cell r="C1035">
            <v>4.57</v>
          </cell>
          <cell r="D1035">
            <v>6.6</v>
          </cell>
          <cell r="E1035">
            <v>0.42399999999999999</v>
          </cell>
        </row>
        <row r="1036">
          <cell r="B1036" t="str">
            <v>RED- SCH  20  12"</v>
          </cell>
          <cell r="C1036">
            <v>6.35</v>
          </cell>
          <cell r="D1036">
            <v>10.199999999999999</v>
          </cell>
          <cell r="E1036">
            <v>0.42399999999999999</v>
          </cell>
        </row>
        <row r="1037">
          <cell r="B1037" t="str">
            <v>RED- SCH  30  12"</v>
          </cell>
          <cell r="C1037">
            <v>8.3800000000000008</v>
          </cell>
          <cell r="D1037">
            <v>13.2</v>
          </cell>
          <cell r="E1037">
            <v>0.42399999999999999</v>
          </cell>
        </row>
        <row r="1038">
          <cell r="B1038" t="str">
            <v>RED- SCH  STD  12"</v>
          </cell>
          <cell r="C1038">
            <v>9.52</v>
          </cell>
          <cell r="D1038">
            <v>15</v>
          </cell>
          <cell r="E1038">
            <v>0.42399999999999999</v>
          </cell>
        </row>
        <row r="1039">
          <cell r="B1039" t="str">
            <v>RED- SCH  40S  12"</v>
          </cell>
          <cell r="C1039">
            <v>9.52</v>
          </cell>
          <cell r="D1039">
            <v>15</v>
          </cell>
          <cell r="E1039">
            <v>0.42399999999999999</v>
          </cell>
        </row>
        <row r="1040">
          <cell r="B1040" t="str">
            <v>RED- SCH  40  12"</v>
          </cell>
          <cell r="C1040">
            <v>10.31</v>
          </cell>
          <cell r="D1040">
            <v>14.7</v>
          </cell>
          <cell r="E1040">
            <v>0.42399999999999999</v>
          </cell>
        </row>
        <row r="1041">
          <cell r="B1041" t="str">
            <v>RED- SCH  XS  12"</v>
          </cell>
          <cell r="C1041">
            <v>12.7</v>
          </cell>
          <cell r="D1041">
            <v>19.8</v>
          </cell>
          <cell r="E1041">
            <v>0.42399999999999999</v>
          </cell>
        </row>
        <row r="1042">
          <cell r="B1042" t="str">
            <v>RED- SCH  80S  12"</v>
          </cell>
          <cell r="C1042">
            <v>12.7</v>
          </cell>
          <cell r="D1042">
            <v>19.8</v>
          </cell>
          <cell r="E1042">
            <v>0.42399999999999999</v>
          </cell>
        </row>
        <row r="1043">
          <cell r="B1043" t="str">
            <v>RED- SCH  60  12"</v>
          </cell>
          <cell r="C1043">
            <v>14.27</v>
          </cell>
          <cell r="D1043">
            <v>22</v>
          </cell>
          <cell r="E1043">
            <v>0.42399999999999999</v>
          </cell>
        </row>
        <row r="1044">
          <cell r="B1044" t="str">
            <v>RED- SCH  80  12"</v>
          </cell>
          <cell r="C1044">
            <v>17.45</v>
          </cell>
          <cell r="D1044">
            <v>24.2</v>
          </cell>
          <cell r="E1044">
            <v>0.42399999999999999</v>
          </cell>
        </row>
        <row r="1045">
          <cell r="B1045" t="str">
            <v>RED- SCH  100  12"</v>
          </cell>
          <cell r="C1045">
            <v>21.41</v>
          </cell>
          <cell r="D1045">
            <v>32.4</v>
          </cell>
          <cell r="E1045">
            <v>0.42399999999999999</v>
          </cell>
        </row>
        <row r="1046">
          <cell r="B1046" t="str">
            <v>RED- SCH  XXS  12"</v>
          </cell>
          <cell r="C1046">
            <v>25.4</v>
          </cell>
          <cell r="D1046">
            <v>34.299999999999997</v>
          </cell>
          <cell r="E1046">
            <v>0.42399999999999999</v>
          </cell>
        </row>
        <row r="1047">
          <cell r="B1047" t="str">
            <v>RED- SCH  120  12"</v>
          </cell>
          <cell r="C1047">
            <v>25.4</v>
          </cell>
          <cell r="D1047">
            <v>34.299999999999997</v>
          </cell>
          <cell r="E1047">
            <v>0.42399999999999999</v>
          </cell>
        </row>
        <row r="1048">
          <cell r="B1048" t="str">
            <v>RED- SCH  140  12"</v>
          </cell>
          <cell r="C1048">
            <v>28.57</v>
          </cell>
          <cell r="D1048">
            <v>42.3</v>
          </cell>
          <cell r="E1048">
            <v>0.42399999999999999</v>
          </cell>
        </row>
        <row r="1049">
          <cell r="B1049" t="str">
            <v>RED- SCH  160  12"</v>
          </cell>
          <cell r="C1049">
            <v>33.32</v>
          </cell>
          <cell r="D1049">
            <v>43.6</v>
          </cell>
          <cell r="E1049">
            <v>0.42399999999999999</v>
          </cell>
        </row>
        <row r="1050">
          <cell r="B1050" t="str">
            <v>RED- SCH  5S  14"</v>
          </cell>
          <cell r="C1050">
            <v>3.96</v>
          </cell>
          <cell r="D1050">
            <v>12.5</v>
          </cell>
          <cell r="E1050">
            <v>0.57699999999999996</v>
          </cell>
        </row>
        <row r="1051">
          <cell r="B1051" t="str">
            <v>RED- SCH  10S  14"</v>
          </cell>
          <cell r="C1051">
            <v>4.78</v>
          </cell>
          <cell r="D1051">
            <v>15.3</v>
          </cell>
          <cell r="E1051">
            <v>0.57699999999999996</v>
          </cell>
        </row>
        <row r="1052">
          <cell r="B1052" t="str">
            <v>RED- SCH  20  14"</v>
          </cell>
          <cell r="C1052">
            <v>7.92</v>
          </cell>
          <cell r="D1052">
            <v>22.6</v>
          </cell>
          <cell r="E1052">
            <v>0.57699999999999996</v>
          </cell>
        </row>
        <row r="1053">
          <cell r="B1053" t="str">
            <v>RED- SCH  30  14"</v>
          </cell>
          <cell r="C1053">
            <v>9.52</v>
          </cell>
          <cell r="D1053">
            <v>26.9</v>
          </cell>
          <cell r="E1053">
            <v>0.57699999999999996</v>
          </cell>
        </row>
        <row r="1054">
          <cell r="B1054" t="str">
            <v>RED- SCH  STD  14"</v>
          </cell>
          <cell r="C1054">
            <v>9.52</v>
          </cell>
          <cell r="D1054">
            <v>26.9</v>
          </cell>
          <cell r="E1054">
            <v>0.57699999999999996</v>
          </cell>
        </row>
        <row r="1055">
          <cell r="B1055" t="str">
            <v>RED- SCH  40  14"</v>
          </cell>
          <cell r="C1055">
            <v>11.13</v>
          </cell>
          <cell r="D1055">
            <v>31.1</v>
          </cell>
          <cell r="E1055">
            <v>0.57699999999999996</v>
          </cell>
        </row>
        <row r="1056">
          <cell r="B1056" t="str">
            <v>RED- SCH  XS  14"</v>
          </cell>
          <cell r="C1056">
            <v>12.7</v>
          </cell>
          <cell r="D1056">
            <v>35.5</v>
          </cell>
          <cell r="E1056">
            <v>0.57699999999999996</v>
          </cell>
        </row>
        <row r="1057">
          <cell r="B1057" t="str">
            <v>RED- SCH  60  14"</v>
          </cell>
          <cell r="C1057">
            <v>15.06</v>
          </cell>
          <cell r="D1057">
            <v>42</v>
          </cell>
          <cell r="E1057">
            <v>0.57699999999999996</v>
          </cell>
        </row>
        <row r="1058">
          <cell r="B1058" t="str">
            <v>RED- SCH  80  14"</v>
          </cell>
          <cell r="C1058">
            <v>19.05</v>
          </cell>
          <cell r="D1058">
            <v>52.2</v>
          </cell>
          <cell r="E1058">
            <v>0.57699999999999996</v>
          </cell>
        </row>
        <row r="1059">
          <cell r="B1059" t="str">
            <v>RED- SCH  100  14"</v>
          </cell>
          <cell r="C1059">
            <v>23.8</v>
          </cell>
          <cell r="D1059">
            <v>64</v>
          </cell>
          <cell r="E1059">
            <v>0.57699999999999996</v>
          </cell>
        </row>
        <row r="1060">
          <cell r="B1060" t="str">
            <v>RED- SCH  120  14"</v>
          </cell>
          <cell r="C1060">
            <v>27.76</v>
          </cell>
          <cell r="D1060">
            <v>73</v>
          </cell>
          <cell r="E1060">
            <v>0.57699999999999996</v>
          </cell>
        </row>
        <row r="1061">
          <cell r="B1061" t="str">
            <v>RED- SCH  140  14"</v>
          </cell>
          <cell r="C1061">
            <v>31.75</v>
          </cell>
          <cell r="D1061">
            <v>78</v>
          </cell>
          <cell r="E1061">
            <v>0.57699999999999996</v>
          </cell>
        </row>
        <row r="1062">
          <cell r="B1062" t="str">
            <v>RED- SCH  160  14"</v>
          </cell>
          <cell r="C1062">
            <v>35.71</v>
          </cell>
          <cell r="D1062">
            <v>87.7</v>
          </cell>
          <cell r="E1062">
            <v>0.57699999999999996</v>
          </cell>
        </row>
        <row r="1063">
          <cell r="B1063" t="str">
            <v>RED- SCH  5S  16"</v>
          </cell>
          <cell r="C1063">
            <v>4.1900000000000004</v>
          </cell>
          <cell r="D1063">
            <v>16.5</v>
          </cell>
          <cell r="E1063">
            <v>0.754</v>
          </cell>
        </row>
        <row r="1064">
          <cell r="B1064" t="str">
            <v>RED- SCH  10S  16"</v>
          </cell>
          <cell r="C1064">
            <v>4.76</v>
          </cell>
          <cell r="D1064">
            <v>18.8</v>
          </cell>
          <cell r="E1064">
            <v>0.754</v>
          </cell>
        </row>
        <row r="1065">
          <cell r="B1065" t="str">
            <v>RED- SCH  10  16"</v>
          </cell>
          <cell r="C1065">
            <v>6.35</v>
          </cell>
          <cell r="D1065">
            <v>28</v>
          </cell>
          <cell r="E1065">
            <v>0.754</v>
          </cell>
        </row>
        <row r="1066">
          <cell r="B1066" t="str">
            <v>RED- SCH  20  16"</v>
          </cell>
          <cell r="C1066">
            <v>7.92</v>
          </cell>
          <cell r="D1066">
            <v>27.9</v>
          </cell>
          <cell r="E1066">
            <v>0.754</v>
          </cell>
        </row>
        <row r="1067">
          <cell r="B1067" t="str">
            <v>RED- SCH  STD  16"</v>
          </cell>
          <cell r="C1067">
            <v>9.52</v>
          </cell>
          <cell r="D1067">
            <v>33.1</v>
          </cell>
          <cell r="E1067">
            <v>0.754</v>
          </cell>
        </row>
        <row r="1068">
          <cell r="B1068" t="str">
            <v>RED- SCH  30  16"</v>
          </cell>
          <cell r="C1068">
            <v>9.52</v>
          </cell>
          <cell r="D1068">
            <v>33.1</v>
          </cell>
          <cell r="E1068">
            <v>0.754</v>
          </cell>
        </row>
        <row r="1069">
          <cell r="B1069" t="str">
            <v>RED- SCH  XS  16"</v>
          </cell>
          <cell r="C1069">
            <v>12.7</v>
          </cell>
          <cell r="D1069">
            <v>41.1</v>
          </cell>
          <cell r="E1069">
            <v>0.754</v>
          </cell>
        </row>
        <row r="1070">
          <cell r="B1070" t="str">
            <v>RED- SCH  40  16"</v>
          </cell>
          <cell r="C1070">
            <v>12.7</v>
          </cell>
          <cell r="D1070">
            <v>41.1</v>
          </cell>
          <cell r="E1070">
            <v>0.754</v>
          </cell>
        </row>
        <row r="1071">
          <cell r="B1071" t="str">
            <v>RED- SCH  60  16"</v>
          </cell>
          <cell r="C1071">
            <v>16.66</v>
          </cell>
          <cell r="D1071">
            <v>57</v>
          </cell>
          <cell r="E1071">
            <v>0.754</v>
          </cell>
        </row>
        <row r="1072">
          <cell r="B1072" t="str">
            <v>RED- SCH  80  16"</v>
          </cell>
          <cell r="C1072">
            <v>21.41</v>
          </cell>
          <cell r="D1072">
            <v>67.7</v>
          </cell>
          <cell r="E1072">
            <v>0.754</v>
          </cell>
        </row>
        <row r="1073">
          <cell r="B1073" t="str">
            <v>RED- SCH  100  16"</v>
          </cell>
          <cell r="C1073">
            <v>26.19</v>
          </cell>
          <cell r="D1073">
            <v>83</v>
          </cell>
          <cell r="E1073">
            <v>0.754</v>
          </cell>
        </row>
        <row r="1074">
          <cell r="B1074" t="str">
            <v>RED- SCH  120  16"</v>
          </cell>
          <cell r="C1074">
            <v>30.94</v>
          </cell>
          <cell r="D1074">
            <v>92.6</v>
          </cell>
          <cell r="E1074">
            <v>0.754</v>
          </cell>
        </row>
        <row r="1075">
          <cell r="B1075" t="str">
            <v>RED- SCH  140  16"</v>
          </cell>
          <cell r="C1075">
            <v>36.53</v>
          </cell>
          <cell r="D1075">
            <v>112</v>
          </cell>
          <cell r="E1075">
            <v>0.754</v>
          </cell>
        </row>
        <row r="1076">
          <cell r="B1076" t="str">
            <v>RED- SCH  160  16"</v>
          </cell>
          <cell r="C1076">
            <v>40.46</v>
          </cell>
          <cell r="D1076">
            <v>121</v>
          </cell>
          <cell r="E1076">
            <v>0.754</v>
          </cell>
        </row>
        <row r="1077">
          <cell r="B1077" t="str">
            <v>RED- SCH  5S  18"</v>
          </cell>
          <cell r="C1077">
            <v>4.1900000000000004</v>
          </cell>
          <cell r="D1077">
            <v>19.8</v>
          </cell>
          <cell r="E1077">
            <v>0.95399999999999996</v>
          </cell>
        </row>
        <row r="1078">
          <cell r="B1078" t="str">
            <v>RED- SCH  10S  18"</v>
          </cell>
          <cell r="C1078">
            <v>4.78</v>
          </cell>
          <cell r="D1078">
            <v>22.5</v>
          </cell>
          <cell r="E1078">
            <v>0.95399999999999996</v>
          </cell>
        </row>
        <row r="1079">
          <cell r="B1079" t="str">
            <v>RED- SCH  10  18"</v>
          </cell>
          <cell r="C1079">
            <v>6.35</v>
          </cell>
          <cell r="D1079">
            <v>34</v>
          </cell>
          <cell r="E1079">
            <v>0.95399999999999996</v>
          </cell>
        </row>
        <row r="1080">
          <cell r="B1080" t="str">
            <v>RED- SCH  20  18"</v>
          </cell>
          <cell r="C1080">
            <v>7.92</v>
          </cell>
          <cell r="D1080">
            <v>33.299999999999997</v>
          </cell>
          <cell r="E1080">
            <v>0.95399999999999996</v>
          </cell>
        </row>
        <row r="1081">
          <cell r="B1081" t="str">
            <v>RED- SCH  STD  18"</v>
          </cell>
          <cell r="C1081">
            <v>9.52</v>
          </cell>
          <cell r="D1081">
            <v>40</v>
          </cell>
          <cell r="E1081">
            <v>0.95399999999999996</v>
          </cell>
        </row>
        <row r="1082">
          <cell r="B1082" t="str">
            <v>RED- SCH  30  18"</v>
          </cell>
          <cell r="C1082">
            <v>11.13</v>
          </cell>
          <cell r="D1082">
            <v>48</v>
          </cell>
          <cell r="E1082">
            <v>0.95399999999999996</v>
          </cell>
        </row>
        <row r="1083">
          <cell r="B1083" t="str">
            <v>RED- SCH  XS  18"</v>
          </cell>
          <cell r="C1083">
            <v>12.7</v>
          </cell>
          <cell r="D1083">
            <v>53</v>
          </cell>
          <cell r="E1083">
            <v>0.95399999999999996</v>
          </cell>
        </row>
        <row r="1084">
          <cell r="B1084" t="str">
            <v>RED- SCH  40  18"</v>
          </cell>
          <cell r="C1084">
            <v>14.27</v>
          </cell>
          <cell r="D1084">
            <v>65.2</v>
          </cell>
          <cell r="E1084">
            <v>0.95399999999999996</v>
          </cell>
        </row>
        <row r="1085">
          <cell r="B1085" t="str">
            <v>RED- SCH  60  18"</v>
          </cell>
          <cell r="C1085">
            <v>19.05</v>
          </cell>
          <cell r="D1085">
            <v>79</v>
          </cell>
          <cell r="E1085">
            <v>0.95399999999999996</v>
          </cell>
        </row>
        <row r="1086">
          <cell r="B1086" t="str">
            <v>RED- SCH  80  18"</v>
          </cell>
          <cell r="C1086">
            <v>23.8</v>
          </cell>
          <cell r="D1086">
            <v>91.4</v>
          </cell>
          <cell r="E1086">
            <v>0.95399999999999996</v>
          </cell>
        </row>
        <row r="1087">
          <cell r="B1087" t="str">
            <v>RED- SCH  100  18"</v>
          </cell>
          <cell r="C1087">
            <v>29.36</v>
          </cell>
          <cell r="D1087">
            <v>116</v>
          </cell>
          <cell r="E1087">
            <v>0.95399999999999996</v>
          </cell>
        </row>
        <row r="1088">
          <cell r="B1088" t="str">
            <v>RED- SCH  120  18"</v>
          </cell>
          <cell r="C1088">
            <v>34.92</v>
          </cell>
          <cell r="D1088">
            <v>136</v>
          </cell>
          <cell r="E1088">
            <v>0.95399999999999996</v>
          </cell>
        </row>
        <row r="1089">
          <cell r="B1089" t="str">
            <v>RED- SCH  140  18"</v>
          </cell>
          <cell r="C1089">
            <v>39.67</v>
          </cell>
          <cell r="D1089">
            <v>145</v>
          </cell>
          <cell r="E1089">
            <v>0.95399999999999996</v>
          </cell>
        </row>
        <row r="1090">
          <cell r="B1090" t="str">
            <v>RED- SCH  160  18"</v>
          </cell>
          <cell r="C1090">
            <v>45.24</v>
          </cell>
          <cell r="D1090">
            <v>159</v>
          </cell>
          <cell r="E1090">
            <v>0.95399999999999996</v>
          </cell>
        </row>
        <row r="1091">
          <cell r="B1091" t="str">
            <v>RED- SCH  5S  20"</v>
          </cell>
          <cell r="C1091">
            <v>4.78</v>
          </cell>
          <cell r="D1091">
            <v>69.8</v>
          </cell>
          <cell r="E1091">
            <v>1.1779999999999999</v>
          </cell>
        </row>
        <row r="1092">
          <cell r="B1092" t="str">
            <v>RED- SCH  10S  20"</v>
          </cell>
          <cell r="C1092">
            <v>5.54</v>
          </cell>
          <cell r="D1092">
            <v>93</v>
          </cell>
          <cell r="E1092">
            <v>1.1779999999999999</v>
          </cell>
        </row>
        <row r="1093">
          <cell r="B1093" t="str">
            <v>RED- SCH  10  20"</v>
          </cell>
          <cell r="C1093">
            <v>6.35</v>
          </cell>
          <cell r="D1093">
            <v>50</v>
          </cell>
          <cell r="E1093">
            <v>1.1779999999999999</v>
          </cell>
        </row>
        <row r="1094">
          <cell r="B1094" t="str">
            <v>RED- SCH  STD  20"</v>
          </cell>
          <cell r="C1094">
            <v>9.52</v>
          </cell>
          <cell r="D1094">
            <v>58</v>
          </cell>
          <cell r="E1094">
            <v>1.1779999999999999</v>
          </cell>
        </row>
        <row r="1095">
          <cell r="B1095" t="str">
            <v>RED- SCH  20  20"</v>
          </cell>
          <cell r="C1095">
            <v>9.52</v>
          </cell>
          <cell r="D1095">
            <v>58</v>
          </cell>
          <cell r="E1095">
            <v>1.1779999999999999</v>
          </cell>
        </row>
        <row r="1096">
          <cell r="B1096" t="str">
            <v>RED- SCH  XS  20"</v>
          </cell>
          <cell r="C1096">
            <v>12.7</v>
          </cell>
          <cell r="D1096">
            <v>79</v>
          </cell>
          <cell r="E1096">
            <v>1.1779999999999999</v>
          </cell>
        </row>
        <row r="1097">
          <cell r="B1097" t="str">
            <v>RED- SCH  30  20"</v>
          </cell>
          <cell r="C1097">
            <v>12.7</v>
          </cell>
          <cell r="D1097">
            <v>79</v>
          </cell>
          <cell r="E1097">
            <v>1.1779999999999999</v>
          </cell>
        </row>
        <row r="1098">
          <cell r="B1098" t="str">
            <v>RED- SCH  40  20"</v>
          </cell>
          <cell r="C1098">
            <v>15.06</v>
          </cell>
          <cell r="D1098">
            <v>88.6</v>
          </cell>
          <cell r="E1098">
            <v>1.1779999999999999</v>
          </cell>
        </row>
        <row r="1099">
          <cell r="B1099" t="str">
            <v>RED- SCH  60  20"</v>
          </cell>
          <cell r="C1099">
            <v>20.62</v>
          </cell>
          <cell r="D1099">
            <v>126</v>
          </cell>
          <cell r="E1099">
            <v>1.1779999999999999</v>
          </cell>
        </row>
        <row r="1100">
          <cell r="B1100" t="str">
            <v>RED- SCH  80  20"</v>
          </cell>
          <cell r="C1100">
            <v>26.19</v>
          </cell>
          <cell r="D1100">
            <v>150</v>
          </cell>
          <cell r="E1100">
            <v>1.1779999999999999</v>
          </cell>
        </row>
        <row r="1101">
          <cell r="B1101" t="str">
            <v>RED- SCH  100  20"</v>
          </cell>
          <cell r="C1101">
            <v>32.54</v>
          </cell>
          <cell r="D1101">
            <v>163</v>
          </cell>
          <cell r="E1101">
            <v>1.1779999999999999</v>
          </cell>
        </row>
        <row r="1102">
          <cell r="B1102" t="str">
            <v>RED- SCH  120  20"</v>
          </cell>
          <cell r="C1102">
            <v>38.1</v>
          </cell>
          <cell r="D1102">
            <v>178</v>
          </cell>
          <cell r="E1102">
            <v>1.1779999999999999</v>
          </cell>
        </row>
        <row r="1103">
          <cell r="B1103" t="str">
            <v>RED- SCH  140  20"</v>
          </cell>
          <cell r="C1103">
            <v>44.45</v>
          </cell>
          <cell r="D1103">
            <v>305</v>
          </cell>
          <cell r="E1103">
            <v>1.1779999999999999</v>
          </cell>
        </row>
        <row r="1104">
          <cell r="B1104" t="str">
            <v>RED- SCH  160  20"</v>
          </cell>
          <cell r="C1104">
            <v>49.99</v>
          </cell>
          <cell r="D1104">
            <v>340</v>
          </cell>
          <cell r="E1104">
            <v>1.1779999999999999</v>
          </cell>
        </row>
        <row r="1105">
          <cell r="B1105" t="str">
            <v>RED- SCH  STD  24"</v>
          </cell>
          <cell r="C1105">
            <v>9.52</v>
          </cell>
          <cell r="D1105">
            <v>72</v>
          </cell>
          <cell r="E1105">
            <v>1.696</v>
          </cell>
        </row>
        <row r="1106">
          <cell r="B1106" t="str">
            <v>RED- SCH  20  24"</v>
          </cell>
          <cell r="C1106">
            <v>9.52</v>
          </cell>
          <cell r="D1106">
            <v>72</v>
          </cell>
          <cell r="E1106">
            <v>1.696</v>
          </cell>
        </row>
        <row r="1107">
          <cell r="B1107" t="str">
            <v>RED- SCH  XS  24"</v>
          </cell>
          <cell r="C1107">
            <v>12.7</v>
          </cell>
          <cell r="D1107">
            <v>95</v>
          </cell>
          <cell r="E1107">
            <v>1.696</v>
          </cell>
        </row>
        <row r="1108">
          <cell r="B1108" t="str">
            <v>RED- SCH  30  24"</v>
          </cell>
          <cell r="C1108">
            <v>14.27</v>
          </cell>
          <cell r="D1108">
            <v>107</v>
          </cell>
          <cell r="E1108">
            <v>1.696</v>
          </cell>
        </row>
        <row r="1109">
          <cell r="B1109" t="str">
            <v>RED- SCH  40  24"</v>
          </cell>
          <cell r="C1109">
            <v>17.45</v>
          </cell>
          <cell r="D1109">
            <v>119</v>
          </cell>
          <cell r="E1109">
            <v>1.696</v>
          </cell>
        </row>
        <row r="1110">
          <cell r="B1110" t="str">
            <v>RED- SCH  60  24"</v>
          </cell>
          <cell r="C1110">
            <v>24.59</v>
          </cell>
          <cell r="D1110">
            <v>180</v>
          </cell>
          <cell r="E1110">
            <v>1.696</v>
          </cell>
        </row>
        <row r="1111">
          <cell r="B1111" t="str">
            <v>RED- SCH  80  24"</v>
          </cell>
          <cell r="C1111">
            <v>30.94</v>
          </cell>
          <cell r="D1111">
            <v>206</v>
          </cell>
          <cell r="E1111">
            <v>1.696</v>
          </cell>
        </row>
        <row r="1112">
          <cell r="B1112" t="str">
            <v>RED- SCH  100  24"</v>
          </cell>
          <cell r="C1112">
            <v>38.89</v>
          </cell>
          <cell r="D1112">
            <v>241</v>
          </cell>
          <cell r="E1112">
            <v>1.696</v>
          </cell>
        </row>
        <row r="1113">
          <cell r="B1113" t="str">
            <v>RED- SCH  120  24"</v>
          </cell>
          <cell r="C1113">
            <v>46.02</v>
          </cell>
          <cell r="D1113">
            <v>295</v>
          </cell>
          <cell r="E1113">
            <v>1.696</v>
          </cell>
        </row>
        <row r="1114">
          <cell r="B1114" t="str">
            <v>RED- SCH  140  24"</v>
          </cell>
          <cell r="C1114">
            <v>52.37</v>
          </cell>
          <cell r="D1114">
            <v>540</v>
          </cell>
          <cell r="E1114">
            <v>1.696</v>
          </cell>
        </row>
        <row r="1115">
          <cell r="B1115" t="str">
            <v>RED- SCH  160  24"</v>
          </cell>
          <cell r="C1115">
            <v>59.51</v>
          </cell>
          <cell r="D1115">
            <v>610</v>
          </cell>
          <cell r="E1115">
            <v>1.696</v>
          </cell>
        </row>
        <row r="1116">
          <cell r="B1116" t="str">
            <v>RED- SCH  STD  26"</v>
          </cell>
          <cell r="C1116">
            <v>9.5299999999999994</v>
          </cell>
          <cell r="D1116">
            <v>89.4</v>
          </cell>
          <cell r="E1116">
            <v>1.9910000000000001</v>
          </cell>
        </row>
        <row r="1117">
          <cell r="B1117" t="str">
            <v>RED- SCH  XS  26"</v>
          </cell>
          <cell r="C1117">
            <v>12.7</v>
          </cell>
          <cell r="D1117">
            <v>119</v>
          </cell>
          <cell r="E1117">
            <v>1.9910000000000001</v>
          </cell>
        </row>
        <row r="1118">
          <cell r="B1118" t="str">
            <v>RED- SCH  20  26"</v>
          </cell>
          <cell r="C1118">
            <v>12.7</v>
          </cell>
          <cell r="D1118">
            <v>119</v>
          </cell>
          <cell r="E1118">
            <v>1.9910000000000001</v>
          </cell>
        </row>
        <row r="1119">
          <cell r="B1119" t="str">
            <v>RED- SCH  STD  28"</v>
          </cell>
          <cell r="C1119">
            <v>9.5299999999999994</v>
          </cell>
          <cell r="D1119">
            <v>96.7</v>
          </cell>
          <cell r="E1119">
            <v>2.3090000000000002</v>
          </cell>
        </row>
        <row r="1120">
          <cell r="B1120" t="str">
            <v>RED- SCH  XS  28"</v>
          </cell>
          <cell r="C1120">
            <v>12.7</v>
          </cell>
          <cell r="D1120">
            <v>129</v>
          </cell>
          <cell r="E1120">
            <v>2.3090000000000002</v>
          </cell>
        </row>
        <row r="1121">
          <cell r="B1121" t="str">
            <v>RED- SCH  20  28"</v>
          </cell>
          <cell r="C1121">
            <v>12.7</v>
          </cell>
          <cell r="D1121">
            <v>129</v>
          </cell>
          <cell r="E1121">
            <v>2.3090000000000002</v>
          </cell>
        </row>
        <row r="1122">
          <cell r="B1122" t="str">
            <v>RED- SCH  STD  30"</v>
          </cell>
          <cell r="C1122">
            <v>9.5299999999999994</v>
          </cell>
          <cell r="D1122">
            <v>104</v>
          </cell>
          <cell r="E1122">
            <v>2.6509999999999998</v>
          </cell>
        </row>
        <row r="1123">
          <cell r="B1123" t="str">
            <v>RED- SCH  XS  30"</v>
          </cell>
          <cell r="C1123">
            <v>12.7</v>
          </cell>
          <cell r="D1123">
            <v>138</v>
          </cell>
          <cell r="E1123">
            <v>2.6509999999999998</v>
          </cell>
        </row>
        <row r="1124">
          <cell r="B1124" t="str">
            <v>RED- SCH  20  30"</v>
          </cell>
          <cell r="C1124">
            <v>12.7</v>
          </cell>
          <cell r="D1124">
            <v>138</v>
          </cell>
          <cell r="E1124">
            <v>2.6509999999999998</v>
          </cell>
        </row>
        <row r="1125">
          <cell r="B1125" t="str">
            <v>RED- SCH  STD  32"</v>
          </cell>
          <cell r="C1125">
            <v>9.5299999999999994</v>
          </cell>
          <cell r="D1125">
            <v>111</v>
          </cell>
          <cell r="E1125">
            <v>3.016</v>
          </cell>
        </row>
        <row r="1126">
          <cell r="B1126" t="str">
            <v>RED- SCH  30  32"</v>
          </cell>
          <cell r="C1126">
            <v>15.88</v>
          </cell>
          <cell r="D1126">
            <v>148</v>
          </cell>
          <cell r="E1126">
            <v>3.016</v>
          </cell>
        </row>
        <row r="1127">
          <cell r="B1127" t="str">
            <v>RED- SCH  STD  34"</v>
          </cell>
          <cell r="C1127">
            <v>9.5299999999999994</v>
          </cell>
          <cell r="D1127">
            <v>119</v>
          </cell>
          <cell r="E1127">
            <v>3.4049999999999998</v>
          </cell>
        </row>
        <row r="1128">
          <cell r="B1128" t="str">
            <v>RED- SCH  XS  34"</v>
          </cell>
          <cell r="C1128">
            <v>12.7</v>
          </cell>
          <cell r="D1128">
            <v>158</v>
          </cell>
          <cell r="E1128">
            <v>3.4049999999999998</v>
          </cell>
        </row>
        <row r="1129">
          <cell r="B1129" t="str">
            <v>RED- SCH  20  34"</v>
          </cell>
          <cell r="C1129">
            <v>12.7</v>
          </cell>
          <cell r="D1129">
            <v>158</v>
          </cell>
          <cell r="E1129">
            <v>3.4049999999999998</v>
          </cell>
        </row>
        <row r="1130">
          <cell r="B1130" t="str">
            <v>RED- SCH  STD  36"</v>
          </cell>
          <cell r="C1130">
            <v>9.5299999999999994</v>
          </cell>
          <cell r="D1130">
            <v>126</v>
          </cell>
          <cell r="E1130">
            <v>3.8170000000000002</v>
          </cell>
        </row>
        <row r="1131">
          <cell r="B1131" t="str">
            <v>RED- SCH  XS  36"</v>
          </cell>
          <cell r="C1131">
            <v>12.7</v>
          </cell>
          <cell r="D1131">
            <v>168</v>
          </cell>
          <cell r="E1131">
            <v>3.8170000000000002</v>
          </cell>
        </row>
        <row r="1132">
          <cell r="B1132" t="str">
            <v>RED- SCH  20  36"</v>
          </cell>
          <cell r="C1132">
            <v>12.7</v>
          </cell>
          <cell r="D1132">
            <v>168</v>
          </cell>
          <cell r="E1132">
            <v>3.8170000000000002</v>
          </cell>
        </row>
        <row r="1133">
          <cell r="B1133" t="str">
            <v>RED- SCH  STD  38"</v>
          </cell>
          <cell r="C1133">
            <v>9.5299999999999994</v>
          </cell>
          <cell r="D1133">
            <v>133</v>
          </cell>
          <cell r="E1133">
            <v>4.2530000000000001</v>
          </cell>
        </row>
        <row r="1134">
          <cell r="B1134" t="str">
            <v>RED- SCH  XS  38"</v>
          </cell>
          <cell r="C1134">
            <v>25.4</v>
          </cell>
          <cell r="D1134">
            <v>177</v>
          </cell>
          <cell r="E1134">
            <v>4.2530000000000001</v>
          </cell>
        </row>
        <row r="1135">
          <cell r="B1135" t="str">
            <v>RED- SCH  STD  40"</v>
          </cell>
          <cell r="C1135">
            <v>9.5299999999999994</v>
          </cell>
          <cell r="D1135">
            <v>140</v>
          </cell>
          <cell r="E1135">
            <v>4.7119999999999997</v>
          </cell>
        </row>
        <row r="1136">
          <cell r="B1136" t="str">
            <v>RED- SCH  XS  40"</v>
          </cell>
          <cell r="C1136">
            <v>0</v>
          </cell>
          <cell r="D1136">
            <v>187</v>
          </cell>
          <cell r="E1136">
            <v>4.7119999999999997</v>
          </cell>
        </row>
        <row r="1137">
          <cell r="B1137" t="str">
            <v>RED- SCH  STD  42"</v>
          </cell>
          <cell r="C1137">
            <v>9.5299999999999994</v>
          </cell>
          <cell r="D1137">
            <v>147</v>
          </cell>
          <cell r="E1137">
            <v>5.1950000000000003</v>
          </cell>
        </row>
        <row r="1138">
          <cell r="B1138" t="str">
            <v>RED- SCH  XS  42"</v>
          </cell>
          <cell r="C1138">
            <v>12.7</v>
          </cell>
          <cell r="D1138">
            <v>196</v>
          </cell>
          <cell r="E1138">
            <v>5.1950000000000003</v>
          </cell>
        </row>
        <row r="1139">
          <cell r="B1139" t="str">
            <v>RED- SCH  STD  44"</v>
          </cell>
          <cell r="C1139">
            <v>9.5299999999999994</v>
          </cell>
          <cell r="D1139">
            <v>155</v>
          </cell>
          <cell r="E1139">
            <v>5.702</v>
          </cell>
        </row>
        <row r="1140">
          <cell r="B1140" t="str">
            <v>RED- SCH  XS  44"</v>
          </cell>
          <cell r="C1140">
            <v>12.7</v>
          </cell>
          <cell r="D1140">
            <v>207</v>
          </cell>
          <cell r="E1140">
            <v>5.702</v>
          </cell>
        </row>
        <row r="1141">
          <cell r="B1141" t="str">
            <v>RED- SCH  STD  48"</v>
          </cell>
          <cell r="C1141">
            <v>9.5299999999999994</v>
          </cell>
          <cell r="D1141">
            <v>197</v>
          </cell>
          <cell r="E1141">
            <v>6.7859999999999996</v>
          </cell>
        </row>
        <row r="1142">
          <cell r="B1142" t="str">
            <v>RED- SCH  XS  48"</v>
          </cell>
          <cell r="C1142">
            <v>12.7</v>
          </cell>
          <cell r="D1142">
            <v>263.3</v>
          </cell>
          <cell r="E1142">
            <v>6.7859999999999996</v>
          </cell>
        </row>
        <row r="1143">
          <cell r="B1143" t="str">
            <v>CAP- SCH  3000  0.5"</v>
          </cell>
          <cell r="D1143">
            <v>0.1</v>
          </cell>
        </row>
        <row r="1144">
          <cell r="B1144" t="str">
            <v>CAP- SCH  6000  0.5"</v>
          </cell>
          <cell r="D1144">
            <v>0.06</v>
          </cell>
        </row>
        <row r="1145">
          <cell r="B1145" t="str">
            <v>CAP- SCH  3000  0.75"</v>
          </cell>
          <cell r="D1145">
            <v>0.18</v>
          </cell>
        </row>
        <row r="1146">
          <cell r="B1146" t="str">
            <v>CAP- SCH  6000  0.75"</v>
          </cell>
          <cell r="D1146">
            <v>0.22</v>
          </cell>
        </row>
        <row r="1147">
          <cell r="B1147" t="str">
            <v>CAP- SCH  3000  1"</v>
          </cell>
          <cell r="D1147">
            <v>0.24</v>
          </cell>
        </row>
        <row r="1148">
          <cell r="B1148" t="str">
            <v>CAP- SCH  6000  1"</v>
          </cell>
          <cell r="D1148">
            <v>0.38</v>
          </cell>
        </row>
        <row r="1149">
          <cell r="B1149" t="str">
            <v>CAP- SCH  3000  1.5"</v>
          </cell>
          <cell r="D1149">
            <v>0.61</v>
          </cell>
        </row>
        <row r="1150">
          <cell r="B1150" t="str">
            <v>CAP- SCH  6000  1.5"</v>
          </cell>
          <cell r="D1150">
            <v>0.74</v>
          </cell>
        </row>
        <row r="1151">
          <cell r="B1151" t="str">
            <v>CAP- SCH  5S  2"</v>
          </cell>
          <cell r="C1151">
            <v>1.65</v>
          </cell>
          <cell r="D1151">
            <v>0.1</v>
          </cell>
        </row>
        <row r="1152">
          <cell r="B1152" t="str">
            <v>CAP- SCH  10S  2"</v>
          </cell>
          <cell r="C1152">
            <v>2.77</v>
          </cell>
          <cell r="D1152">
            <v>0.17</v>
          </cell>
        </row>
        <row r="1153">
          <cell r="B1153" t="str">
            <v>CAP- SCH  40  2"</v>
          </cell>
          <cell r="C1153">
            <v>3.91</v>
          </cell>
          <cell r="D1153">
            <v>0.23</v>
          </cell>
        </row>
        <row r="1154">
          <cell r="B1154" t="str">
            <v>CAP- SCH  40S  2"</v>
          </cell>
          <cell r="C1154">
            <v>3.91</v>
          </cell>
          <cell r="D1154">
            <v>0.23</v>
          </cell>
        </row>
        <row r="1155">
          <cell r="B1155" t="str">
            <v>CAP- SCH  STD  2"</v>
          </cell>
          <cell r="C1155">
            <v>3.91</v>
          </cell>
          <cell r="D1155">
            <v>0.23</v>
          </cell>
        </row>
        <row r="1156">
          <cell r="B1156" t="str">
            <v>CAP- SCH  80  2"</v>
          </cell>
          <cell r="C1156">
            <v>5.54</v>
          </cell>
          <cell r="D1156">
            <v>0.33</v>
          </cell>
        </row>
        <row r="1157">
          <cell r="B1157" t="str">
            <v>CAP- SCH  80S  2"</v>
          </cell>
          <cell r="C1157">
            <v>5.54</v>
          </cell>
          <cell r="D1157">
            <v>0.33</v>
          </cell>
        </row>
        <row r="1158">
          <cell r="B1158" t="str">
            <v>CAP- SCH  XXS  2"</v>
          </cell>
          <cell r="C1158">
            <v>5.54</v>
          </cell>
          <cell r="D1158">
            <v>0.33</v>
          </cell>
        </row>
        <row r="1159">
          <cell r="B1159" t="str">
            <v>CAP- SCH  160  2"</v>
          </cell>
          <cell r="C1159">
            <v>8.7100000000000009</v>
          </cell>
          <cell r="D1159">
            <v>0.55000000000000004</v>
          </cell>
        </row>
        <row r="1160">
          <cell r="B1160" t="str">
            <v>CAP- SCH  XXS  2"</v>
          </cell>
          <cell r="C1160">
            <v>11.07</v>
          </cell>
          <cell r="D1160">
            <v>0.59</v>
          </cell>
        </row>
        <row r="1161">
          <cell r="B1161" t="str">
            <v>CAP- SCH  5S  2.5"</v>
          </cell>
          <cell r="C1161">
            <v>2.11</v>
          </cell>
          <cell r="D1161">
            <v>0.17</v>
          </cell>
        </row>
        <row r="1162">
          <cell r="B1162" t="str">
            <v>CAP- SCH  10S  2.5"</v>
          </cell>
          <cell r="C1162">
            <v>3.05</v>
          </cell>
          <cell r="D1162">
            <v>0.24</v>
          </cell>
        </row>
        <row r="1163">
          <cell r="B1163" t="str">
            <v>CAP- SCH  40  2.5"</v>
          </cell>
          <cell r="C1163">
            <v>5.16</v>
          </cell>
          <cell r="D1163">
            <v>0.42</v>
          </cell>
        </row>
        <row r="1164">
          <cell r="B1164" t="str">
            <v>CAP- SCH  40S  2.5"</v>
          </cell>
          <cell r="C1164">
            <v>5.16</v>
          </cell>
          <cell r="D1164">
            <v>0.42</v>
          </cell>
        </row>
        <row r="1165">
          <cell r="B1165" t="str">
            <v>CAP- SCH  STD  2.5"</v>
          </cell>
          <cell r="C1165">
            <v>5.16</v>
          </cell>
          <cell r="D1165">
            <v>0.42</v>
          </cell>
        </row>
        <row r="1166">
          <cell r="B1166" t="str">
            <v>CAP- SCH  80  2.5"</v>
          </cell>
          <cell r="C1166">
            <v>7.01</v>
          </cell>
          <cell r="D1166">
            <v>0.56000000000000005</v>
          </cell>
        </row>
        <row r="1167">
          <cell r="B1167" t="str">
            <v>CAP- SCH  80S  2.5"</v>
          </cell>
          <cell r="C1167">
            <v>7.01</v>
          </cell>
          <cell r="D1167">
            <v>0.56000000000000005</v>
          </cell>
        </row>
        <row r="1168">
          <cell r="B1168" t="str">
            <v>CAP- SCH  XS  2.5"</v>
          </cell>
          <cell r="C1168">
            <v>7.01</v>
          </cell>
          <cell r="D1168">
            <v>0.56000000000000005</v>
          </cell>
        </row>
        <row r="1169">
          <cell r="B1169" t="str">
            <v>CAP- SCH  160  2.5"</v>
          </cell>
          <cell r="C1169">
            <v>9.52</v>
          </cell>
          <cell r="D1169">
            <v>0.9</v>
          </cell>
        </row>
        <row r="1170">
          <cell r="B1170" t="str">
            <v>CAP- SCH  XXS  2.5"</v>
          </cell>
          <cell r="C1170">
            <v>14.02</v>
          </cell>
          <cell r="D1170">
            <v>1</v>
          </cell>
        </row>
        <row r="1171">
          <cell r="B1171" t="str">
            <v>CAP- SCH  5S  3"</v>
          </cell>
          <cell r="C1171">
            <v>2.11</v>
          </cell>
          <cell r="D1171">
            <v>0.25</v>
          </cell>
        </row>
        <row r="1172">
          <cell r="B1172" t="str">
            <v>CAP- SCH  10S  3"</v>
          </cell>
          <cell r="C1172">
            <v>3.05</v>
          </cell>
          <cell r="D1172">
            <v>0.36</v>
          </cell>
        </row>
        <row r="1173">
          <cell r="B1173" t="str">
            <v>CAP- SCH  40  3"</v>
          </cell>
          <cell r="C1173">
            <v>5.49</v>
          </cell>
          <cell r="D1173">
            <v>0.66</v>
          </cell>
        </row>
        <row r="1174">
          <cell r="B1174" t="str">
            <v>CAP- SCH  40S  3"</v>
          </cell>
          <cell r="C1174">
            <v>5.49</v>
          </cell>
          <cell r="D1174">
            <v>0.66</v>
          </cell>
        </row>
        <row r="1175">
          <cell r="B1175" t="str">
            <v>CAP- SCH  STD  3"</v>
          </cell>
          <cell r="C1175">
            <v>5.49</v>
          </cell>
          <cell r="D1175">
            <v>0.66</v>
          </cell>
        </row>
        <row r="1176">
          <cell r="B1176" t="str">
            <v>CAP- SCH  80  3"</v>
          </cell>
          <cell r="C1176">
            <v>7.62</v>
          </cell>
          <cell r="D1176">
            <v>0.92</v>
          </cell>
        </row>
        <row r="1177">
          <cell r="B1177" t="str">
            <v>CAP- SCH  80S  3"</v>
          </cell>
          <cell r="C1177">
            <v>7.62</v>
          </cell>
          <cell r="D1177">
            <v>0.92</v>
          </cell>
        </row>
        <row r="1178">
          <cell r="B1178" t="str">
            <v>CAP- SCH  XS  3"</v>
          </cell>
          <cell r="C1178">
            <v>7.62</v>
          </cell>
          <cell r="D1178">
            <v>0.92</v>
          </cell>
        </row>
        <row r="1179">
          <cell r="B1179" t="str">
            <v>CAP- SCH  160  3"</v>
          </cell>
          <cell r="C1179">
            <v>11.13</v>
          </cell>
          <cell r="D1179">
            <v>1.4</v>
          </cell>
        </row>
        <row r="1180">
          <cell r="B1180" t="str">
            <v>CAP- SCH  XXS  3"</v>
          </cell>
          <cell r="C1180">
            <v>15.24</v>
          </cell>
          <cell r="D1180">
            <v>1.78</v>
          </cell>
        </row>
        <row r="1181">
          <cell r="B1181" t="str">
            <v>CAP- SCH  5S  4"</v>
          </cell>
          <cell r="C1181">
            <v>2.11</v>
          </cell>
          <cell r="D1181">
            <v>0.41</v>
          </cell>
        </row>
        <row r="1182">
          <cell r="B1182" t="str">
            <v>CAP- SCH  10S  4"</v>
          </cell>
          <cell r="C1182">
            <v>3.05</v>
          </cell>
          <cell r="D1182">
            <v>0.59</v>
          </cell>
        </row>
        <row r="1183">
          <cell r="B1183" t="str">
            <v>CAP- SCH  40  4"</v>
          </cell>
          <cell r="C1183">
            <v>6.02</v>
          </cell>
          <cell r="D1183">
            <v>1.17</v>
          </cell>
        </row>
        <row r="1184">
          <cell r="B1184" t="str">
            <v>CAP- SCH  40S  4"</v>
          </cell>
          <cell r="C1184">
            <v>6.02</v>
          </cell>
          <cell r="D1184">
            <v>1.17</v>
          </cell>
        </row>
        <row r="1185">
          <cell r="B1185" t="str">
            <v>CAP- SCH  STD  4"</v>
          </cell>
          <cell r="C1185">
            <v>6.02</v>
          </cell>
          <cell r="D1185">
            <v>1.17</v>
          </cell>
        </row>
        <row r="1186">
          <cell r="B1186" t="str">
            <v>CAP- SCH  80  4"</v>
          </cell>
          <cell r="C1186">
            <v>8.56</v>
          </cell>
          <cell r="D1186">
            <v>1.68</v>
          </cell>
        </row>
        <row r="1187">
          <cell r="B1187" t="str">
            <v>CAP- SCH  80S  4"</v>
          </cell>
          <cell r="C1187">
            <v>8.56</v>
          </cell>
          <cell r="D1187">
            <v>1.68</v>
          </cell>
        </row>
        <row r="1188">
          <cell r="B1188" t="str">
            <v>CAP- SCH  XS  4"</v>
          </cell>
          <cell r="C1188">
            <v>8.56</v>
          </cell>
          <cell r="D1188">
            <v>1.68</v>
          </cell>
        </row>
        <row r="1189">
          <cell r="B1189" t="str">
            <v>CAP- SCH  160  4"</v>
          </cell>
          <cell r="C1189">
            <v>13.49</v>
          </cell>
          <cell r="D1189">
            <v>2.75</v>
          </cell>
        </row>
        <row r="1190">
          <cell r="B1190" t="str">
            <v>CAP- SCH  XXS  4"</v>
          </cell>
          <cell r="C1190">
            <v>17.12</v>
          </cell>
          <cell r="D1190">
            <v>3.17</v>
          </cell>
        </row>
        <row r="1191">
          <cell r="B1191" t="str">
            <v>CAP- SCH  5S  5"</v>
          </cell>
          <cell r="C1191">
            <v>2.77</v>
          </cell>
          <cell r="D1191">
            <v>0.81</v>
          </cell>
        </row>
        <row r="1192">
          <cell r="B1192" t="str">
            <v>CAP- SCH  10S  5"</v>
          </cell>
          <cell r="C1192">
            <v>3.4</v>
          </cell>
          <cell r="D1192">
            <v>0.98</v>
          </cell>
        </row>
        <row r="1193">
          <cell r="B1193" t="str">
            <v>CAP- SCH  40  5"</v>
          </cell>
          <cell r="C1193">
            <v>6.55</v>
          </cell>
          <cell r="D1193">
            <v>1.9</v>
          </cell>
        </row>
        <row r="1194">
          <cell r="B1194" t="str">
            <v>CAP- SCH  40S  5"</v>
          </cell>
          <cell r="C1194">
            <v>6.55</v>
          </cell>
          <cell r="D1194">
            <v>1.9</v>
          </cell>
        </row>
        <row r="1195">
          <cell r="B1195" t="str">
            <v>CAP- SCH  STD  5"</v>
          </cell>
          <cell r="C1195">
            <v>6.55</v>
          </cell>
          <cell r="D1195">
            <v>1.9</v>
          </cell>
        </row>
        <row r="1196">
          <cell r="B1196" t="str">
            <v>CAP- SCH  80  5"</v>
          </cell>
          <cell r="C1196">
            <v>9.52</v>
          </cell>
          <cell r="D1196">
            <v>2.73</v>
          </cell>
        </row>
        <row r="1197">
          <cell r="B1197" t="str">
            <v>CAP- SCH  80S  5"</v>
          </cell>
          <cell r="C1197">
            <v>9.52</v>
          </cell>
          <cell r="D1197">
            <v>2.73</v>
          </cell>
        </row>
        <row r="1198">
          <cell r="B1198" t="str">
            <v>CAP- SCH  XS  5"</v>
          </cell>
          <cell r="C1198">
            <v>9.52</v>
          </cell>
          <cell r="D1198">
            <v>2.73</v>
          </cell>
        </row>
        <row r="1199">
          <cell r="B1199" t="str">
            <v>CAP- SCH  160  5"</v>
          </cell>
          <cell r="C1199">
            <v>15.87</v>
          </cell>
          <cell r="D1199">
            <v>5</v>
          </cell>
        </row>
        <row r="1200">
          <cell r="B1200" t="str">
            <v>CAP- SCH  XXS  5"</v>
          </cell>
          <cell r="C1200">
            <v>19.05</v>
          </cell>
          <cell r="D1200">
            <v>5.5</v>
          </cell>
        </row>
        <row r="1201">
          <cell r="B1201" t="str">
            <v>CAP- SCH  5S  6"</v>
          </cell>
          <cell r="C1201">
            <v>2.77</v>
          </cell>
          <cell r="D1201">
            <v>1.1100000000000001</v>
          </cell>
        </row>
        <row r="1202">
          <cell r="B1202" t="str">
            <v>CAP- SCH  10S  6"</v>
          </cell>
          <cell r="C1202">
            <v>3.4</v>
          </cell>
          <cell r="D1202">
            <v>1.35</v>
          </cell>
        </row>
        <row r="1203">
          <cell r="B1203" t="str">
            <v>CAP- SCH  40  6"</v>
          </cell>
          <cell r="C1203">
            <v>7.11</v>
          </cell>
          <cell r="D1203">
            <v>2.83</v>
          </cell>
        </row>
        <row r="1204">
          <cell r="B1204" t="str">
            <v>CAP- SCH  40S  6"</v>
          </cell>
          <cell r="C1204">
            <v>7.11</v>
          </cell>
          <cell r="D1204">
            <v>2.83</v>
          </cell>
        </row>
        <row r="1205">
          <cell r="B1205" t="str">
            <v>CAP- SCH  STD  6"</v>
          </cell>
          <cell r="C1205">
            <v>7.11</v>
          </cell>
          <cell r="D1205">
            <v>2.83</v>
          </cell>
        </row>
        <row r="1206">
          <cell r="B1206" t="str">
            <v>CAP- SCH  80  6"</v>
          </cell>
          <cell r="C1206">
            <v>10.97</v>
          </cell>
          <cell r="D1206">
            <v>4.38</v>
          </cell>
        </row>
        <row r="1207">
          <cell r="B1207" t="str">
            <v>CAP- SCH  80S  6"</v>
          </cell>
          <cell r="C1207">
            <v>10.97</v>
          </cell>
          <cell r="D1207">
            <v>4.38</v>
          </cell>
        </row>
        <row r="1208">
          <cell r="B1208" t="str">
            <v>CAP- SCH  XS  6"</v>
          </cell>
          <cell r="C1208">
            <v>10.97</v>
          </cell>
          <cell r="D1208">
            <v>4.38</v>
          </cell>
        </row>
        <row r="1209">
          <cell r="B1209" t="str">
            <v>CAP- SCH  160  6"</v>
          </cell>
          <cell r="C1209">
            <v>18.239999999999998</v>
          </cell>
          <cell r="D1209">
            <v>7.5</v>
          </cell>
        </row>
        <row r="1210">
          <cell r="B1210" t="str">
            <v>CAP- SCH  XXS  6"</v>
          </cell>
          <cell r="C1210">
            <v>21.95</v>
          </cell>
          <cell r="D1210">
            <v>8.1</v>
          </cell>
        </row>
        <row r="1211">
          <cell r="B1211" t="str">
            <v>CAP- SCH  5S  8"</v>
          </cell>
          <cell r="C1211">
            <v>2.77</v>
          </cell>
          <cell r="D1211">
            <v>1.74</v>
          </cell>
        </row>
        <row r="1212">
          <cell r="B1212" t="str">
            <v>CAP- SCH  10S  8"</v>
          </cell>
          <cell r="C1212">
            <v>3.76</v>
          </cell>
          <cell r="D1212">
            <v>2.4900000000000002</v>
          </cell>
        </row>
        <row r="1213">
          <cell r="B1213" t="str">
            <v>CAP- SCH  20  8"</v>
          </cell>
          <cell r="C1213">
            <v>6.35</v>
          </cell>
          <cell r="D1213">
            <v>4.5</v>
          </cell>
        </row>
        <row r="1214">
          <cell r="B1214" t="str">
            <v>CAP- SCH  30  8"</v>
          </cell>
          <cell r="C1214">
            <v>7.04</v>
          </cell>
          <cell r="D1214">
            <v>5</v>
          </cell>
        </row>
        <row r="1215">
          <cell r="B1215" t="str">
            <v>CAP- SCH  40  8"</v>
          </cell>
          <cell r="C1215">
            <v>8.18</v>
          </cell>
          <cell r="D1215">
            <v>5.1100000000000003</v>
          </cell>
        </row>
        <row r="1216">
          <cell r="B1216" t="str">
            <v>CAP- SCH  40S  8"</v>
          </cell>
          <cell r="C1216">
            <v>8.18</v>
          </cell>
          <cell r="D1216">
            <v>5.1100000000000003</v>
          </cell>
        </row>
        <row r="1217">
          <cell r="B1217" t="str">
            <v>CAP- SCH  STD  8"</v>
          </cell>
          <cell r="C1217">
            <v>8.18</v>
          </cell>
          <cell r="D1217">
            <v>5.1100000000000003</v>
          </cell>
        </row>
        <row r="1218">
          <cell r="B1218" t="str">
            <v>CAP- SCH  60  8"</v>
          </cell>
          <cell r="C1218">
            <v>10.31</v>
          </cell>
          <cell r="D1218">
            <v>7</v>
          </cell>
        </row>
        <row r="1219">
          <cell r="B1219" t="str">
            <v>CAP- SCH  80  8"</v>
          </cell>
          <cell r="C1219">
            <v>12.7</v>
          </cell>
          <cell r="D1219">
            <v>7.91</v>
          </cell>
        </row>
        <row r="1220">
          <cell r="B1220" t="str">
            <v>CAP- SCH  80S  8"</v>
          </cell>
          <cell r="C1220">
            <v>12.7</v>
          </cell>
          <cell r="D1220">
            <v>7.91</v>
          </cell>
        </row>
        <row r="1221">
          <cell r="B1221" t="str">
            <v>CAP- SCH  XS  8"</v>
          </cell>
          <cell r="C1221">
            <v>12.7</v>
          </cell>
          <cell r="D1221">
            <v>7.91</v>
          </cell>
        </row>
        <row r="1222">
          <cell r="B1222" t="str">
            <v>CAP- SCH  100  8"</v>
          </cell>
          <cell r="C1222">
            <v>15.06</v>
          </cell>
          <cell r="D1222">
            <v>11</v>
          </cell>
        </row>
        <row r="1223">
          <cell r="B1223" t="str">
            <v>CAP- SCH  120  8"</v>
          </cell>
          <cell r="C1223">
            <v>18.239999999999998</v>
          </cell>
          <cell r="D1223">
            <v>15</v>
          </cell>
        </row>
        <row r="1224">
          <cell r="B1224" t="str">
            <v>CAP- SCH  140  8"</v>
          </cell>
          <cell r="C1224">
            <v>20.62</v>
          </cell>
          <cell r="D1224">
            <v>18.5</v>
          </cell>
        </row>
        <row r="1225">
          <cell r="B1225" t="str">
            <v>CAP- SCH  XXS  8"</v>
          </cell>
          <cell r="C1225">
            <v>22.22</v>
          </cell>
          <cell r="D1225">
            <v>19.5</v>
          </cell>
        </row>
        <row r="1226">
          <cell r="B1226" t="str">
            <v>CAP- SCH  160  8"</v>
          </cell>
          <cell r="C1226">
            <v>23.01</v>
          </cell>
          <cell r="D1226">
            <v>20</v>
          </cell>
        </row>
        <row r="1227">
          <cell r="B1227" t="str">
            <v>CAP- SCH  5S  10"</v>
          </cell>
          <cell r="C1227">
            <v>3.4</v>
          </cell>
          <cell r="D1227">
            <v>3.26</v>
          </cell>
        </row>
        <row r="1228">
          <cell r="B1228" t="str">
            <v>CAP- SCH  10S  10"</v>
          </cell>
          <cell r="C1228">
            <v>4.1900000000000004</v>
          </cell>
          <cell r="D1228">
            <v>3.84</v>
          </cell>
        </row>
        <row r="1229">
          <cell r="B1229" t="str">
            <v>CAP- SCH  20  10"</v>
          </cell>
          <cell r="C1229">
            <v>6.35</v>
          </cell>
          <cell r="D1229">
            <v>7</v>
          </cell>
        </row>
        <row r="1230">
          <cell r="B1230" t="str">
            <v>CAP- SCH  30  10"</v>
          </cell>
          <cell r="C1230">
            <v>7.8</v>
          </cell>
          <cell r="D1230">
            <v>7.6</v>
          </cell>
        </row>
        <row r="1231">
          <cell r="B1231" t="str">
            <v>CAP- SCH  40  10"</v>
          </cell>
          <cell r="C1231">
            <v>9.27</v>
          </cell>
          <cell r="D1231">
            <v>8.92</v>
          </cell>
        </row>
        <row r="1232">
          <cell r="B1232" t="str">
            <v>CAP- SCH  40S  10"</v>
          </cell>
          <cell r="C1232">
            <v>9.27</v>
          </cell>
          <cell r="D1232">
            <v>8.92</v>
          </cell>
        </row>
        <row r="1233">
          <cell r="B1233" t="str">
            <v>CAP- SCH  STD  10"</v>
          </cell>
          <cell r="C1233">
            <v>9.27</v>
          </cell>
          <cell r="D1233">
            <v>8.92</v>
          </cell>
        </row>
        <row r="1234">
          <cell r="B1234" t="str">
            <v>CAP- SCH  60  10"</v>
          </cell>
          <cell r="C1234">
            <v>12.7</v>
          </cell>
          <cell r="D1234">
            <v>13.6</v>
          </cell>
        </row>
        <row r="1235">
          <cell r="B1235" t="str">
            <v>CAP- SCH  60S  10"</v>
          </cell>
          <cell r="C1235">
            <v>12.7</v>
          </cell>
          <cell r="D1235">
            <v>13.6</v>
          </cell>
        </row>
        <row r="1236">
          <cell r="B1236" t="str">
            <v>CAP- SCH  XS  10"</v>
          </cell>
          <cell r="C1236">
            <v>12.7</v>
          </cell>
          <cell r="D1236">
            <v>13.6</v>
          </cell>
        </row>
        <row r="1237">
          <cell r="B1237" t="str">
            <v>CAP- SCH  80  10"</v>
          </cell>
          <cell r="C1237">
            <v>15.06</v>
          </cell>
          <cell r="D1237">
            <v>16.399999999999999</v>
          </cell>
        </row>
        <row r="1238">
          <cell r="B1238" t="str">
            <v>CAP- SCH  100  10"</v>
          </cell>
          <cell r="C1238">
            <v>18.239999999999998</v>
          </cell>
          <cell r="D1238">
            <v>21</v>
          </cell>
        </row>
        <row r="1239">
          <cell r="B1239" t="str">
            <v>CAP- SCH  120  10"</v>
          </cell>
          <cell r="C1239">
            <v>21.41</v>
          </cell>
          <cell r="D1239">
            <v>24</v>
          </cell>
        </row>
        <row r="1240">
          <cell r="B1240" t="str">
            <v>CAP- SCH  140  10"</v>
          </cell>
          <cell r="C1240">
            <v>25.4</v>
          </cell>
          <cell r="D1240">
            <v>27</v>
          </cell>
        </row>
        <row r="1241">
          <cell r="B1241" t="str">
            <v>CAP- SCH  XXS  10"</v>
          </cell>
          <cell r="C1241">
            <v>25.4</v>
          </cell>
          <cell r="D1241">
            <v>27</v>
          </cell>
        </row>
        <row r="1242">
          <cell r="B1242" t="str">
            <v>CAP- SCH  160  10"</v>
          </cell>
          <cell r="C1242">
            <v>28.57</v>
          </cell>
          <cell r="D1242">
            <v>30</v>
          </cell>
        </row>
        <row r="1243">
          <cell r="B1243" t="str">
            <v>CAP- SCH  5S  12"</v>
          </cell>
          <cell r="C1243">
            <v>4.1900000000000004</v>
          </cell>
          <cell r="D1243">
            <v>5.5</v>
          </cell>
        </row>
        <row r="1244">
          <cell r="B1244" t="str">
            <v>CAP- SCH  10S  12"</v>
          </cell>
          <cell r="C1244">
            <v>4.57</v>
          </cell>
          <cell r="D1244">
            <v>6.2</v>
          </cell>
        </row>
        <row r="1245">
          <cell r="B1245" t="str">
            <v>CAP- SCH  20  12"</v>
          </cell>
          <cell r="C1245">
            <v>6.35</v>
          </cell>
          <cell r="D1245">
            <v>9</v>
          </cell>
        </row>
        <row r="1246">
          <cell r="B1246" t="str">
            <v>CAP- SCH  30  12"</v>
          </cell>
          <cell r="C1246">
            <v>8.3800000000000008</v>
          </cell>
          <cell r="D1246">
            <v>13</v>
          </cell>
        </row>
        <row r="1247">
          <cell r="B1247" t="str">
            <v>CAP- SCH  STD  12"</v>
          </cell>
          <cell r="C1247">
            <v>9.52</v>
          </cell>
          <cell r="D1247">
            <v>13.5</v>
          </cell>
        </row>
        <row r="1248">
          <cell r="B1248" t="str">
            <v>CAP- SCH  40S  12"</v>
          </cell>
          <cell r="C1248">
            <v>9.52</v>
          </cell>
          <cell r="D1248">
            <v>13.5</v>
          </cell>
        </row>
        <row r="1249">
          <cell r="B1249" t="str">
            <v>CAP- SCH  40  12"</v>
          </cell>
          <cell r="C1249">
            <v>10.31</v>
          </cell>
          <cell r="D1249">
            <v>14.1</v>
          </cell>
        </row>
        <row r="1250">
          <cell r="B1250" t="str">
            <v>CAP- SCH  XS  12"</v>
          </cell>
          <cell r="C1250">
            <v>12.7</v>
          </cell>
          <cell r="D1250">
            <v>22</v>
          </cell>
        </row>
        <row r="1251">
          <cell r="B1251" t="str">
            <v>CAP- SCH  80S  12"</v>
          </cell>
          <cell r="C1251">
            <v>12.7</v>
          </cell>
          <cell r="D1251">
            <v>22</v>
          </cell>
        </row>
        <row r="1252">
          <cell r="B1252" t="str">
            <v>CAP- SCH  60  12"</v>
          </cell>
          <cell r="C1252">
            <v>14.27</v>
          </cell>
          <cell r="D1252">
            <v>22</v>
          </cell>
        </row>
        <row r="1253">
          <cell r="B1253" t="str">
            <v>CAP- SCH  80  12"</v>
          </cell>
          <cell r="C1253">
            <v>17.45</v>
          </cell>
          <cell r="D1253">
            <v>26.4</v>
          </cell>
        </row>
        <row r="1254">
          <cell r="B1254" t="str">
            <v>CAP- SCH  100  12"</v>
          </cell>
          <cell r="C1254">
            <v>21.41</v>
          </cell>
          <cell r="D1254">
            <v>32.5</v>
          </cell>
        </row>
        <row r="1255">
          <cell r="B1255" t="str">
            <v>CAP- SCH  XXS  12"</v>
          </cell>
          <cell r="C1255">
            <v>25.4</v>
          </cell>
          <cell r="D1255">
            <v>41</v>
          </cell>
        </row>
        <row r="1256">
          <cell r="B1256" t="str">
            <v>CAP- SCH  120  12"</v>
          </cell>
          <cell r="C1256">
            <v>25.4</v>
          </cell>
          <cell r="D1256">
            <v>41</v>
          </cell>
        </row>
        <row r="1257">
          <cell r="B1257" t="str">
            <v>CAP- SCH  140  12"</v>
          </cell>
          <cell r="C1257">
            <v>28.57</v>
          </cell>
          <cell r="D1257">
            <v>42</v>
          </cell>
        </row>
        <row r="1258">
          <cell r="B1258" t="str">
            <v>CAP- SCH  160  12"</v>
          </cell>
          <cell r="C1258">
            <v>33.32</v>
          </cell>
          <cell r="D1258">
            <v>44.5</v>
          </cell>
        </row>
        <row r="1259">
          <cell r="B1259" t="str">
            <v>CAP- SCH  5S  14"</v>
          </cell>
          <cell r="C1259">
            <v>3.96</v>
          </cell>
          <cell r="D1259">
            <v>7.8</v>
          </cell>
        </row>
        <row r="1260">
          <cell r="B1260" t="str">
            <v>CAP- SCH  10S  14"</v>
          </cell>
          <cell r="C1260">
            <v>4.78</v>
          </cell>
          <cell r="D1260">
            <v>8.5</v>
          </cell>
        </row>
        <row r="1261">
          <cell r="B1261" t="str">
            <v>CAP- SCH  10  14"</v>
          </cell>
          <cell r="C1261">
            <v>6.35</v>
          </cell>
          <cell r="D1261">
            <v>14</v>
          </cell>
        </row>
        <row r="1262">
          <cell r="B1262" t="str">
            <v>CAP- SCH  20  14"</v>
          </cell>
          <cell r="C1262">
            <v>7.92</v>
          </cell>
          <cell r="D1262">
            <v>15.5</v>
          </cell>
        </row>
        <row r="1263">
          <cell r="B1263" t="str">
            <v>CAP- SCH  30  14"</v>
          </cell>
          <cell r="C1263">
            <v>9.52</v>
          </cell>
          <cell r="D1263">
            <v>17</v>
          </cell>
        </row>
        <row r="1264">
          <cell r="B1264" t="str">
            <v>CAP- SCH  STD  14"</v>
          </cell>
          <cell r="C1264">
            <v>9.52</v>
          </cell>
          <cell r="D1264">
            <v>17</v>
          </cell>
        </row>
        <row r="1265">
          <cell r="B1265" t="str">
            <v>CAP- SCH  40  14"</v>
          </cell>
          <cell r="C1265">
            <v>11.13</v>
          </cell>
          <cell r="D1265">
            <v>18.600000000000001</v>
          </cell>
        </row>
        <row r="1266">
          <cell r="B1266" t="str">
            <v>CAP- SCH  XS  14"</v>
          </cell>
          <cell r="C1266">
            <v>12.7</v>
          </cell>
          <cell r="D1266">
            <v>107.4</v>
          </cell>
        </row>
        <row r="1267">
          <cell r="B1267" t="str">
            <v>CAP- SCH  60  14"</v>
          </cell>
          <cell r="C1267">
            <v>15.06</v>
          </cell>
          <cell r="D1267">
            <v>22</v>
          </cell>
        </row>
        <row r="1268">
          <cell r="B1268" t="str">
            <v>CAP- SCH  80  14"</v>
          </cell>
          <cell r="C1268">
            <v>19.05</v>
          </cell>
          <cell r="D1268">
            <v>32</v>
          </cell>
        </row>
        <row r="1269">
          <cell r="B1269" t="str">
            <v>CAP- SCH  100  14"</v>
          </cell>
          <cell r="C1269">
            <v>23.8</v>
          </cell>
          <cell r="D1269">
            <v>34.9</v>
          </cell>
        </row>
        <row r="1270">
          <cell r="B1270" t="str">
            <v>CAP- SCH  120  14"</v>
          </cell>
          <cell r="C1270">
            <v>27.76</v>
          </cell>
          <cell r="D1270">
            <v>42</v>
          </cell>
        </row>
        <row r="1271">
          <cell r="B1271" t="str">
            <v>CAP- SCH  140  14"</v>
          </cell>
          <cell r="C1271">
            <v>31.75</v>
          </cell>
          <cell r="D1271">
            <v>47</v>
          </cell>
        </row>
        <row r="1272">
          <cell r="B1272" t="str">
            <v>CAP- SCH  160  14"</v>
          </cell>
          <cell r="C1272">
            <v>35.71</v>
          </cell>
          <cell r="D1272">
            <v>52</v>
          </cell>
        </row>
        <row r="1273">
          <cell r="B1273" t="str">
            <v>CAP- SCH  5S  16"</v>
          </cell>
          <cell r="C1273">
            <v>4.1900000000000004</v>
          </cell>
          <cell r="D1273">
            <v>13.5</v>
          </cell>
        </row>
        <row r="1274">
          <cell r="B1274" t="str">
            <v>CAP- SCH  10S  16"</v>
          </cell>
          <cell r="C1274">
            <v>4.76</v>
          </cell>
          <cell r="D1274">
            <v>14.5</v>
          </cell>
        </row>
        <row r="1275">
          <cell r="B1275" t="str">
            <v>CAP- SCH  10  16"</v>
          </cell>
          <cell r="C1275">
            <v>6.35</v>
          </cell>
          <cell r="D1275">
            <v>18</v>
          </cell>
        </row>
        <row r="1276">
          <cell r="B1276" t="str">
            <v>CAP- SCH  20  16"</v>
          </cell>
          <cell r="C1276">
            <v>7.92</v>
          </cell>
          <cell r="D1276">
            <v>20</v>
          </cell>
        </row>
        <row r="1277">
          <cell r="B1277" t="str">
            <v>CAP- SCH  STD  16"</v>
          </cell>
          <cell r="C1277">
            <v>9.52</v>
          </cell>
          <cell r="D1277">
            <v>23</v>
          </cell>
        </row>
        <row r="1278">
          <cell r="B1278" t="str">
            <v>CAP- SCH  30  16"</v>
          </cell>
          <cell r="C1278">
            <v>9.52</v>
          </cell>
          <cell r="D1278">
            <v>23</v>
          </cell>
        </row>
        <row r="1279">
          <cell r="B1279" t="str">
            <v>CAP- SCH  XS  16"</v>
          </cell>
          <cell r="C1279">
            <v>12.7</v>
          </cell>
          <cell r="D1279">
            <v>26.7</v>
          </cell>
        </row>
        <row r="1280">
          <cell r="B1280" t="str">
            <v>CAP- SCH  40  16"</v>
          </cell>
          <cell r="C1280">
            <v>12.7</v>
          </cell>
          <cell r="D1280">
            <v>26.7</v>
          </cell>
        </row>
        <row r="1281">
          <cell r="B1281" t="str">
            <v>CAP- SCH  60  16"</v>
          </cell>
          <cell r="C1281">
            <v>16.66</v>
          </cell>
          <cell r="D1281">
            <v>37</v>
          </cell>
        </row>
        <row r="1282">
          <cell r="B1282" t="str">
            <v>CAP- SCH  80  16"</v>
          </cell>
          <cell r="C1282">
            <v>21.41</v>
          </cell>
          <cell r="D1282">
            <v>49</v>
          </cell>
        </row>
        <row r="1283">
          <cell r="B1283" t="str">
            <v>CAP- SCH  100  16"</v>
          </cell>
          <cell r="C1283">
            <v>26.19</v>
          </cell>
          <cell r="D1283">
            <v>54</v>
          </cell>
        </row>
        <row r="1284">
          <cell r="B1284" t="str">
            <v>CAP- SCH  120  16"</v>
          </cell>
          <cell r="C1284">
            <v>30.94</v>
          </cell>
          <cell r="D1284">
            <v>64</v>
          </cell>
        </row>
        <row r="1285">
          <cell r="B1285" t="str">
            <v>CAP- SCH  140  16"</v>
          </cell>
          <cell r="C1285">
            <v>36.53</v>
          </cell>
          <cell r="D1285">
            <v>73</v>
          </cell>
        </row>
        <row r="1286">
          <cell r="B1286" t="str">
            <v>CAP- SCH  160  16"</v>
          </cell>
          <cell r="C1286">
            <v>40.46</v>
          </cell>
          <cell r="D1286">
            <v>79</v>
          </cell>
        </row>
        <row r="1287">
          <cell r="B1287" t="str">
            <v>CAP- SCH  5S  18"</v>
          </cell>
          <cell r="C1287">
            <v>4.1900000000000004</v>
          </cell>
          <cell r="D1287">
            <v>17.2</v>
          </cell>
        </row>
        <row r="1288">
          <cell r="B1288" t="str">
            <v>CAP- SCH  10S  18"</v>
          </cell>
          <cell r="C1288">
            <v>4.78</v>
          </cell>
          <cell r="D1288">
            <v>18</v>
          </cell>
        </row>
        <row r="1289">
          <cell r="B1289" t="str">
            <v>CAP- SCH  10  18"</v>
          </cell>
          <cell r="C1289">
            <v>6.35</v>
          </cell>
          <cell r="D1289">
            <v>22</v>
          </cell>
        </row>
        <row r="1290">
          <cell r="B1290" t="str">
            <v>CAP- SCH  20  18"</v>
          </cell>
          <cell r="C1290">
            <v>7.92</v>
          </cell>
          <cell r="D1290">
            <v>25</v>
          </cell>
        </row>
        <row r="1291">
          <cell r="B1291" t="str">
            <v>CAP- SCH  STD  18"</v>
          </cell>
          <cell r="C1291">
            <v>9.52</v>
          </cell>
          <cell r="D1291">
            <v>29</v>
          </cell>
        </row>
        <row r="1292">
          <cell r="B1292" t="str">
            <v>CAP- SCH  30  18"</v>
          </cell>
          <cell r="C1292">
            <v>11.13</v>
          </cell>
          <cell r="D1292">
            <v>30.3</v>
          </cell>
        </row>
        <row r="1293">
          <cell r="B1293" t="str">
            <v>CAP- SCH  XS  18"</v>
          </cell>
          <cell r="C1293">
            <v>12.7</v>
          </cell>
          <cell r="D1293">
            <v>32</v>
          </cell>
        </row>
        <row r="1294">
          <cell r="B1294" t="str">
            <v>CAP- SCH  40  18"</v>
          </cell>
          <cell r="C1294">
            <v>14.27</v>
          </cell>
          <cell r="D1294">
            <v>41.5</v>
          </cell>
        </row>
        <row r="1295">
          <cell r="B1295" t="str">
            <v>CAP- SCH  60  18"</v>
          </cell>
          <cell r="C1295">
            <v>19.05</v>
          </cell>
          <cell r="D1295">
            <v>66</v>
          </cell>
        </row>
        <row r="1296">
          <cell r="B1296" t="str">
            <v>CAP- SCH  80  18"</v>
          </cell>
          <cell r="C1296">
            <v>23.8</v>
          </cell>
          <cell r="D1296">
            <v>69</v>
          </cell>
        </row>
        <row r="1297">
          <cell r="B1297" t="str">
            <v>CAP- SCH  100  18"</v>
          </cell>
          <cell r="C1297">
            <v>29.36</v>
          </cell>
          <cell r="D1297">
            <v>75</v>
          </cell>
        </row>
        <row r="1298">
          <cell r="B1298" t="str">
            <v>CAP- SCH  120  18"</v>
          </cell>
          <cell r="C1298">
            <v>34.92</v>
          </cell>
          <cell r="D1298">
            <v>88</v>
          </cell>
        </row>
        <row r="1299">
          <cell r="B1299" t="str">
            <v>CAP- SCH  140  18"</v>
          </cell>
          <cell r="C1299">
            <v>39.67</v>
          </cell>
          <cell r="D1299">
            <v>93</v>
          </cell>
        </row>
        <row r="1300">
          <cell r="B1300" t="str">
            <v>CAP- SCH  160  18"</v>
          </cell>
          <cell r="C1300">
            <v>45.24</v>
          </cell>
          <cell r="D1300">
            <v>104</v>
          </cell>
        </row>
        <row r="1301">
          <cell r="B1301" t="str">
            <v>CAP- SCH  5S  20"</v>
          </cell>
          <cell r="C1301">
            <v>4.78</v>
          </cell>
          <cell r="D1301">
            <v>59.26</v>
          </cell>
        </row>
        <row r="1302">
          <cell r="B1302" t="str">
            <v>CAP- SCH  10S  20"</v>
          </cell>
          <cell r="C1302">
            <v>5.54</v>
          </cell>
          <cell r="D1302">
            <v>68.61</v>
          </cell>
        </row>
        <row r="1303">
          <cell r="B1303" t="str">
            <v>CAP- SCH  10  20"</v>
          </cell>
          <cell r="C1303">
            <v>6.35</v>
          </cell>
          <cell r="D1303">
            <v>78.56</v>
          </cell>
        </row>
        <row r="1304">
          <cell r="B1304" t="str">
            <v>CAP- SCH  STD  20"</v>
          </cell>
          <cell r="C1304">
            <v>9.52</v>
          </cell>
          <cell r="D1304">
            <v>117.1</v>
          </cell>
        </row>
        <row r="1305">
          <cell r="B1305" t="str">
            <v>CAP- SCH  20  20"</v>
          </cell>
          <cell r="C1305">
            <v>9.52</v>
          </cell>
          <cell r="D1305">
            <v>117.1</v>
          </cell>
        </row>
        <row r="1306">
          <cell r="B1306" t="str">
            <v>CAP- SCH  XS  20"</v>
          </cell>
          <cell r="C1306">
            <v>12.7</v>
          </cell>
          <cell r="D1306">
            <v>155.1</v>
          </cell>
        </row>
        <row r="1307">
          <cell r="B1307" t="str">
            <v>CAP- SCH  30  20"</v>
          </cell>
          <cell r="C1307">
            <v>12.7</v>
          </cell>
          <cell r="D1307">
            <v>155.1</v>
          </cell>
        </row>
        <row r="1308">
          <cell r="B1308" t="str">
            <v>CAP- SCH  40  20"</v>
          </cell>
          <cell r="C1308">
            <v>15.06</v>
          </cell>
          <cell r="D1308">
            <v>183.1</v>
          </cell>
        </row>
        <row r="1309">
          <cell r="B1309" t="str">
            <v>CAP- SCH  60  20"</v>
          </cell>
          <cell r="C1309">
            <v>20.62</v>
          </cell>
          <cell r="D1309">
            <v>247.9</v>
          </cell>
        </row>
        <row r="1310">
          <cell r="B1310" t="str">
            <v>CAP- SCH  80  20"</v>
          </cell>
          <cell r="C1310">
            <v>26.19</v>
          </cell>
          <cell r="D1310">
            <v>311.2</v>
          </cell>
        </row>
        <row r="1311">
          <cell r="B1311" t="str">
            <v>CAP- SCH  100  20"</v>
          </cell>
          <cell r="C1311">
            <v>32.54</v>
          </cell>
          <cell r="D1311">
            <v>381.5</v>
          </cell>
        </row>
        <row r="1312">
          <cell r="B1312" t="str">
            <v>CAP- SCH  120  20"</v>
          </cell>
          <cell r="C1312">
            <v>38.1</v>
          </cell>
          <cell r="D1312">
            <v>441.5</v>
          </cell>
        </row>
        <row r="1313">
          <cell r="B1313" t="str">
            <v>CAP- SCH  140  20"</v>
          </cell>
          <cell r="C1313">
            <v>44.45</v>
          </cell>
          <cell r="D1313">
            <v>506.1</v>
          </cell>
        </row>
        <row r="1314">
          <cell r="B1314" t="str">
            <v>CAP- SCH  160  20"</v>
          </cell>
          <cell r="C1314">
            <v>49.99</v>
          </cell>
          <cell r="D1314">
            <v>564.6</v>
          </cell>
        </row>
        <row r="1315">
          <cell r="B1315" t="str">
            <v>CAP- SCH  5S  24"</v>
          </cell>
          <cell r="C1315">
            <v>5.54</v>
          </cell>
          <cell r="D1315">
            <v>84</v>
          </cell>
        </row>
        <row r="1316">
          <cell r="B1316" t="str">
            <v>CAP- SCH  10  24"</v>
          </cell>
          <cell r="C1316">
            <v>6.35</v>
          </cell>
          <cell r="D1316">
            <v>35</v>
          </cell>
        </row>
        <row r="1317">
          <cell r="B1317" t="str">
            <v>CAP- SCH  10S  24"</v>
          </cell>
          <cell r="C1317">
            <v>6.35</v>
          </cell>
          <cell r="D1317">
            <v>35</v>
          </cell>
        </row>
        <row r="1318">
          <cell r="B1318" t="str">
            <v>CAP- SCH  STD  24"</v>
          </cell>
          <cell r="C1318">
            <v>9.52</v>
          </cell>
          <cell r="D1318">
            <v>52</v>
          </cell>
        </row>
        <row r="1319">
          <cell r="B1319" t="str">
            <v>CAP- SCH  20  24"</v>
          </cell>
          <cell r="C1319">
            <v>9.52</v>
          </cell>
          <cell r="D1319">
            <v>52</v>
          </cell>
        </row>
        <row r="1320">
          <cell r="B1320" t="str">
            <v>CAP- SCH  XS  24"</v>
          </cell>
          <cell r="C1320">
            <v>12.7</v>
          </cell>
          <cell r="D1320">
            <v>69</v>
          </cell>
        </row>
        <row r="1321">
          <cell r="B1321" t="str">
            <v>CAP- SCH  30  24"</v>
          </cell>
          <cell r="C1321">
            <v>14.27</v>
          </cell>
          <cell r="D1321">
            <v>74.5</v>
          </cell>
        </row>
        <row r="1322">
          <cell r="B1322" t="str">
            <v>CAP- SCH  40  24"</v>
          </cell>
          <cell r="C1322">
            <v>17.45</v>
          </cell>
          <cell r="D1322">
            <v>89.7</v>
          </cell>
        </row>
        <row r="1323">
          <cell r="B1323" t="str">
            <v>CAP- SCH  60  24"</v>
          </cell>
          <cell r="C1323">
            <v>24.59</v>
          </cell>
          <cell r="D1323">
            <v>150</v>
          </cell>
        </row>
        <row r="1324">
          <cell r="B1324" t="str">
            <v>CAP- SCH  80  24"</v>
          </cell>
          <cell r="C1324">
            <v>30.94</v>
          </cell>
          <cell r="D1324">
            <v>160</v>
          </cell>
        </row>
        <row r="1325">
          <cell r="B1325" t="str">
            <v>CAP- SCH  100  24"</v>
          </cell>
          <cell r="C1325">
            <v>38.89</v>
          </cell>
          <cell r="D1325">
            <v>180</v>
          </cell>
        </row>
        <row r="1326">
          <cell r="B1326" t="str">
            <v>CAP- SCH  120  24"</v>
          </cell>
          <cell r="C1326">
            <v>46.02</v>
          </cell>
          <cell r="D1326">
            <v>200</v>
          </cell>
        </row>
        <row r="1327">
          <cell r="B1327" t="str">
            <v>CAP- SCH  140  24"</v>
          </cell>
          <cell r="C1327">
            <v>52.37</v>
          </cell>
          <cell r="D1327">
            <v>250</v>
          </cell>
        </row>
        <row r="1328">
          <cell r="B1328" t="str">
            <v>CAP- SCH  160  24"</v>
          </cell>
          <cell r="C1328">
            <v>59.51</v>
          </cell>
          <cell r="D1328">
            <v>285</v>
          </cell>
        </row>
        <row r="1329">
          <cell r="B1329" t="str">
            <v>CAP- SCH  STD  26"</v>
          </cell>
          <cell r="C1329">
            <v>9.5299999999999994</v>
          </cell>
          <cell r="D1329">
            <v>237</v>
          </cell>
        </row>
        <row r="1330">
          <cell r="B1330" t="str">
            <v>CAP- SCH  XS  26"</v>
          </cell>
          <cell r="C1330">
            <v>12.7</v>
          </cell>
          <cell r="D1330">
            <v>315</v>
          </cell>
        </row>
        <row r="1331">
          <cell r="B1331" t="str">
            <v>CAP- SCH  20  26"</v>
          </cell>
          <cell r="C1331">
            <v>12.7</v>
          </cell>
          <cell r="D1331">
            <v>315</v>
          </cell>
        </row>
        <row r="1332">
          <cell r="B1332" t="str">
            <v>CAP- SCH  STD  28"</v>
          </cell>
          <cell r="C1332">
            <v>9.5299999999999994</v>
          </cell>
          <cell r="D1332">
            <v>9.52</v>
          </cell>
        </row>
        <row r="1333">
          <cell r="B1333" t="str">
            <v>CAP- SCH  XS  28"</v>
          </cell>
          <cell r="C1333">
            <v>12.7</v>
          </cell>
          <cell r="D1333">
            <v>12.7</v>
          </cell>
        </row>
        <row r="1334">
          <cell r="B1334" t="str">
            <v>CAP- SCH  20  28"</v>
          </cell>
          <cell r="C1334">
            <v>12.7</v>
          </cell>
          <cell r="D1334">
            <v>12.7</v>
          </cell>
        </row>
        <row r="1335">
          <cell r="B1335" t="str">
            <v>CAP- SCH  10  30"</v>
          </cell>
          <cell r="C1335">
            <v>7.92</v>
          </cell>
          <cell r="D1335">
            <v>51</v>
          </cell>
        </row>
        <row r="1336">
          <cell r="B1336" t="str">
            <v>CAP- SCH  10S  30"</v>
          </cell>
          <cell r="C1336">
            <v>7.92</v>
          </cell>
          <cell r="D1336">
            <v>51</v>
          </cell>
        </row>
        <row r="1337">
          <cell r="B1337" t="str">
            <v>CAP- SCH  STD  30"</v>
          </cell>
          <cell r="C1337">
            <v>9.5299999999999994</v>
          </cell>
          <cell r="D1337">
            <v>57</v>
          </cell>
        </row>
        <row r="1338">
          <cell r="B1338" t="str">
            <v>CAP- SCH  XS  30"</v>
          </cell>
          <cell r="C1338">
            <v>12.7</v>
          </cell>
          <cell r="D1338">
            <v>79.5</v>
          </cell>
        </row>
        <row r="1339">
          <cell r="B1339" t="str">
            <v>CAP- SCH  20  30"</v>
          </cell>
          <cell r="C1339">
            <v>12.7</v>
          </cell>
          <cell r="D1339">
            <v>79.5</v>
          </cell>
        </row>
        <row r="1340">
          <cell r="B1340" t="str">
            <v>CAP- SCH  STD  32"</v>
          </cell>
          <cell r="C1340">
            <v>9.5299999999999994</v>
          </cell>
          <cell r="D1340">
            <v>9.5</v>
          </cell>
        </row>
        <row r="1341">
          <cell r="B1341" t="str">
            <v>CAP- SCH  XS  32"</v>
          </cell>
          <cell r="C1341">
            <v>12.7</v>
          </cell>
          <cell r="D1341">
            <v>12.7</v>
          </cell>
        </row>
        <row r="1342">
          <cell r="B1342" t="str">
            <v>CAP- SCH  20  32"</v>
          </cell>
          <cell r="C1342">
            <v>12.7</v>
          </cell>
          <cell r="D1342">
            <v>12.7</v>
          </cell>
        </row>
        <row r="1343">
          <cell r="B1343" t="str">
            <v>CAP- SCH  10  34"</v>
          </cell>
          <cell r="C1343">
            <v>7.92</v>
          </cell>
          <cell r="D1343">
            <v>58</v>
          </cell>
        </row>
        <row r="1344">
          <cell r="B1344" t="str">
            <v>CAP- SCH  STD  34"</v>
          </cell>
          <cell r="C1344">
            <v>9.5299999999999994</v>
          </cell>
          <cell r="D1344">
            <v>73</v>
          </cell>
        </row>
        <row r="1345">
          <cell r="B1345" t="str">
            <v>CAP- SCH  XS  34"</v>
          </cell>
          <cell r="C1345">
            <v>12.7</v>
          </cell>
          <cell r="D1345">
            <v>95.5</v>
          </cell>
        </row>
        <row r="1346">
          <cell r="B1346" t="str">
            <v>CAP- SCH  20  34"</v>
          </cell>
          <cell r="C1346">
            <v>12.7</v>
          </cell>
          <cell r="D1346">
            <v>95.5</v>
          </cell>
        </row>
        <row r="1347">
          <cell r="B1347" t="str">
            <v>CAP- SCH  10  36"</v>
          </cell>
          <cell r="C1347">
            <v>7.92</v>
          </cell>
          <cell r="D1347">
            <v>62</v>
          </cell>
        </row>
        <row r="1348">
          <cell r="B1348" t="str">
            <v>CAP- SCH  STD  36"</v>
          </cell>
          <cell r="C1348">
            <v>9.5299999999999994</v>
          </cell>
          <cell r="D1348">
            <v>79.5</v>
          </cell>
        </row>
        <row r="1349">
          <cell r="B1349" t="str">
            <v>CAP- SCH  XS  36"</v>
          </cell>
          <cell r="C1349">
            <v>12.7</v>
          </cell>
          <cell r="D1349">
            <v>107</v>
          </cell>
        </row>
        <row r="1350">
          <cell r="B1350" t="str">
            <v>CAP- SCH  20  36"</v>
          </cell>
          <cell r="C1350">
            <v>12.7</v>
          </cell>
          <cell r="D1350">
            <v>107</v>
          </cell>
        </row>
        <row r="1351">
          <cell r="B1351" t="str">
            <v>CAP- SCH  STD  40"</v>
          </cell>
          <cell r="C1351">
            <v>9.5299999999999994</v>
          </cell>
          <cell r="D1351">
            <v>91</v>
          </cell>
        </row>
        <row r="1352">
          <cell r="B1352" t="str">
            <v>CAP- SCH  XS  40"</v>
          </cell>
          <cell r="C1352">
            <v>0</v>
          </cell>
          <cell r="D1352">
            <v>122.5</v>
          </cell>
        </row>
        <row r="1353">
          <cell r="B1353" t="str">
            <v>CAP- SCH  STD  42"</v>
          </cell>
          <cell r="C1353">
            <v>9.5299999999999994</v>
          </cell>
          <cell r="D1353">
            <v>104.5</v>
          </cell>
        </row>
        <row r="1354">
          <cell r="B1354" t="str">
            <v>CAP- SCH  XS  42"</v>
          </cell>
          <cell r="C1354">
            <v>12.7</v>
          </cell>
          <cell r="D1354">
            <v>136.5</v>
          </cell>
        </row>
        <row r="1355">
          <cell r="B1355" t="str">
            <v>CAP- SCH  STD  48"</v>
          </cell>
          <cell r="C1355">
            <v>9.5299999999999994</v>
          </cell>
          <cell r="D1355">
            <v>116</v>
          </cell>
        </row>
        <row r="1356">
          <cell r="B1356" t="str">
            <v>CAP- SCH  XS  48"</v>
          </cell>
          <cell r="C1356">
            <v>12.7</v>
          </cell>
          <cell r="D1356">
            <v>154.5</v>
          </cell>
        </row>
        <row r="1357">
          <cell r="B1357" t="str">
            <v>STB- SCH  5S  2"</v>
          </cell>
          <cell r="C1357">
            <v>1.65</v>
          </cell>
          <cell r="D1357">
            <v>0.2</v>
          </cell>
        </row>
        <row r="1358">
          <cell r="B1358" t="str">
            <v>STB- SCH  10S  2"</v>
          </cell>
          <cell r="C1358">
            <v>2.77</v>
          </cell>
          <cell r="D1358">
            <v>0.34</v>
          </cell>
        </row>
        <row r="1359">
          <cell r="B1359" t="str">
            <v>STB- SCH  40  2"</v>
          </cell>
          <cell r="C1359">
            <v>3.91</v>
          </cell>
          <cell r="D1359">
            <v>0.47</v>
          </cell>
        </row>
        <row r="1360">
          <cell r="B1360" t="str">
            <v>STB- SCH  40S  2"</v>
          </cell>
          <cell r="C1360">
            <v>3.91</v>
          </cell>
          <cell r="D1360">
            <v>0.47</v>
          </cell>
        </row>
        <row r="1361">
          <cell r="B1361" t="str">
            <v>STB- SCH  STD  2"</v>
          </cell>
          <cell r="C1361">
            <v>3.91</v>
          </cell>
          <cell r="D1361">
            <v>0.47</v>
          </cell>
        </row>
        <row r="1362">
          <cell r="B1362" t="str">
            <v>STB- SCH  5S  2.5"</v>
          </cell>
          <cell r="C1362">
            <v>2.11</v>
          </cell>
          <cell r="D1362">
            <v>0.31</v>
          </cell>
        </row>
        <row r="1363">
          <cell r="B1363" t="str">
            <v>STB- SCH  10S  2.5"</v>
          </cell>
          <cell r="C1363">
            <v>3.05</v>
          </cell>
          <cell r="D1363">
            <v>0.45</v>
          </cell>
        </row>
        <row r="1364">
          <cell r="B1364" t="str">
            <v>STB- SCH  40  2.5"</v>
          </cell>
          <cell r="C1364">
            <v>5.16</v>
          </cell>
          <cell r="D1364">
            <v>0.75</v>
          </cell>
        </row>
        <row r="1365">
          <cell r="B1365" t="str">
            <v>STB- SCH  40S  2.5"</v>
          </cell>
          <cell r="C1365">
            <v>5.16</v>
          </cell>
          <cell r="D1365">
            <v>0.75</v>
          </cell>
        </row>
        <row r="1366">
          <cell r="B1366" t="str">
            <v>STB- SCH  STD  2.5"</v>
          </cell>
          <cell r="C1366">
            <v>5.16</v>
          </cell>
          <cell r="D1366">
            <v>0.75</v>
          </cell>
        </row>
        <row r="1367">
          <cell r="B1367" t="str">
            <v>STB- SCH  5S  3"</v>
          </cell>
          <cell r="C1367">
            <v>2.11</v>
          </cell>
          <cell r="D1367">
            <v>0.4</v>
          </cell>
        </row>
        <row r="1368">
          <cell r="B1368" t="str">
            <v>STB- SCH  10S  3"</v>
          </cell>
          <cell r="C1368">
            <v>3.05</v>
          </cell>
          <cell r="D1368">
            <v>0.56999999999999995</v>
          </cell>
        </row>
        <row r="1369">
          <cell r="B1369" t="str">
            <v>STB- SCH  40  3"</v>
          </cell>
          <cell r="C1369">
            <v>5.49</v>
          </cell>
          <cell r="D1369">
            <v>1</v>
          </cell>
        </row>
        <row r="1370">
          <cell r="B1370" t="str">
            <v>STB- SCH  40S  3"</v>
          </cell>
          <cell r="C1370">
            <v>5.49</v>
          </cell>
          <cell r="D1370">
            <v>1</v>
          </cell>
        </row>
        <row r="1371">
          <cell r="B1371" t="str">
            <v>STB- SCH  STD  3"</v>
          </cell>
          <cell r="C1371">
            <v>5.49</v>
          </cell>
          <cell r="D1371">
            <v>1</v>
          </cell>
        </row>
        <row r="1372">
          <cell r="B1372" t="str">
            <v>STB- SCH  5S  4"</v>
          </cell>
          <cell r="C1372">
            <v>2.11</v>
          </cell>
          <cell r="D1372">
            <v>0.7</v>
          </cell>
        </row>
        <row r="1373">
          <cell r="B1373" t="str">
            <v>STB- SCH  10S  4"</v>
          </cell>
          <cell r="C1373">
            <v>3.05</v>
          </cell>
          <cell r="D1373">
            <v>0.9</v>
          </cell>
        </row>
        <row r="1374">
          <cell r="B1374" t="str">
            <v>STB- SCH  40  4"</v>
          </cell>
          <cell r="C1374">
            <v>6.02</v>
          </cell>
          <cell r="D1374">
            <v>1.7</v>
          </cell>
        </row>
        <row r="1375">
          <cell r="B1375" t="str">
            <v>STB- SCH  40S  4"</v>
          </cell>
          <cell r="C1375">
            <v>6.02</v>
          </cell>
          <cell r="D1375">
            <v>1.7</v>
          </cell>
        </row>
        <row r="1376">
          <cell r="B1376" t="str">
            <v>STB- SCH  STD  4"</v>
          </cell>
          <cell r="C1376">
            <v>6.02</v>
          </cell>
          <cell r="D1376">
            <v>1.7</v>
          </cell>
        </row>
        <row r="1377">
          <cell r="B1377" t="str">
            <v>STB- SCH  5S  5"</v>
          </cell>
          <cell r="C1377">
            <v>2.77</v>
          </cell>
          <cell r="D1377">
            <v>1</v>
          </cell>
        </row>
        <row r="1378">
          <cell r="B1378" t="str">
            <v>STB- SCH  10S  5"</v>
          </cell>
          <cell r="C1378">
            <v>3.4</v>
          </cell>
          <cell r="D1378">
            <v>1.25</v>
          </cell>
        </row>
        <row r="1379">
          <cell r="B1379" t="str">
            <v>STB- SCH  40  5"</v>
          </cell>
          <cell r="C1379">
            <v>6.55</v>
          </cell>
          <cell r="D1379">
            <v>2.2999999999999998</v>
          </cell>
        </row>
        <row r="1380">
          <cell r="B1380" t="str">
            <v>STB- SCH  40S  5"</v>
          </cell>
          <cell r="C1380">
            <v>6.55</v>
          </cell>
          <cell r="D1380">
            <v>2.2999999999999998</v>
          </cell>
        </row>
        <row r="1381">
          <cell r="B1381" t="str">
            <v>STB- SCH  STD  5"</v>
          </cell>
          <cell r="C1381">
            <v>6.55</v>
          </cell>
          <cell r="D1381">
            <v>2.2999999999999998</v>
          </cell>
        </row>
        <row r="1382">
          <cell r="B1382" t="str">
            <v>STB- SCH  5S  6"</v>
          </cell>
          <cell r="C1382">
            <v>2.77</v>
          </cell>
          <cell r="D1382">
            <v>1.3</v>
          </cell>
        </row>
        <row r="1383">
          <cell r="B1383" t="str">
            <v>STB- SCH  10S  6"</v>
          </cell>
          <cell r="C1383">
            <v>3.4</v>
          </cell>
          <cell r="D1383">
            <v>1.6</v>
          </cell>
        </row>
        <row r="1384">
          <cell r="B1384" t="str">
            <v>STB- SCH  40  6"</v>
          </cell>
          <cell r="C1384">
            <v>7.11</v>
          </cell>
          <cell r="D1384">
            <v>3.4</v>
          </cell>
        </row>
        <row r="1385">
          <cell r="B1385" t="str">
            <v>STB- SCH  40S  6"</v>
          </cell>
          <cell r="C1385">
            <v>7.11</v>
          </cell>
          <cell r="D1385">
            <v>3.4</v>
          </cell>
        </row>
        <row r="1386">
          <cell r="B1386" t="str">
            <v>STB- SCH  STD  6"</v>
          </cell>
          <cell r="C1386">
            <v>7.11</v>
          </cell>
          <cell r="D1386">
            <v>3.4</v>
          </cell>
        </row>
        <row r="1387">
          <cell r="B1387" t="str">
            <v>STB- SCH  5S  8"</v>
          </cell>
          <cell r="C1387">
            <v>2.77</v>
          </cell>
          <cell r="D1387">
            <v>2</v>
          </cell>
        </row>
        <row r="1388">
          <cell r="B1388" t="str">
            <v>STB- SCH  10S  8"</v>
          </cell>
          <cell r="C1388">
            <v>3.76</v>
          </cell>
          <cell r="D1388">
            <v>2.7</v>
          </cell>
        </row>
        <row r="1389">
          <cell r="B1389" t="str">
            <v>STB- SCH  40  8"</v>
          </cell>
          <cell r="C1389">
            <v>8.18</v>
          </cell>
          <cell r="D1389">
            <v>5.7</v>
          </cell>
        </row>
        <row r="1390">
          <cell r="B1390" t="str">
            <v>STB- SCH  40S  8"</v>
          </cell>
          <cell r="C1390">
            <v>8.18</v>
          </cell>
          <cell r="D1390">
            <v>5.7</v>
          </cell>
        </row>
        <row r="1391">
          <cell r="B1391" t="str">
            <v>STB- SCH  STD  8"</v>
          </cell>
          <cell r="C1391">
            <v>8.18</v>
          </cell>
          <cell r="D1391">
            <v>5.7</v>
          </cell>
        </row>
        <row r="1392">
          <cell r="B1392" t="str">
            <v>STB- SCH  5S  10"</v>
          </cell>
          <cell r="C1392">
            <v>3.4</v>
          </cell>
          <cell r="D1392">
            <v>3.6</v>
          </cell>
        </row>
        <row r="1393">
          <cell r="B1393" t="str">
            <v>STB- SCH  10S  10"</v>
          </cell>
          <cell r="C1393">
            <v>4.1900000000000004</v>
          </cell>
          <cell r="D1393">
            <v>4.4000000000000004</v>
          </cell>
        </row>
        <row r="1394">
          <cell r="B1394" t="str">
            <v>STB- SCH  40  10"</v>
          </cell>
          <cell r="C1394">
            <v>9.27</v>
          </cell>
          <cell r="D1394">
            <v>9.6</v>
          </cell>
        </row>
        <row r="1395">
          <cell r="B1395" t="str">
            <v>STB- SCH  40S  10"</v>
          </cell>
          <cell r="C1395">
            <v>9.27</v>
          </cell>
          <cell r="D1395">
            <v>9.6</v>
          </cell>
        </row>
        <row r="1396">
          <cell r="B1396" t="str">
            <v>STB- SCH  STD  10"</v>
          </cell>
          <cell r="C1396">
            <v>9.27</v>
          </cell>
          <cell r="D1396">
            <v>9.6</v>
          </cell>
        </row>
        <row r="1397">
          <cell r="B1397" t="str">
            <v>STB- SCH  5S  12"</v>
          </cell>
          <cell r="C1397">
            <v>4.1900000000000004</v>
          </cell>
          <cell r="D1397">
            <v>5.9</v>
          </cell>
        </row>
        <row r="1398">
          <cell r="B1398" t="str">
            <v>STB- SCH  10S  12"</v>
          </cell>
          <cell r="C1398">
            <v>4.57</v>
          </cell>
          <cell r="D1398">
            <v>6.7</v>
          </cell>
        </row>
        <row r="1399">
          <cell r="B1399" t="str">
            <v>STB- SCH  STD  12"</v>
          </cell>
          <cell r="C1399">
            <v>9.52</v>
          </cell>
          <cell r="D1399">
            <v>13.8</v>
          </cell>
        </row>
        <row r="1400">
          <cell r="B1400" t="str">
            <v>STB- SCH  40S  12"</v>
          </cell>
          <cell r="C1400">
            <v>9.52</v>
          </cell>
          <cell r="D1400">
            <v>13.8</v>
          </cell>
        </row>
        <row r="1401">
          <cell r="B1401" t="str">
            <v>STB- SCH  5S  14"</v>
          </cell>
          <cell r="C1401">
            <v>3.96</v>
          </cell>
          <cell r="D1401">
            <v>60</v>
          </cell>
        </row>
        <row r="1402">
          <cell r="B1402" t="str">
            <v>STB- SCH  10S  14"</v>
          </cell>
          <cell r="C1402">
            <v>4.78</v>
          </cell>
          <cell r="D1402">
            <v>6.4</v>
          </cell>
        </row>
        <row r="1403">
          <cell r="B1403" t="str">
            <v>STB- SCH  5S  16"</v>
          </cell>
          <cell r="C1403">
            <v>4.1900000000000004</v>
          </cell>
          <cell r="D1403">
            <v>41.57</v>
          </cell>
        </row>
        <row r="1404">
          <cell r="B1404" t="str">
            <v>STB- SCH  10S  16"</v>
          </cell>
          <cell r="C1404">
            <v>4.76</v>
          </cell>
          <cell r="D1404">
            <v>47.29</v>
          </cell>
        </row>
        <row r="1405">
          <cell r="B1405" t="str">
            <v>STB- SCH  5S  18"</v>
          </cell>
          <cell r="C1405">
            <v>4.1900000000000004</v>
          </cell>
          <cell r="D1405">
            <v>9.1999999999999993</v>
          </cell>
        </row>
        <row r="1406">
          <cell r="B1406" t="str">
            <v>STB- SCH  10S  18"</v>
          </cell>
          <cell r="C1406">
            <v>4.78</v>
          </cell>
          <cell r="D1406">
            <v>10.5</v>
          </cell>
        </row>
        <row r="1407">
          <cell r="B1407" t="str">
            <v>STB- SCH  5S  20"</v>
          </cell>
          <cell r="C1407">
            <v>4.78</v>
          </cell>
          <cell r="D1407">
            <v>11.7</v>
          </cell>
        </row>
        <row r="1408">
          <cell r="B1408" t="str">
            <v>STB- SCH  10S  20"</v>
          </cell>
          <cell r="C1408">
            <v>5.54</v>
          </cell>
          <cell r="D1408">
            <v>13.5</v>
          </cell>
        </row>
        <row r="1409">
          <cell r="B1409" t="str">
            <v>STB- SCH  5S  24"</v>
          </cell>
          <cell r="C1409">
            <v>5.54</v>
          </cell>
          <cell r="D1409">
            <v>16.5</v>
          </cell>
        </row>
        <row r="1410">
          <cell r="B1410" t="str">
            <v>STB- SCH  10  24"</v>
          </cell>
          <cell r="C1410">
            <v>6.35</v>
          </cell>
          <cell r="D1410">
            <v>18.899999999999999</v>
          </cell>
        </row>
        <row r="1411">
          <cell r="B1411" t="str">
            <v>STB- SCH  10S  24"</v>
          </cell>
          <cell r="C1411">
            <v>6.35</v>
          </cell>
          <cell r="D1411">
            <v>18.899999999999999</v>
          </cell>
        </row>
        <row r="1412">
          <cell r="B1412" t="str">
            <v>FLG.SO- SCH  150  0.5"</v>
          </cell>
          <cell r="D1412">
            <v>0.47</v>
          </cell>
        </row>
        <row r="1413">
          <cell r="B1413" t="str">
            <v>FLG.SO- SCH  300  0.5"</v>
          </cell>
          <cell r="D1413">
            <v>0.62</v>
          </cell>
        </row>
        <row r="1414">
          <cell r="B1414" t="str">
            <v>FLG.SO- SCH  600  0.5"</v>
          </cell>
          <cell r="D1414">
            <v>0.91</v>
          </cell>
        </row>
        <row r="1415">
          <cell r="B1415" t="str">
            <v>FLG.SO- SCH  900  0.5"</v>
          </cell>
          <cell r="D1415">
            <v>1.81</v>
          </cell>
        </row>
        <row r="1416">
          <cell r="B1416" t="str">
            <v>FLG.SO- SCH  1500  0.5"</v>
          </cell>
          <cell r="D1416">
            <v>1.8</v>
          </cell>
        </row>
        <row r="1417">
          <cell r="B1417" t="str">
            <v>FLG.SO- SCH  2500  0.5"</v>
          </cell>
          <cell r="D1417">
            <v>3.18</v>
          </cell>
        </row>
        <row r="1418">
          <cell r="B1418" t="str">
            <v>FLG.WN- SCH  150  0.5"</v>
          </cell>
          <cell r="D1418">
            <v>0.51</v>
          </cell>
        </row>
        <row r="1419">
          <cell r="B1419" t="str">
            <v>FLG.WN- SCH  300  0.5"</v>
          </cell>
          <cell r="D1419">
            <v>0.78</v>
          </cell>
        </row>
        <row r="1420">
          <cell r="B1420" t="str">
            <v>FLG.WN- SCH  600  0.5"</v>
          </cell>
          <cell r="D1420">
            <v>0.9</v>
          </cell>
        </row>
        <row r="1421">
          <cell r="B1421" t="str">
            <v>FLG.WN- SCH  900  0.5"</v>
          </cell>
          <cell r="D1421">
            <v>2.1</v>
          </cell>
        </row>
        <row r="1422">
          <cell r="B1422" t="str">
            <v>FLG.WN- SCH  1500  0.5"</v>
          </cell>
          <cell r="D1422">
            <v>2.1</v>
          </cell>
        </row>
        <row r="1423">
          <cell r="B1423" t="str">
            <v>FLG.WN- SCH  2500  0.5"</v>
          </cell>
          <cell r="D1423">
            <v>3.18</v>
          </cell>
        </row>
        <row r="1424">
          <cell r="B1424" t="str">
            <v>FLG.BL- SCH  150  0.5"</v>
          </cell>
          <cell r="D1424">
            <v>0.47</v>
          </cell>
        </row>
        <row r="1425">
          <cell r="B1425" t="str">
            <v>FLG.BL- SCH  300  0.5"</v>
          </cell>
          <cell r="D1425">
            <v>0.62</v>
          </cell>
        </row>
        <row r="1426">
          <cell r="B1426" t="str">
            <v>FLG.BL- SCH  600  0.5"</v>
          </cell>
          <cell r="D1426">
            <v>0.91</v>
          </cell>
        </row>
        <row r="1427">
          <cell r="B1427" t="str">
            <v>FLG.BL- SCH  900  0.5"</v>
          </cell>
          <cell r="D1427">
            <v>1.9</v>
          </cell>
        </row>
        <row r="1428">
          <cell r="B1428" t="str">
            <v>FLG.BL- SCH  1500  0.5"</v>
          </cell>
          <cell r="D1428">
            <v>1.9</v>
          </cell>
        </row>
        <row r="1429">
          <cell r="B1429" t="str">
            <v>FLG.BL- SCH  2500  0.5"</v>
          </cell>
          <cell r="D1429">
            <v>3.18</v>
          </cell>
        </row>
        <row r="1430">
          <cell r="B1430" t="str">
            <v>FLG.SO- SCH  150  0.75"</v>
          </cell>
          <cell r="D1430">
            <v>0.57999999999999996</v>
          </cell>
        </row>
        <row r="1431">
          <cell r="B1431" t="str">
            <v>FLG.SO- SCH  300  0.75"</v>
          </cell>
          <cell r="D1431">
            <v>1.1499999999999999</v>
          </cell>
        </row>
        <row r="1432">
          <cell r="B1432" t="str">
            <v>FLG.SO- SCH  600  0.75"</v>
          </cell>
          <cell r="D1432">
            <v>1.4</v>
          </cell>
        </row>
        <row r="1433">
          <cell r="B1433" t="str">
            <v>FLG.SO- SCH  900  0.75"</v>
          </cell>
          <cell r="D1433">
            <v>2.4</v>
          </cell>
        </row>
        <row r="1434">
          <cell r="B1434" t="str">
            <v>FLG.SO- SCH  1500  0.75"</v>
          </cell>
          <cell r="D1434">
            <v>2.27</v>
          </cell>
        </row>
        <row r="1435">
          <cell r="B1435" t="str">
            <v>FLG.SO- SCH  2500  0.75"</v>
          </cell>
          <cell r="D1435">
            <v>4.08</v>
          </cell>
        </row>
        <row r="1436">
          <cell r="B1436" t="str">
            <v>FLG.WN- SCH  150  0.75"</v>
          </cell>
          <cell r="D1436">
            <v>0.73</v>
          </cell>
        </row>
        <row r="1437">
          <cell r="B1437" t="str">
            <v>FLG.WN- SCH  300  0.75"</v>
          </cell>
          <cell r="D1437">
            <v>1.34</v>
          </cell>
        </row>
        <row r="1438">
          <cell r="B1438" t="str">
            <v>FLG.WN- SCH  600  0.75"</v>
          </cell>
          <cell r="D1438">
            <v>1.59</v>
          </cell>
        </row>
        <row r="1439">
          <cell r="B1439" t="str">
            <v>FLG.WN- SCH  900  0.75"</v>
          </cell>
          <cell r="D1439">
            <v>2.72</v>
          </cell>
        </row>
        <row r="1440">
          <cell r="B1440" t="str">
            <v>FLG.WN- SCH  1500  0.75"</v>
          </cell>
          <cell r="D1440">
            <v>2.72</v>
          </cell>
        </row>
        <row r="1441">
          <cell r="B1441" t="str">
            <v>FLG.WN- SCH  2500  0.75"</v>
          </cell>
          <cell r="D1441">
            <v>4.08</v>
          </cell>
        </row>
        <row r="1442">
          <cell r="B1442" t="str">
            <v>FLG.BL- SCH  150  0.75"</v>
          </cell>
          <cell r="D1442">
            <v>0.63</v>
          </cell>
        </row>
        <row r="1443">
          <cell r="B1443" t="str">
            <v>FLG.BL- SCH  300  0.75"</v>
          </cell>
          <cell r="D1443">
            <v>1.1599999999999999</v>
          </cell>
        </row>
        <row r="1444">
          <cell r="B1444" t="str">
            <v>FLG.BL- SCH  600  0.75"</v>
          </cell>
          <cell r="D1444">
            <v>1.4</v>
          </cell>
        </row>
        <row r="1445">
          <cell r="B1445" t="str">
            <v>FLG.BL- SCH  900  0.75"</v>
          </cell>
          <cell r="D1445">
            <v>2.7</v>
          </cell>
        </row>
        <row r="1446">
          <cell r="B1446" t="str">
            <v>FLG.BL- SCH  1500  0.75"</v>
          </cell>
          <cell r="D1446">
            <v>2.72</v>
          </cell>
        </row>
        <row r="1447">
          <cell r="B1447" t="str">
            <v>FLG.BL- SCH  2500  0.75"</v>
          </cell>
          <cell r="D1447">
            <v>4.54</v>
          </cell>
        </row>
        <row r="1448">
          <cell r="B1448" t="str">
            <v>FLG.SO- SCH  150  1"</v>
          </cell>
          <cell r="D1448">
            <v>0.86</v>
          </cell>
        </row>
        <row r="1449">
          <cell r="B1449" t="str">
            <v>FLG.SO- SCH  300  1"</v>
          </cell>
          <cell r="D1449">
            <v>1.39</v>
          </cell>
        </row>
        <row r="1450">
          <cell r="B1450" t="str">
            <v>FLG.SO- SCH  600  1"</v>
          </cell>
          <cell r="D1450">
            <v>1.7</v>
          </cell>
        </row>
        <row r="1451">
          <cell r="B1451" t="str">
            <v>FLG.SO- SCH  900  1"</v>
          </cell>
          <cell r="D1451">
            <v>3.41</v>
          </cell>
        </row>
        <row r="1452">
          <cell r="B1452" t="str">
            <v>FLG.SO- SCH  1500  1"</v>
          </cell>
          <cell r="D1452">
            <v>3.4</v>
          </cell>
        </row>
        <row r="1453">
          <cell r="B1453" t="str">
            <v>FLG.SO- SCH  2500  1"</v>
          </cell>
          <cell r="D1453">
            <v>5.44</v>
          </cell>
        </row>
        <row r="1454">
          <cell r="B1454" t="str">
            <v>FLG.WN- SCH  150  1"</v>
          </cell>
          <cell r="D1454">
            <v>1.07</v>
          </cell>
        </row>
        <row r="1455">
          <cell r="B1455" t="str">
            <v>FLG.WN- SCH  300  1"</v>
          </cell>
          <cell r="D1455">
            <v>1.64</v>
          </cell>
        </row>
        <row r="1456">
          <cell r="B1456" t="str">
            <v>FLG.WN- SCH  600  1"</v>
          </cell>
          <cell r="D1456">
            <v>1.9</v>
          </cell>
        </row>
        <row r="1457">
          <cell r="B1457" t="str">
            <v>FLG.WN- SCH  900  1"</v>
          </cell>
          <cell r="D1457">
            <v>3.86</v>
          </cell>
        </row>
        <row r="1458">
          <cell r="B1458" t="str">
            <v>FLG.WN- SCH  1500  1"</v>
          </cell>
          <cell r="D1458">
            <v>3.86</v>
          </cell>
        </row>
        <row r="1459">
          <cell r="B1459" t="str">
            <v>FLG.WN- SCH  2500  1"</v>
          </cell>
          <cell r="D1459">
            <v>5.45</v>
          </cell>
        </row>
        <row r="1460">
          <cell r="B1460" t="str">
            <v>FLG.BL- SCH  150  1"</v>
          </cell>
          <cell r="D1460">
            <v>0.94</v>
          </cell>
        </row>
        <row r="1461">
          <cell r="B1461" t="str">
            <v>FLG.BL- SCH  300  1"</v>
          </cell>
          <cell r="D1461">
            <v>1.42</v>
          </cell>
        </row>
        <row r="1462">
          <cell r="B1462" t="str">
            <v>FLG.BL- SCH  600  1"</v>
          </cell>
          <cell r="D1462">
            <v>1.81</v>
          </cell>
        </row>
        <row r="1463">
          <cell r="B1463" t="str">
            <v>FLG.BL- SCH  900  1"</v>
          </cell>
          <cell r="D1463">
            <v>4.09</v>
          </cell>
        </row>
        <row r="1464">
          <cell r="B1464" t="str">
            <v>FLG.BL- SCH  1500  1"</v>
          </cell>
          <cell r="D1464">
            <v>4.08</v>
          </cell>
        </row>
        <row r="1465">
          <cell r="B1465" t="str">
            <v>FLG.BL- SCH  2500  1"</v>
          </cell>
          <cell r="D1465">
            <v>5.44</v>
          </cell>
        </row>
        <row r="1466">
          <cell r="B1466" t="str">
            <v>FLG.SO- SCH  150  1.5"</v>
          </cell>
          <cell r="D1466">
            <v>1.41</v>
          </cell>
        </row>
        <row r="1467">
          <cell r="B1467" t="str">
            <v>FLG.SO- SCH  300  1.5"</v>
          </cell>
          <cell r="D1467">
            <v>2.5299999999999998</v>
          </cell>
        </row>
        <row r="1468">
          <cell r="B1468" t="str">
            <v>FLG.SO- SCH  600  1.5"</v>
          </cell>
          <cell r="D1468">
            <v>3.1</v>
          </cell>
        </row>
        <row r="1469">
          <cell r="B1469" t="str">
            <v>FLG.SO- SCH  900  1.5"</v>
          </cell>
          <cell r="D1469">
            <v>5.45</v>
          </cell>
        </row>
        <row r="1470">
          <cell r="B1470" t="str">
            <v>FLG.SO- SCH  1500  1.5"</v>
          </cell>
          <cell r="D1470">
            <v>5.45</v>
          </cell>
        </row>
        <row r="1471">
          <cell r="B1471" t="str">
            <v>FLG.SO- SCH  2500  1.5"</v>
          </cell>
          <cell r="D1471">
            <v>11</v>
          </cell>
        </row>
        <row r="1472">
          <cell r="B1472" t="str">
            <v>FLG.WN- SCH  150  1.5"</v>
          </cell>
          <cell r="D1472">
            <v>1.81</v>
          </cell>
        </row>
        <row r="1473">
          <cell r="B1473" t="str">
            <v>FLG.WN- SCH  300  1.5"</v>
          </cell>
          <cell r="D1473">
            <v>3.06</v>
          </cell>
        </row>
        <row r="1474">
          <cell r="B1474" t="str">
            <v>FLG.WN- SCH  600  1.5"</v>
          </cell>
          <cell r="D1474">
            <v>3.63</v>
          </cell>
        </row>
        <row r="1475">
          <cell r="B1475" t="str">
            <v>FLG.WN- SCH  900  1.5"</v>
          </cell>
          <cell r="D1475">
            <v>5.9</v>
          </cell>
        </row>
        <row r="1476">
          <cell r="B1476" t="str">
            <v>FLG.WN- SCH  1500  1.5"</v>
          </cell>
          <cell r="D1476">
            <v>5.9</v>
          </cell>
        </row>
        <row r="1477">
          <cell r="B1477" t="str">
            <v>FLG.WN- SCH  2500  1.5"</v>
          </cell>
          <cell r="D1477">
            <v>11.35</v>
          </cell>
        </row>
        <row r="1478">
          <cell r="B1478" t="str">
            <v>FLG.BL- SCH  150  1.5"</v>
          </cell>
          <cell r="D1478">
            <v>1.62</v>
          </cell>
        </row>
        <row r="1479">
          <cell r="B1479" t="str">
            <v>FLG.BL- SCH  300  1.5"</v>
          </cell>
          <cell r="D1479">
            <v>2.68</v>
          </cell>
        </row>
        <row r="1480">
          <cell r="B1480" t="str">
            <v>FLG.BL- SCH  600  1.5"</v>
          </cell>
          <cell r="D1480">
            <v>3.4</v>
          </cell>
        </row>
        <row r="1481">
          <cell r="B1481" t="str">
            <v>FLG.BL- SCH  900  1.5"</v>
          </cell>
          <cell r="D1481">
            <v>5.9</v>
          </cell>
        </row>
        <row r="1482">
          <cell r="B1482" t="str">
            <v>FLG.BL- SCH  1500  1.5"</v>
          </cell>
          <cell r="D1482">
            <v>5.9</v>
          </cell>
        </row>
        <row r="1483">
          <cell r="B1483" t="str">
            <v>FLG.BL- SCH  2500  1.5"</v>
          </cell>
          <cell r="D1483">
            <v>10.44</v>
          </cell>
        </row>
        <row r="1484">
          <cell r="B1484" t="str">
            <v>FLG.SO- SCH  150  2"</v>
          </cell>
          <cell r="D1484">
            <v>2.2599999999999998</v>
          </cell>
        </row>
        <row r="1485">
          <cell r="B1485" t="str">
            <v>FLG.SO- SCH  300  2"</v>
          </cell>
          <cell r="D1485">
            <v>2.8</v>
          </cell>
        </row>
        <row r="1486">
          <cell r="B1486" t="str">
            <v>FLG.SO- SCH  600  2"</v>
          </cell>
          <cell r="D1486">
            <v>3.63</v>
          </cell>
        </row>
        <row r="1487">
          <cell r="B1487" t="str">
            <v>FLG.SO- SCH  900  2"</v>
          </cell>
          <cell r="D1487">
            <v>9.98</v>
          </cell>
        </row>
        <row r="1488">
          <cell r="B1488" t="str">
            <v>FLG.SO- SCH  1500  2"</v>
          </cell>
          <cell r="D1488">
            <v>10.5</v>
          </cell>
        </row>
        <row r="1489">
          <cell r="B1489" t="str">
            <v>FLG.SO- SCH  2500  2"</v>
          </cell>
          <cell r="D1489">
            <v>17.25</v>
          </cell>
        </row>
        <row r="1490">
          <cell r="B1490" t="str">
            <v>FLG.WN- SCH  150  2"</v>
          </cell>
          <cell r="D1490">
            <v>2.59</v>
          </cell>
        </row>
        <row r="1491">
          <cell r="B1491" t="str">
            <v>FLG.WN- SCH  300  2"</v>
          </cell>
          <cell r="D1491">
            <v>3.4</v>
          </cell>
        </row>
        <row r="1492">
          <cell r="B1492" t="str">
            <v>FLG.WN- SCH  600  2"</v>
          </cell>
          <cell r="D1492">
            <v>4.54</v>
          </cell>
        </row>
        <row r="1493">
          <cell r="B1493" t="str">
            <v>FLG.WN- SCH  900  2"</v>
          </cell>
          <cell r="D1493">
            <v>10.89</v>
          </cell>
        </row>
        <row r="1494">
          <cell r="B1494" t="str">
            <v>FLG.WN- SCH  1500  2"</v>
          </cell>
          <cell r="D1494">
            <v>10.89</v>
          </cell>
        </row>
        <row r="1495">
          <cell r="B1495" t="str">
            <v>FLG.WN- SCH  2500  2"</v>
          </cell>
          <cell r="D1495">
            <v>19.07</v>
          </cell>
        </row>
        <row r="1496">
          <cell r="B1496" t="str">
            <v>FLG.BL- SCH  150  2"</v>
          </cell>
          <cell r="D1496">
            <v>2.64</v>
          </cell>
        </row>
        <row r="1497">
          <cell r="B1497" t="str">
            <v>FLG.BL- SCH  300  2"</v>
          </cell>
          <cell r="D1497">
            <v>3.09</v>
          </cell>
        </row>
        <row r="1498">
          <cell r="B1498" t="str">
            <v>FLG.BL- SCH  600  2"</v>
          </cell>
          <cell r="D1498">
            <v>4.4000000000000004</v>
          </cell>
        </row>
        <row r="1499">
          <cell r="B1499" t="str">
            <v>FLG.BL- SCH  900  2"</v>
          </cell>
          <cell r="D1499">
            <v>11.34</v>
          </cell>
        </row>
        <row r="1500">
          <cell r="B1500" t="str">
            <v>FLG.BL- SCH  1500  2"</v>
          </cell>
          <cell r="D1500">
            <v>11.3</v>
          </cell>
        </row>
        <row r="1501">
          <cell r="B1501" t="str">
            <v>FLG.BL- SCH  2500  2"</v>
          </cell>
          <cell r="D1501">
            <v>17.71</v>
          </cell>
        </row>
        <row r="1502">
          <cell r="B1502" t="str">
            <v>FLG.SO- SCH  150  2.5"</v>
          </cell>
          <cell r="D1502">
            <v>3.43</v>
          </cell>
        </row>
        <row r="1503">
          <cell r="B1503" t="str">
            <v>FLG.SO- SCH  300  2.5"</v>
          </cell>
          <cell r="D1503">
            <v>4.25</v>
          </cell>
        </row>
        <row r="1504">
          <cell r="B1504" t="str">
            <v>FLG.SO- SCH  600  2.5"</v>
          </cell>
          <cell r="D1504">
            <v>5.44</v>
          </cell>
        </row>
        <row r="1505">
          <cell r="B1505" t="str">
            <v>FLG.SO- SCH  900  2.5"</v>
          </cell>
          <cell r="D1505">
            <v>15.8</v>
          </cell>
        </row>
        <row r="1506">
          <cell r="B1506" t="str">
            <v>FLG.SO- SCH  1500  2.5"</v>
          </cell>
          <cell r="D1506">
            <v>15.8</v>
          </cell>
        </row>
        <row r="1507">
          <cell r="B1507" t="str">
            <v>FLG.SO- SCH  2500  2.5"</v>
          </cell>
          <cell r="D1507">
            <v>24.97</v>
          </cell>
        </row>
        <row r="1508">
          <cell r="B1508" t="str">
            <v>FLG.WN- SCH  150  2.5"</v>
          </cell>
          <cell r="D1508">
            <v>4.28</v>
          </cell>
        </row>
        <row r="1509">
          <cell r="B1509" t="str">
            <v>FLG.WN- SCH  300  2.5"</v>
          </cell>
          <cell r="D1509">
            <v>5.31</v>
          </cell>
        </row>
        <row r="1510">
          <cell r="B1510" t="str">
            <v>FLG.WN- SCH  600  2.5"</v>
          </cell>
          <cell r="D1510">
            <v>6.35</v>
          </cell>
        </row>
        <row r="1511">
          <cell r="B1511" t="str">
            <v>FLG.WN- SCH  900  2.5"</v>
          </cell>
          <cell r="D1511">
            <v>16.329999999999998</v>
          </cell>
        </row>
        <row r="1512">
          <cell r="B1512" t="str">
            <v>FLG.WN- SCH  1500  2.5"</v>
          </cell>
          <cell r="D1512">
            <v>16.34</v>
          </cell>
        </row>
        <row r="1513">
          <cell r="B1513" t="str">
            <v>FLG.WN- SCH  2500  2.5"</v>
          </cell>
          <cell r="D1513">
            <v>23.61</v>
          </cell>
        </row>
        <row r="1514">
          <cell r="B1514" t="str">
            <v>FLG.BL- SCH  150  2.5"</v>
          </cell>
          <cell r="D1514">
            <v>4.0599999999999996</v>
          </cell>
        </row>
        <row r="1515">
          <cell r="B1515" t="str">
            <v>FLG.BL- SCH  300  2.5"</v>
          </cell>
          <cell r="D1515">
            <v>4.75</v>
          </cell>
        </row>
        <row r="1516">
          <cell r="B1516" t="str">
            <v>FLG.BL- SCH  600  2.5"</v>
          </cell>
          <cell r="D1516">
            <v>6.8</v>
          </cell>
        </row>
        <row r="1517">
          <cell r="B1517" t="str">
            <v>FLG.BL- SCH  900  2.5"</v>
          </cell>
          <cell r="D1517">
            <v>16</v>
          </cell>
        </row>
        <row r="1518">
          <cell r="B1518" t="str">
            <v>FLG.BL- SCH  1500  2.5"</v>
          </cell>
          <cell r="D1518">
            <v>16</v>
          </cell>
        </row>
        <row r="1519">
          <cell r="B1519" t="str">
            <v>FLG.BL- SCH  2500  2.5"</v>
          </cell>
          <cell r="D1519">
            <v>25.42</v>
          </cell>
        </row>
        <row r="1520">
          <cell r="B1520" t="str">
            <v>FLG.SO- SCH  150  3"</v>
          </cell>
          <cell r="D1520">
            <v>3.89</v>
          </cell>
        </row>
        <row r="1521">
          <cell r="B1521" t="str">
            <v>FLG.SO- SCH  300  3"</v>
          </cell>
          <cell r="D1521">
            <v>5.81</v>
          </cell>
        </row>
        <row r="1522">
          <cell r="B1522" t="str">
            <v>FLG.SO- SCH  600  3"</v>
          </cell>
          <cell r="D1522">
            <v>7.26</v>
          </cell>
        </row>
        <row r="1523">
          <cell r="B1523" t="str">
            <v>FLG.SO- SCH  900  3"</v>
          </cell>
          <cell r="D1523">
            <v>11.8</v>
          </cell>
        </row>
        <row r="1524">
          <cell r="B1524" t="str">
            <v>FLG.SO- SCH  1500  3"</v>
          </cell>
          <cell r="D1524">
            <v>21.77</v>
          </cell>
        </row>
        <row r="1525">
          <cell r="B1525" t="str">
            <v>FLG.SO- SCH  2500  3"</v>
          </cell>
          <cell r="D1525">
            <v>37.68</v>
          </cell>
        </row>
        <row r="1526">
          <cell r="B1526" t="str">
            <v>FLG.WN- SCH  150  3"</v>
          </cell>
          <cell r="D1526">
            <v>5.18</v>
          </cell>
        </row>
        <row r="1527">
          <cell r="B1527" t="str">
            <v>FLG.WN- SCH  300  3"</v>
          </cell>
          <cell r="D1527">
            <v>7.32</v>
          </cell>
        </row>
        <row r="1528">
          <cell r="B1528" t="str">
            <v>FLG.WN- SCH  600  3"</v>
          </cell>
          <cell r="D1528">
            <v>8.16</v>
          </cell>
        </row>
        <row r="1529">
          <cell r="B1529" t="str">
            <v>FLG.WN- SCH  900  3"</v>
          </cell>
          <cell r="D1529">
            <v>15</v>
          </cell>
        </row>
        <row r="1530">
          <cell r="B1530" t="str">
            <v>FLG.WN- SCH  1500  3"</v>
          </cell>
          <cell r="D1530">
            <v>21.79</v>
          </cell>
        </row>
        <row r="1531">
          <cell r="B1531" t="str">
            <v>FLG.WN- SCH  2500  3"</v>
          </cell>
          <cell r="D1531">
            <v>42.68</v>
          </cell>
        </row>
        <row r="1532">
          <cell r="B1532" t="str">
            <v>FLG.BL- SCH  150  3"</v>
          </cell>
          <cell r="D1532">
            <v>4.9000000000000004</v>
          </cell>
        </row>
        <row r="1533">
          <cell r="B1533" t="str">
            <v>FLG.BL- SCH  300  3"</v>
          </cell>
          <cell r="D1533">
            <v>6.79</v>
          </cell>
        </row>
        <row r="1534">
          <cell r="B1534" t="str">
            <v>FLG.BL- SCH  600  3"</v>
          </cell>
          <cell r="D1534">
            <v>8.9</v>
          </cell>
        </row>
        <row r="1535">
          <cell r="B1535" t="str">
            <v>FLG.BL- SCH  900  3"</v>
          </cell>
          <cell r="D1535">
            <v>13.17</v>
          </cell>
        </row>
        <row r="1536">
          <cell r="B1536" t="str">
            <v>FLG.BL- SCH  1500  3"</v>
          </cell>
          <cell r="D1536">
            <v>21.79</v>
          </cell>
        </row>
        <row r="1537">
          <cell r="B1537" t="str">
            <v>FLG.BL- SCH  2500  3"</v>
          </cell>
          <cell r="D1537">
            <v>39.04</v>
          </cell>
        </row>
        <row r="1538">
          <cell r="B1538" t="str">
            <v>FLG.SO- SCH  150  4"</v>
          </cell>
          <cell r="D1538">
            <v>5.75</v>
          </cell>
        </row>
        <row r="1539">
          <cell r="B1539" t="str">
            <v>FLG.SO- SCH  300  4"</v>
          </cell>
          <cell r="D1539">
            <v>10.130000000000001</v>
          </cell>
        </row>
        <row r="1540">
          <cell r="B1540" t="str">
            <v>FLG.SO- SCH  600  4"</v>
          </cell>
          <cell r="D1540">
            <v>14.97</v>
          </cell>
        </row>
        <row r="1541">
          <cell r="B1541" t="str">
            <v>FLG.SO- SCH  900  4"</v>
          </cell>
          <cell r="D1541">
            <v>23.2</v>
          </cell>
        </row>
        <row r="1542">
          <cell r="B1542" t="str">
            <v>FLG.SO- SCH  1500  4"</v>
          </cell>
          <cell r="D1542">
            <v>31</v>
          </cell>
        </row>
        <row r="1543">
          <cell r="B1543" t="str">
            <v>FLG.SO- SCH  2500  4"</v>
          </cell>
          <cell r="D1543">
            <v>58</v>
          </cell>
        </row>
        <row r="1544">
          <cell r="B1544" t="str">
            <v>FLG.WN- SCH  150  4"</v>
          </cell>
          <cell r="D1544">
            <v>7.32</v>
          </cell>
        </row>
        <row r="1545">
          <cell r="B1545" t="str">
            <v>FLG.WN- SCH  300  4"</v>
          </cell>
          <cell r="D1545">
            <v>11.3</v>
          </cell>
        </row>
        <row r="1546">
          <cell r="B1546" t="str">
            <v>FLG.WN- SCH  600  4"</v>
          </cell>
          <cell r="D1546">
            <v>16.78</v>
          </cell>
        </row>
        <row r="1547">
          <cell r="B1547" t="str">
            <v>FLG.WN- SCH  900  4"</v>
          </cell>
          <cell r="D1547">
            <v>23.13</v>
          </cell>
        </row>
        <row r="1548">
          <cell r="B1548" t="str">
            <v>FLG.WN- SCH  1500  4"</v>
          </cell>
          <cell r="D1548">
            <v>31.3</v>
          </cell>
        </row>
        <row r="1549">
          <cell r="B1549" t="str">
            <v>FLG.WN- SCH  2500  4"</v>
          </cell>
          <cell r="D1549">
            <v>64</v>
          </cell>
        </row>
        <row r="1550">
          <cell r="B1550" t="str">
            <v>FLG.BL- SCH  150  4"</v>
          </cell>
          <cell r="D1550">
            <v>7.41</v>
          </cell>
        </row>
        <row r="1551">
          <cell r="B1551" t="str">
            <v>FLG.BL- SCH  300  4"</v>
          </cell>
          <cell r="D1551">
            <v>12</v>
          </cell>
        </row>
        <row r="1552">
          <cell r="B1552" t="str">
            <v>FLG.BL- SCH  600  4"</v>
          </cell>
          <cell r="D1552">
            <v>18.600000000000001</v>
          </cell>
        </row>
        <row r="1553">
          <cell r="B1553" t="str">
            <v>FLG.BL- SCH  900  4"</v>
          </cell>
          <cell r="D1553">
            <v>24.5</v>
          </cell>
        </row>
        <row r="1554">
          <cell r="B1554" t="str">
            <v>FLG.BL- SCH  1500  4"</v>
          </cell>
          <cell r="D1554">
            <v>33.11</v>
          </cell>
        </row>
        <row r="1555">
          <cell r="B1555" t="str">
            <v>FLG.BL- SCH  2500  4"</v>
          </cell>
          <cell r="D1555">
            <v>60.38</v>
          </cell>
        </row>
        <row r="1556">
          <cell r="B1556" t="str">
            <v>FLG.SO- SCH  150  5"</v>
          </cell>
          <cell r="D1556">
            <v>6.22</v>
          </cell>
        </row>
        <row r="1557">
          <cell r="B1557" t="str">
            <v>FLG.SO- SCH  300  5"</v>
          </cell>
          <cell r="D1557">
            <v>12.58</v>
          </cell>
        </row>
        <row r="1558">
          <cell r="B1558" t="str">
            <v>FLG.SO- SCH  600  5"</v>
          </cell>
          <cell r="D1558">
            <v>28.5</v>
          </cell>
        </row>
        <row r="1559">
          <cell r="B1559" t="str">
            <v>FLG.SO- SCH  900  5"</v>
          </cell>
          <cell r="D1559">
            <v>37.65</v>
          </cell>
        </row>
        <row r="1560">
          <cell r="B1560" t="str">
            <v>FLG.SO- SCH  1500  5"</v>
          </cell>
          <cell r="D1560">
            <v>58.8</v>
          </cell>
        </row>
        <row r="1561">
          <cell r="B1561" t="str">
            <v>FLG.SO- SCH  2500  5"</v>
          </cell>
          <cell r="D1561">
            <v>95.25</v>
          </cell>
        </row>
        <row r="1562">
          <cell r="B1562" t="str">
            <v>FLG.WN- SCH  150  5"</v>
          </cell>
          <cell r="D1562">
            <v>8.91</v>
          </cell>
        </row>
        <row r="1563">
          <cell r="B1563" t="str">
            <v>FLG.WN- SCH  300  5"</v>
          </cell>
          <cell r="D1563">
            <v>15.12</v>
          </cell>
        </row>
        <row r="1564">
          <cell r="B1564" t="str">
            <v>FLG.WN- SCH  600  5"</v>
          </cell>
          <cell r="D1564">
            <v>30.87</v>
          </cell>
        </row>
        <row r="1565">
          <cell r="B1565" t="str">
            <v>FLG.WN- SCH  900  5"</v>
          </cell>
          <cell r="D1565">
            <v>38.5</v>
          </cell>
        </row>
        <row r="1566">
          <cell r="B1566" t="str">
            <v>FLG.WN- SCH  1500  5"</v>
          </cell>
          <cell r="D1566">
            <v>59.02</v>
          </cell>
        </row>
        <row r="1567">
          <cell r="B1567" t="str">
            <v>FLG.WN- SCH  2500  5"</v>
          </cell>
          <cell r="D1567">
            <v>110.68</v>
          </cell>
        </row>
        <row r="1568">
          <cell r="B1568" t="str">
            <v>FLG.BL- SCH  150  5"</v>
          </cell>
          <cell r="D1568">
            <v>8.76</v>
          </cell>
        </row>
        <row r="1569">
          <cell r="B1569" t="str">
            <v>FLG.BL- SCH  300  5"</v>
          </cell>
          <cell r="D1569">
            <v>15.96</v>
          </cell>
        </row>
        <row r="1570">
          <cell r="B1570" t="str">
            <v>FLG.BL- SCH  600  5"</v>
          </cell>
          <cell r="D1570">
            <v>30.84</v>
          </cell>
        </row>
        <row r="1571">
          <cell r="B1571" t="str">
            <v>FLG.BL- SCH  900  5"</v>
          </cell>
          <cell r="D1571">
            <v>39.46</v>
          </cell>
        </row>
        <row r="1572">
          <cell r="B1572" t="str">
            <v>FLG.BL- SCH  1500  5"</v>
          </cell>
          <cell r="D1572">
            <v>60</v>
          </cell>
        </row>
        <row r="1573">
          <cell r="B1573" t="str">
            <v>FLG.BL- SCH  2500  5"</v>
          </cell>
          <cell r="D1573">
            <v>101.15</v>
          </cell>
        </row>
        <row r="1574">
          <cell r="B1574" t="str">
            <v>FLG.SO- SCH  150  6"</v>
          </cell>
          <cell r="D1574">
            <v>7.38</v>
          </cell>
        </row>
        <row r="1575">
          <cell r="B1575" t="str">
            <v>FLG.SO- SCH  300  6"</v>
          </cell>
          <cell r="D1575">
            <v>16.04</v>
          </cell>
        </row>
        <row r="1576">
          <cell r="B1576" t="str">
            <v>FLG.SO- SCH  600  6"</v>
          </cell>
          <cell r="D1576">
            <v>36.32</v>
          </cell>
        </row>
        <row r="1577">
          <cell r="B1577" t="str">
            <v>FLG.SO- SCH  900  6"</v>
          </cell>
          <cell r="D1577">
            <v>48.3</v>
          </cell>
        </row>
        <row r="1578">
          <cell r="B1578" t="str">
            <v>FLG.SO- SCH  1500  6"</v>
          </cell>
          <cell r="D1578">
            <v>74</v>
          </cell>
        </row>
        <row r="1579">
          <cell r="B1579" t="str">
            <v>FLG.SO- SCH  2500  6"</v>
          </cell>
          <cell r="D1579">
            <v>146.51</v>
          </cell>
        </row>
        <row r="1580">
          <cell r="B1580" t="str">
            <v>FLG.WN- SCH  150  6"</v>
          </cell>
          <cell r="D1580">
            <v>11.26</v>
          </cell>
        </row>
        <row r="1581">
          <cell r="B1581" t="str">
            <v>FLG.WN- SCH  300  6"</v>
          </cell>
          <cell r="D1581">
            <v>19.68</v>
          </cell>
        </row>
        <row r="1582">
          <cell r="B1582" t="str">
            <v>FLG.WN- SCH  600  6"</v>
          </cell>
          <cell r="D1582">
            <v>36.770000000000003</v>
          </cell>
        </row>
        <row r="1583">
          <cell r="B1583" t="str">
            <v>FLG.WN- SCH  900  6"</v>
          </cell>
          <cell r="D1583">
            <v>49.89</v>
          </cell>
        </row>
        <row r="1584">
          <cell r="B1584" t="str">
            <v>FLG.WN- SCH  1500  6"</v>
          </cell>
          <cell r="D1584">
            <v>74.91</v>
          </cell>
        </row>
        <row r="1585">
          <cell r="B1585" t="str">
            <v>FLG.WN- SCH  2500  6"</v>
          </cell>
          <cell r="D1585">
            <v>176.46</v>
          </cell>
        </row>
        <row r="1586">
          <cell r="B1586" t="str">
            <v>FLG.BL- SCH  150  6"</v>
          </cell>
          <cell r="D1586">
            <v>11.31</v>
          </cell>
        </row>
        <row r="1587">
          <cell r="B1587" t="str">
            <v>FLG.BL- SCH  300  6"</v>
          </cell>
          <cell r="D1587">
            <v>21.2</v>
          </cell>
        </row>
        <row r="1588">
          <cell r="B1588" t="str">
            <v>FLG.BL- SCH  600  6"</v>
          </cell>
          <cell r="D1588">
            <v>38</v>
          </cell>
        </row>
        <row r="1589">
          <cell r="B1589" t="str">
            <v>FLG.BL- SCH  900  6"</v>
          </cell>
          <cell r="D1589">
            <v>51.5</v>
          </cell>
        </row>
        <row r="1590">
          <cell r="B1590" t="str">
            <v>FLG.BL- SCH  1500  6"</v>
          </cell>
          <cell r="D1590">
            <v>75</v>
          </cell>
        </row>
        <row r="1591">
          <cell r="B1591" t="str">
            <v>FLG.BL- SCH  2500  6"</v>
          </cell>
          <cell r="D1591">
            <v>156.63</v>
          </cell>
        </row>
        <row r="1592">
          <cell r="B1592" t="str">
            <v>FLG.SO- SCH  150  8"</v>
          </cell>
          <cell r="D1592">
            <v>12.36</v>
          </cell>
        </row>
        <row r="1593">
          <cell r="B1593" t="str">
            <v>FLG.SO- SCH  300  8"</v>
          </cell>
          <cell r="D1593">
            <v>24.5</v>
          </cell>
        </row>
        <row r="1594">
          <cell r="B1594" t="str">
            <v>FLG.SO- SCH  600  8"</v>
          </cell>
          <cell r="D1594">
            <v>44</v>
          </cell>
        </row>
        <row r="1595">
          <cell r="B1595" t="str">
            <v>FLG.SO- SCH  900  8"</v>
          </cell>
          <cell r="D1595">
            <v>75</v>
          </cell>
        </row>
        <row r="1596">
          <cell r="B1596" t="str">
            <v>FLG.SO- SCH  1500  8"</v>
          </cell>
          <cell r="D1596">
            <v>117.73</v>
          </cell>
        </row>
        <row r="1597">
          <cell r="B1597" t="str">
            <v>FLG.SO- SCH  2500  8"</v>
          </cell>
          <cell r="D1597">
            <v>219.99</v>
          </cell>
        </row>
        <row r="1598">
          <cell r="B1598" t="str">
            <v>FLG.WN- SCH  150  8"</v>
          </cell>
          <cell r="D1598">
            <v>17.68</v>
          </cell>
        </row>
        <row r="1599">
          <cell r="B1599" t="str">
            <v>FLG.WN- SCH  300  8"</v>
          </cell>
          <cell r="D1599">
            <v>30.48</v>
          </cell>
        </row>
        <row r="1600">
          <cell r="B1600" t="str">
            <v>FLG.WN- SCH  600  8"</v>
          </cell>
          <cell r="D1600">
            <v>50.8</v>
          </cell>
        </row>
        <row r="1601">
          <cell r="B1601" t="str">
            <v>FLG.WN- SCH  900  8"</v>
          </cell>
          <cell r="D1601">
            <v>79.45</v>
          </cell>
        </row>
        <row r="1602">
          <cell r="B1602" t="str">
            <v>FLG.WN- SCH  1500  8"</v>
          </cell>
          <cell r="D1602">
            <v>123.83</v>
          </cell>
        </row>
        <row r="1603">
          <cell r="B1603" t="str">
            <v>FLG.WN- SCH  2500  8"</v>
          </cell>
          <cell r="D1603">
            <v>261.27</v>
          </cell>
        </row>
        <row r="1604">
          <cell r="B1604" t="str">
            <v>FLG.BL- SCH  150  8"</v>
          </cell>
          <cell r="D1604">
            <v>19.920000000000002</v>
          </cell>
        </row>
        <row r="1605">
          <cell r="B1605" t="str">
            <v>FLG.BL- SCH  300  8"</v>
          </cell>
          <cell r="D1605">
            <v>34.6</v>
          </cell>
        </row>
        <row r="1606">
          <cell r="B1606" t="str">
            <v>FLG.BL- SCH  600  8"</v>
          </cell>
          <cell r="D1606">
            <v>62.2</v>
          </cell>
        </row>
        <row r="1607">
          <cell r="B1607" t="str">
            <v>FLG.BL- SCH  900  8"</v>
          </cell>
          <cell r="D1607">
            <v>89</v>
          </cell>
        </row>
        <row r="1608">
          <cell r="B1608" t="str">
            <v>FLG.BL- SCH  1500  8"</v>
          </cell>
          <cell r="D1608">
            <v>136.97999999999999</v>
          </cell>
        </row>
        <row r="1609">
          <cell r="B1609" t="str">
            <v>FLG.BL- SCH  2500  8"</v>
          </cell>
          <cell r="D1609">
            <v>240.62</v>
          </cell>
        </row>
        <row r="1610">
          <cell r="B1610" t="str">
            <v>FLG.SO- SCH  150  10"</v>
          </cell>
          <cell r="D1610">
            <v>17.100000000000001</v>
          </cell>
        </row>
        <row r="1611">
          <cell r="B1611" t="str">
            <v>FLG.SO- SCH  300  10"</v>
          </cell>
          <cell r="D1611">
            <v>34.159999999999997</v>
          </cell>
        </row>
        <row r="1612">
          <cell r="B1612" t="str">
            <v>FLG.SO- SCH  600  10"</v>
          </cell>
          <cell r="D1612">
            <v>76.2</v>
          </cell>
        </row>
        <row r="1613">
          <cell r="B1613" t="str">
            <v>FLG.SO- SCH  900  10"</v>
          </cell>
          <cell r="D1613">
            <v>111.13</v>
          </cell>
        </row>
        <row r="1614">
          <cell r="B1614" t="str">
            <v>FLG.SO- SCH  1500  10"</v>
          </cell>
          <cell r="D1614">
            <v>197.49</v>
          </cell>
        </row>
        <row r="1615">
          <cell r="B1615" t="str">
            <v>FLG.SO- SCH  2500  10"</v>
          </cell>
          <cell r="D1615">
            <v>419.57</v>
          </cell>
        </row>
        <row r="1616">
          <cell r="B1616" t="str">
            <v>FLG.WN- SCH  150  10"</v>
          </cell>
          <cell r="D1616">
            <v>24.79</v>
          </cell>
        </row>
        <row r="1617">
          <cell r="B1617" t="str">
            <v>FLG.WN- SCH  300  10"</v>
          </cell>
          <cell r="D1617">
            <v>43.74</v>
          </cell>
        </row>
        <row r="1618">
          <cell r="B1618" t="str">
            <v>FLG.WN- SCH  600  10"</v>
          </cell>
          <cell r="D1618">
            <v>86.26</v>
          </cell>
        </row>
        <row r="1619">
          <cell r="B1619" t="str">
            <v>FLG.WN- SCH  900  10"</v>
          </cell>
          <cell r="D1619">
            <v>118.04</v>
          </cell>
        </row>
        <row r="1620">
          <cell r="B1620" t="str">
            <v>FLG.WN- SCH  1500  10"</v>
          </cell>
          <cell r="D1620">
            <v>205.93</v>
          </cell>
        </row>
        <row r="1621">
          <cell r="B1621" t="str">
            <v>FLG.WN- SCH  2500  10"</v>
          </cell>
          <cell r="D1621">
            <v>484.43</v>
          </cell>
        </row>
        <row r="1622">
          <cell r="B1622" t="str">
            <v>FLG.BL- SCH  150  10"</v>
          </cell>
          <cell r="D1622">
            <v>29.39</v>
          </cell>
        </row>
        <row r="1623">
          <cell r="B1623" t="str">
            <v>FLG.BL- SCH  300  10"</v>
          </cell>
          <cell r="D1623">
            <v>55.34</v>
          </cell>
        </row>
        <row r="1624">
          <cell r="B1624" t="str">
            <v>FLG.BL- SCH  600  10"</v>
          </cell>
          <cell r="D1624">
            <v>102</v>
          </cell>
        </row>
        <row r="1625">
          <cell r="B1625" t="str">
            <v>FLG.BL- SCH  900  10"</v>
          </cell>
          <cell r="D1625">
            <v>131.54</v>
          </cell>
        </row>
        <row r="1626">
          <cell r="B1626" t="str">
            <v>FLG.BL- SCH  1500  10"</v>
          </cell>
          <cell r="D1626">
            <v>229.97</v>
          </cell>
        </row>
        <row r="1627">
          <cell r="B1627" t="str">
            <v>FLG.BL- SCH  2500  10"</v>
          </cell>
          <cell r="D1627">
            <v>465.36</v>
          </cell>
        </row>
        <row r="1628">
          <cell r="B1628" t="str">
            <v>FLG.SO- SCH  150  12"</v>
          </cell>
          <cell r="D1628">
            <v>27.68</v>
          </cell>
        </row>
        <row r="1629">
          <cell r="B1629" t="str">
            <v>FLG.SO- SCH  300  12"</v>
          </cell>
          <cell r="D1629">
            <v>51.26</v>
          </cell>
        </row>
        <row r="1630">
          <cell r="B1630" t="str">
            <v>FLG.SO- SCH  600  12"</v>
          </cell>
          <cell r="D1630">
            <v>97.52</v>
          </cell>
        </row>
        <row r="1631">
          <cell r="B1631" t="str">
            <v>FLG.SO- SCH  900  12"</v>
          </cell>
          <cell r="D1631">
            <v>146</v>
          </cell>
        </row>
        <row r="1632">
          <cell r="B1632" t="str">
            <v>FLG.SO- SCH  1500  12"</v>
          </cell>
          <cell r="D1632">
            <v>264</v>
          </cell>
        </row>
        <row r="1633">
          <cell r="B1633" t="str">
            <v>FLG.SO- SCH  2500  12"</v>
          </cell>
          <cell r="D1633">
            <v>590.20000000000005</v>
          </cell>
        </row>
        <row r="1634">
          <cell r="B1634" t="str">
            <v>FLG.WN- SCH  150  12"</v>
          </cell>
          <cell r="D1634">
            <v>38.979999999999997</v>
          </cell>
        </row>
        <row r="1635">
          <cell r="B1635" t="str">
            <v>FLG.WN- SCH  300  12"</v>
          </cell>
          <cell r="D1635">
            <v>64.41</v>
          </cell>
        </row>
        <row r="1636">
          <cell r="B1636" t="str">
            <v>FLG.WN- SCH  600  12"</v>
          </cell>
          <cell r="D1636">
            <v>102.51</v>
          </cell>
        </row>
        <row r="1637">
          <cell r="B1637" t="str">
            <v>FLG.WN- SCH  900  12"</v>
          </cell>
          <cell r="D1637">
            <v>157</v>
          </cell>
        </row>
        <row r="1638">
          <cell r="B1638" t="str">
            <v>FLG.WN- SCH  1500  12"</v>
          </cell>
          <cell r="D1638">
            <v>306</v>
          </cell>
        </row>
        <row r="1639">
          <cell r="B1639" t="str">
            <v>FLG.WN- SCH  2500  12"</v>
          </cell>
          <cell r="D1639">
            <v>692.35</v>
          </cell>
        </row>
        <row r="1640">
          <cell r="B1640" t="str">
            <v>FLG.BL- SCH  150  12"</v>
          </cell>
          <cell r="D1640">
            <v>43.7</v>
          </cell>
        </row>
        <row r="1641">
          <cell r="B1641" t="str">
            <v>FLG.BL- SCH  300  12"</v>
          </cell>
          <cell r="D1641">
            <v>78.900000000000006</v>
          </cell>
        </row>
        <row r="1642">
          <cell r="B1642" t="str">
            <v>FLG.BL- SCH  600  12"</v>
          </cell>
          <cell r="D1642">
            <v>132</v>
          </cell>
        </row>
        <row r="1643">
          <cell r="B1643" t="str">
            <v>FLG.BL- SCH  900  12"</v>
          </cell>
          <cell r="D1643">
            <v>187</v>
          </cell>
        </row>
        <row r="1644">
          <cell r="B1644" t="str">
            <v>FLG.BL- SCH  1500  12"</v>
          </cell>
          <cell r="D1644">
            <v>316</v>
          </cell>
        </row>
        <row r="1645">
          <cell r="B1645" t="str">
            <v>FLG.BL- SCH  2500  12"</v>
          </cell>
          <cell r="D1645">
            <v>664.06</v>
          </cell>
        </row>
        <row r="1646">
          <cell r="B1646" t="str">
            <v>FLG.SO- SCH  150  14"</v>
          </cell>
          <cell r="D1646">
            <v>35.200000000000003</v>
          </cell>
        </row>
        <row r="1647">
          <cell r="B1647" t="str">
            <v>FLG.SO- SCH  300  14"</v>
          </cell>
          <cell r="D1647">
            <v>72.12</v>
          </cell>
        </row>
        <row r="1648">
          <cell r="B1648" t="str">
            <v>FLG.SO- SCH  600  14"</v>
          </cell>
          <cell r="D1648">
            <v>102</v>
          </cell>
        </row>
        <row r="1649">
          <cell r="B1649" t="str">
            <v>FLG.SO- SCH  900  14"</v>
          </cell>
          <cell r="D1649">
            <v>172.36</v>
          </cell>
        </row>
        <row r="1650">
          <cell r="B1650" t="str">
            <v>FLG.SO- SCH  1500  14"</v>
          </cell>
          <cell r="D1650">
            <v>0</v>
          </cell>
        </row>
        <row r="1651">
          <cell r="B1651" t="str">
            <v>FLG.SO- SCH  2500  14"</v>
          </cell>
          <cell r="D1651">
            <v>0</v>
          </cell>
        </row>
        <row r="1652">
          <cell r="B1652" t="str">
            <v>FLG.WN- SCH  150  14"</v>
          </cell>
          <cell r="D1652">
            <v>51.71</v>
          </cell>
        </row>
        <row r="1653">
          <cell r="B1653" t="str">
            <v>FLG.WN- SCH  300  14"</v>
          </cell>
          <cell r="D1653">
            <v>88.3</v>
          </cell>
        </row>
        <row r="1654">
          <cell r="B1654" t="str">
            <v>FLG.WN- SCH  600  14"</v>
          </cell>
          <cell r="D1654">
            <v>121.56</v>
          </cell>
        </row>
        <row r="1655">
          <cell r="B1655" t="str">
            <v>FLG.WN- SCH  900  14"</v>
          </cell>
          <cell r="D1655">
            <v>181.6</v>
          </cell>
        </row>
        <row r="1656">
          <cell r="B1656" t="str">
            <v>FLG.WN- SCH  1500  14"</v>
          </cell>
          <cell r="D1656">
            <v>416</v>
          </cell>
        </row>
        <row r="1657">
          <cell r="B1657" t="str">
            <v>FLG.WN- SCH  2500  14"</v>
          </cell>
          <cell r="D1657">
            <v>0</v>
          </cell>
        </row>
        <row r="1658">
          <cell r="B1658" t="str">
            <v>FLG.BL- SCH  150  14"</v>
          </cell>
          <cell r="D1658">
            <v>59.42</v>
          </cell>
        </row>
        <row r="1659">
          <cell r="B1659" t="str">
            <v>FLG.BL- SCH  300  14"</v>
          </cell>
          <cell r="D1659">
            <v>107.05</v>
          </cell>
        </row>
        <row r="1660">
          <cell r="B1660" t="str">
            <v>FLG.BL- SCH  600  14"</v>
          </cell>
          <cell r="D1660">
            <v>158</v>
          </cell>
        </row>
        <row r="1661">
          <cell r="B1661" t="str">
            <v>FLG.BL- SCH  900  14"</v>
          </cell>
          <cell r="D1661">
            <v>224.07</v>
          </cell>
        </row>
        <row r="1662">
          <cell r="B1662" t="str">
            <v>FLG.BL- SCH  1500  14"</v>
          </cell>
          <cell r="D1662">
            <v>421</v>
          </cell>
        </row>
        <row r="1663">
          <cell r="B1663" t="str">
            <v>FLG.BL- SCH  2500  14"</v>
          </cell>
          <cell r="D1663">
            <v>0</v>
          </cell>
        </row>
        <row r="1664">
          <cell r="B1664" t="str">
            <v>FLG.SO- SCH  150  16"</v>
          </cell>
          <cell r="D1664">
            <v>42.18</v>
          </cell>
        </row>
        <row r="1665">
          <cell r="B1665" t="str">
            <v>FLG.SO- SCH  300  16"</v>
          </cell>
          <cell r="D1665">
            <v>90.4</v>
          </cell>
        </row>
        <row r="1666">
          <cell r="B1666" t="str">
            <v>FLG.SO- SCH  600  16"</v>
          </cell>
          <cell r="D1666">
            <v>149.82</v>
          </cell>
        </row>
        <row r="1667">
          <cell r="B1667" t="str">
            <v>FLG.SO- SCH  900  16"</v>
          </cell>
          <cell r="D1667">
            <v>192.95</v>
          </cell>
        </row>
        <row r="1668">
          <cell r="B1668" t="str">
            <v>FLG.SO- SCH  1500  16"</v>
          </cell>
          <cell r="D1668">
            <v>0</v>
          </cell>
        </row>
        <row r="1669">
          <cell r="B1669" t="str">
            <v>FLG.SO- SCH  2500  16"</v>
          </cell>
          <cell r="D1669">
            <v>0</v>
          </cell>
        </row>
        <row r="1670">
          <cell r="B1670" t="str">
            <v>FLG.WN- SCH  150  16"</v>
          </cell>
          <cell r="D1670">
            <v>64.41</v>
          </cell>
        </row>
        <row r="1671">
          <cell r="B1671" t="str">
            <v>FLG.WN- SCH  300  16"</v>
          </cell>
          <cell r="D1671">
            <v>112.94</v>
          </cell>
        </row>
        <row r="1672">
          <cell r="B1672" t="str">
            <v>FLG.WN- SCH  600  16"</v>
          </cell>
          <cell r="D1672">
            <v>177.06</v>
          </cell>
        </row>
        <row r="1673">
          <cell r="B1673" t="str">
            <v>FLG.WN- SCH  900  16"</v>
          </cell>
          <cell r="D1673">
            <v>224.73</v>
          </cell>
        </row>
        <row r="1674">
          <cell r="B1674" t="str">
            <v>FLG.WN- SCH  1500  16"</v>
          </cell>
          <cell r="D1674">
            <v>567.5</v>
          </cell>
        </row>
        <row r="1675">
          <cell r="B1675" t="str">
            <v>FLG.WN- SCH  2500  16"</v>
          </cell>
          <cell r="D1675">
            <v>0</v>
          </cell>
        </row>
        <row r="1676">
          <cell r="B1676" t="str">
            <v>FLG.BL- SCH  150  16"</v>
          </cell>
          <cell r="D1676">
            <v>77.11</v>
          </cell>
        </row>
        <row r="1677">
          <cell r="B1677" t="str">
            <v>FLG.BL- SCH  300  16"</v>
          </cell>
          <cell r="D1677">
            <v>139.25</v>
          </cell>
        </row>
        <row r="1678">
          <cell r="B1678" t="str">
            <v>FLG.BL- SCH  600  16"</v>
          </cell>
          <cell r="D1678">
            <v>224.73</v>
          </cell>
        </row>
        <row r="1679">
          <cell r="B1679" t="str">
            <v>FLG.BL- SCH  900  16"</v>
          </cell>
          <cell r="D1679">
            <v>272.39999999999998</v>
          </cell>
        </row>
        <row r="1680">
          <cell r="B1680" t="str">
            <v>FLG.BL- SCH  1500  16"</v>
          </cell>
          <cell r="D1680">
            <v>559</v>
          </cell>
        </row>
        <row r="1681">
          <cell r="B1681" t="str">
            <v>FLG.BL- SCH  2500  16"</v>
          </cell>
          <cell r="D1681">
            <v>0</v>
          </cell>
        </row>
        <row r="1682">
          <cell r="B1682" t="str">
            <v>FLG.SO- SCH  150  18"</v>
          </cell>
          <cell r="D1682">
            <v>49.71</v>
          </cell>
        </row>
        <row r="1683">
          <cell r="B1683" t="str">
            <v>FLG.SO- SCH  300  18"</v>
          </cell>
          <cell r="D1683">
            <v>109</v>
          </cell>
        </row>
        <row r="1684">
          <cell r="B1684" t="str">
            <v>FLG.SO- SCH  600  18"</v>
          </cell>
          <cell r="D1684">
            <v>180.1</v>
          </cell>
        </row>
        <row r="1685">
          <cell r="B1685" t="str">
            <v>FLG.SO- SCH  900  18"</v>
          </cell>
          <cell r="D1685">
            <v>272.39999999999998</v>
          </cell>
        </row>
        <row r="1686">
          <cell r="B1686" t="str">
            <v>FLG.SO- SCH  1500  18"</v>
          </cell>
          <cell r="D1686">
            <v>0</v>
          </cell>
        </row>
        <row r="1687">
          <cell r="B1687" t="str">
            <v>FLG.SO- SCH  2500  18"</v>
          </cell>
          <cell r="D1687">
            <v>0</v>
          </cell>
        </row>
        <row r="1688">
          <cell r="B1688" t="str">
            <v>FLG.WN- SCH  150  18"</v>
          </cell>
          <cell r="D1688">
            <v>74.84</v>
          </cell>
        </row>
        <row r="1689">
          <cell r="B1689" t="str">
            <v>FLG.WN- SCH  300  18"</v>
          </cell>
          <cell r="D1689">
            <v>138.34</v>
          </cell>
        </row>
        <row r="1690">
          <cell r="B1690" t="str">
            <v>FLG.WN- SCH  600  18"</v>
          </cell>
          <cell r="D1690">
            <v>215.65</v>
          </cell>
        </row>
        <row r="1691">
          <cell r="B1691" t="str">
            <v>FLG.WN- SCH  900  18"</v>
          </cell>
          <cell r="D1691">
            <v>308.72000000000003</v>
          </cell>
        </row>
        <row r="1692">
          <cell r="B1692" t="str">
            <v>FLG.WN- SCH  1500  18"</v>
          </cell>
          <cell r="D1692">
            <v>736</v>
          </cell>
        </row>
        <row r="1693">
          <cell r="B1693" t="str">
            <v>FLG.WN- SCH  2500  18"</v>
          </cell>
          <cell r="D1693">
            <v>0</v>
          </cell>
        </row>
        <row r="1694">
          <cell r="B1694" t="str">
            <v>FLG.BL- SCH  150  18"</v>
          </cell>
          <cell r="D1694">
            <v>94.8</v>
          </cell>
        </row>
        <row r="1695">
          <cell r="B1695" t="str">
            <v>FLG.BL- SCH  300  18"</v>
          </cell>
          <cell r="D1695">
            <v>176.9</v>
          </cell>
        </row>
        <row r="1696">
          <cell r="B1696" t="str">
            <v>FLG.BL- SCH  600  18"</v>
          </cell>
          <cell r="D1696">
            <v>285</v>
          </cell>
        </row>
        <row r="1697">
          <cell r="B1697" t="str">
            <v>FLG.BL- SCH  900  18"</v>
          </cell>
          <cell r="D1697">
            <v>385.9</v>
          </cell>
        </row>
        <row r="1698">
          <cell r="B1698" t="str">
            <v>FLG.BL- SCH  1500  18"</v>
          </cell>
          <cell r="D1698">
            <v>761</v>
          </cell>
        </row>
        <row r="1699">
          <cell r="B1699" t="str">
            <v>FLG.BL- SCH  2500  18"</v>
          </cell>
          <cell r="D1699">
            <v>0</v>
          </cell>
        </row>
        <row r="1700">
          <cell r="B1700" t="str">
            <v>FLG.SO- SCH  150  20"</v>
          </cell>
          <cell r="D1700">
            <v>65.5</v>
          </cell>
        </row>
        <row r="1701">
          <cell r="B1701" t="str">
            <v>FLG.SO- SCH  300  20"</v>
          </cell>
          <cell r="D1701">
            <v>136</v>
          </cell>
        </row>
        <row r="1702">
          <cell r="B1702" t="str">
            <v>FLG.SO- SCH  600  20"</v>
          </cell>
          <cell r="D1702">
            <v>231.54</v>
          </cell>
        </row>
        <row r="1703">
          <cell r="B1703" t="str">
            <v>FLG.SO- SCH  900  20"</v>
          </cell>
          <cell r="D1703">
            <v>331.42</v>
          </cell>
        </row>
        <row r="1704">
          <cell r="B1704" t="str">
            <v>FLG.SO- SCH  1500  20"</v>
          </cell>
          <cell r="D1704">
            <v>0</v>
          </cell>
        </row>
        <row r="1705">
          <cell r="B1705" t="str">
            <v>FLG.SO- SCH  2500  20"</v>
          </cell>
          <cell r="D1705">
            <v>0</v>
          </cell>
        </row>
        <row r="1706">
          <cell r="B1706" t="str">
            <v>FLG.WN- SCH  150  20"</v>
          </cell>
          <cell r="D1706">
            <v>89.36</v>
          </cell>
        </row>
        <row r="1707">
          <cell r="B1707" t="str">
            <v>FLG.WN- SCH  300  20"</v>
          </cell>
          <cell r="D1707">
            <v>167.37</v>
          </cell>
        </row>
        <row r="1708">
          <cell r="B1708" t="str">
            <v>FLG.WN- SCH  600  20"</v>
          </cell>
          <cell r="D1708">
            <v>267.86</v>
          </cell>
        </row>
        <row r="1709">
          <cell r="B1709" t="str">
            <v>FLG.WN- SCH  900  20"</v>
          </cell>
          <cell r="D1709">
            <v>376.82</v>
          </cell>
        </row>
        <row r="1710">
          <cell r="B1710" t="str">
            <v>FLG.WN- SCH  1500  20"</v>
          </cell>
          <cell r="D1710">
            <v>929</v>
          </cell>
        </row>
        <row r="1711">
          <cell r="B1711" t="str">
            <v>FLG.WN- SCH  2500  20"</v>
          </cell>
          <cell r="D1711">
            <v>0</v>
          </cell>
        </row>
        <row r="1712">
          <cell r="B1712" t="str">
            <v>FLG.BL- SCH  150  20"</v>
          </cell>
          <cell r="D1712">
            <v>123.38</v>
          </cell>
        </row>
        <row r="1713">
          <cell r="B1713" t="str">
            <v>FLG.BL- SCH  300  20"</v>
          </cell>
          <cell r="D1713">
            <v>223.17</v>
          </cell>
        </row>
        <row r="1714">
          <cell r="B1714" t="str">
            <v>FLG.BL- SCH  600  20"</v>
          </cell>
          <cell r="D1714">
            <v>365</v>
          </cell>
        </row>
        <row r="1715">
          <cell r="B1715" t="str">
            <v>FLG.BL- SCH  900  20"</v>
          </cell>
          <cell r="D1715">
            <v>488</v>
          </cell>
        </row>
        <row r="1716">
          <cell r="B1716" t="str">
            <v>FLG.BL- SCH  1500  20"</v>
          </cell>
          <cell r="D1716">
            <v>967</v>
          </cell>
        </row>
        <row r="1717">
          <cell r="B1717" t="str">
            <v>FLG.BL- SCH  2500  20"</v>
          </cell>
          <cell r="D1717">
            <v>0</v>
          </cell>
        </row>
        <row r="1718">
          <cell r="B1718" t="str">
            <v>FLG.SO- SCH  150  22"</v>
          </cell>
        </row>
        <row r="1719">
          <cell r="B1719" t="str">
            <v>FLG.SO- SCH  300  22"</v>
          </cell>
        </row>
        <row r="1720">
          <cell r="B1720" t="str">
            <v>FLG.SO- SCH  600  22"</v>
          </cell>
        </row>
        <row r="1721">
          <cell r="B1721" t="str">
            <v>FLG.SO- SCH  900  22"</v>
          </cell>
        </row>
        <row r="1722">
          <cell r="B1722" t="str">
            <v>FLG.SO- SCH  1500  22"</v>
          </cell>
        </row>
        <row r="1723">
          <cell r="B1723" t="str">
            <v>FLG.SO- SCH  2500  22"</v>
          </cell>
        </row>
        <row r="1724">
          <cell r="B1724" t="str">
            <v>FLG.WN- SCH  150  22"</v>
          </cell>
        </row>
        <row r="1725">
          <cell r="B1725" t="str">
            <v>FLG.WN- SCH  300  22"</v>
          </cell>
        </row>
        <row r="1726">
          <cell r="B1726" t="str">
            <v>FLG.WN- SCH  600  22"</v>
          </cell>
        </row>
        <row r="1727">
          <cell r="B1727" t="str">
            <v>FLG.WN- SCH  900  22"</v>
          </cell>
        </row>
        <row r="1728">
          <cell r="B1728" t="str">
            <v>FLG.WN- SCH  1500  22"</v>
          </cell>
        </row>
        <row r="1729">
          <cell r="B1729" t="str">
            <v>FLG.WN- SCH  2500  22"</v>
          </cell>
        </row>
        <row r="1730">
          <cell r="B1730" t="str">
            <v>FLG.BL- SCH  150  22"</v>
          </cell>
        </row>
        <row r="1731">
          <cell r="B1731" t="str">
            <v>FLG.BL- SCH  300  22"</v>
          </cell>
        </row>
        <row r="1732">
          <cell r="B1732" t="str">
            <v>FLG.BL- SCH  600  22"</v>
          </cell>
        </row>
        <row r="1733">
          <cell r="B1733" t="str">
            <v>FLG.BL- SCH  900  22"</v>
          </cell>
        </row>
        <row r="1734">
          <cell r="B1734" t="str">
            <v>FLG.BL- SCH  1500  22"</v>
          </cell>
        </row>
        <row r="1735">
          <cell r="B1735" t="str">
            <v>FLG.BL- SCH  2500  22"</v>
          </cell>
        </row>
        <row r="1736">
          <cell r="B1736" t="str">
            <v>FLG.SO- SCH  150  24"</v>
          </cell>
          <cell r="D1736">
            <v>90.5</v>
          </cell>
        </row>
        <row r="1737">
          <cell r="B1737" t="str">
            <v>FLG.SO- SCH  300  24"</v>
          </cell>
          <cell r="D1737">
            <v>204</v>
          </cell>
        </row>
        <row r="1738">
          <cell r="B1738" t="str">
            <v>FLG.SO- SCH  600  24"</v>
          </cell>
          <cell r="D1738">
            <v>330</v>
          </cell>
        </row>
        <row r="1739">
          <cell r="B1739" t="str">
            <v>FLG.SO- SCH  900  24"</v>
          </cell>
          <cell r="D1739">
            <v>632</v>
          </cell>
        </row>
        <row r="1740">
          <cell r="B1740" t="str">
            <v>FLG.SO- SCH  1500  24"</v>
          </cell>
          <cell r="D1740">
            <v>0</v>
          </cell>
        </row>
        <row r="1741">
          <cell r="B1741" t="str">
            <v>FLG.SO- SCH  2500  24"</v>
          </cell>
          <cell r="D1741">
            <v>0</v>
          </cell>
        </row>
        <row r="1742">
          <cell r="B1742" t="str">
            <v>FLG.WN- SCH  150  24"</v>
          </cell>
          <cell r="D1742">
            <v>119.66</v>
          </cell>
        </row>
        <row r="1743">
          <cell r="B1743" t="str">
            <v>FLG.WN- SCH  300  24"</v>
          </cell>
          <cell r="D1743">
            <v>235.41</v>
          </cell>
        </row>
        <row r="1744">
          <cell r="B1744" t="str">
            <v>FLG.WN- SCH  600  24"</v>
          </cell>
          <cell r="D1744">
            <v>372</v>
          </cell>
        </row>
        <row r="1745">
          <cell r="B1745" t="str">
            <v>FLG.WN- SCH  900  24"</v>
          </cell>
          <cell r="D1745">
            <v>685</v>
          </cell>
        </row>
        <row r="1746">
          <cell r="B1746" t="str">
            <v>FLG.WN- SCH  1500  24"</v>
          </cell>
          <cell r="D1746">
            <v>1504</v>
          </cell>
        </row>
        <row r="1747">
          <cell r="B1747" t="str">
            <v>FLG.WN- SCH  2500  24"</v>
          </cell>
          <cell r="D1747">
            <v>0</v>
          </cell>
        </row>
        <row r="1748">
          <cell r="B1748" t="str">
            <v>FLG.BL- SCH  150  24"</v>
          </cell>
          <cell r="D1748">
            <v>188.24</v>
          </cell>
        </row>
        <row r="1749">
          <cell r="B1749" t="str">
            <v>FLG.BL- SCH  300  24"</v>
          </cell>
          <cell r="D1749">
            <v>342</v>
          </cell>
        </row>
        <row r="1750">
          <cell r="B1750" t="str">
            <v>FLG.BL- SCH  600  24"</v>
          </cell>
          <cell r="D1750">
            <v>533.45000000000005</v>
          </cell>
        </row>
        <row r="1751">
          <cell r="B1751" t="str">
            <v>FLG.BL- SCH  900  24"</v>
          </cell>
          <cell r="D1751">
            <v>905</v>
          </cell>
        </row>
        <row r="1752">
          <cell r="B1752" t="str">
            <v>FLG.BL- SCH  1500  24"</v>
          </cell>
          <cell r="D1752">
            <v>1568</v>
          </cell>
        </row>
        <row r="1753">
          <cell r="B1753" t="str">
            <v>FLG.WN- SCH  150  26"</v>
          </cell>
          <cell r="D1753">
            <v>52</v>
          </cell>
        </row>
        <row r="1754">
          <cell r="B1754" t="str">
            <v>FLG.WN- SCH  300  26"</v>
          </cell>
          <cell r="D1754">
            <v>200</v>
          </cell>
        </row>
        <row r="1755">
          <cell r="B1755" t="str">
            <v>FLG.WN- SCH  150  28"</v>
          </cell>
          <cell r="D1755">
            <v>58</v>
          </cell>
        </row>
        <row r="1756">
          <cell r="B1756" t="str">
            <v>FLG.WN- SCH  300  28"</v>
          </cell>
          <cell r="D1756">
            <v>210</v>
          </cell>
        </row>
        <row r="1757">
          <cell r="B1757" t="str">
            <v>FLG.WN- SCH  150  30"</v>
          </cell>
          <cell r="D1757">
            <v>65</v>
          </cell>
        </row>
        <row r="1758">
          <cell r="B1758" t="str">
            <v>FLG.WN- SCH  300  30"</v>
          </cell>
          <cell r="D1758">
            <v>270</v>
          </cell>
        </row>
        <row r="1759">
          <cell r="B1759" t="str">
            <v>FLG.WN- SCH  150  32"</v>
          </cell>
          <cell r="D1759">
            <v>85</v>
          </cell>
        </row>
        <row r="1760">
          <cell r="B1760" t="str">
            <v>FLG.WN- SCH  300  32"</v>
          </cell>
          <cell r="D1760">
            <v>330</v>
          </cell>
        </row>
        <row r="1761">
          <cell r="B1761" t="str">
            <v>FLG.WN- SCH  150  34"</v>
          </cell>
          <cell r="D1761">
            <v>100</v>
          </cell>
        </row>
        <row r="1762">
          <cell r="B1762" t="str">
            <v>FLG.WN- SCH  300  34"</v>
          </cell>
          <cell r="D1762">
            <v>360</v>
          </cell>
        </row>
        <row r="1763">
          <cell r="B1763" t="str">
            <v>FLG.WN- SCH  150  36"</v>
          </cell>
          <cell r="D1763">
            <v>115</v>
          </cell>
        </row>
        <row r="1764">
          <cell r="B1764" t="str">
            <v>FLG.WN- SCH  300  36"</v>
          </cell>
          <cell r="D1764">
            <v>410</v>
          </cell>
        </row>
        <row r="1765">
          <cell r="B1765" t="str">
            <v>FLG.WN- SCH  150  38"</v>
          </cell>
          <cell r="D1765">
            <v>135</v>
          </cell>
        </row>
        <row r="1766">
          <cell r="B1766" t="str">
            <v>FLG.WN- SCH  300  38"</v>
          </cell>
          <cell r="D1766">
            <v>570</v>
          </cell>
        </row>
        <row r="1767">
          <cell r="B1767" t="str">
            <v>FLG.WN- SCH  150  40"</v>
          </cell>
          <cell r="D1767">
            <v>150</v>
          </cell>
        </row>
        <row r="1768">
          <cell r="B1768" t="str">
            <v>FLG.WN- SCH  300  40"</v>
          </cell>
          <cell r="D1768">
            <v>661</v>
          </cell>
        </row>
        <row r="1769">
          <cell r="B1769" t="str">
            <v>FLG.WN- SCH  150  42"</v>
          </cell>
          <cell r="D1769">
            <v>165</v>
          </cell>
        </row>
        <row r="1770">
          <cell r="B1770" t="str">
            <v>FLG.WN- SCH  300  42"</v>
          </cell>
          <cell r="D1770">
            <v>721</v>
          </cell>
        </row>
        <row r="1771">
          <cell r="B1771" t="str">
            <v>FLG.WN- SCH  150  44"</v>
          </cell>
          <cell r="D1771">
            <v>200</v>
          </cell>
        </row>
        <row r="1772">
          <cell r="B1772" t="str">
            <v>FLG.WN- SCH  300  44"</v>
          </cell>
          <cell r="D1772">
            <v>801</v>
          </cell>
        </row>
        <row r="1773">
          <cell r="B1773" t="str">
            <v>FLG.WN- SCH  150  46"</v>
          </cell>
          <cell r="D1773">
            <v>210</v>
          </cell>
        </row>
        <row r="1774">
          <cell r="B1774" t="str">
            <v>FLG.WN- SCH  300  46"</v>
          </cell>
          <cell r="D1774">
            <v>971</v>
          </cell>
        </row>
        <row r="1775">
          <cell r="B1775" t="str">
            <v>FLG.WN- SCH  150  48"</v>
          </cell>
          <cell r="D1775">
            <v>240</v>
          </cell>
        </row>
        <row r="1776">
          <cell r="B1776" t="str">
            <v>FLG.WN- SCH  300  48"</v>
          </cell>
          <cell r="D1776">
            <v>991</v>
          </cell>
        </row>
        <row r="1777">
          <cell r="B1777" t="str">
            <v>FLG.WN- SCH  150  50"</v>
          </cell>
          <cell r="D1777">
            <v>251</v>
          </cell>
        </row>
        <row r="1778">
          <cell r="B1778" t="str">
            <v>FLG.WN- SCH  300  50"</v>
          </cell>
          <cell r="D1778">
            <v>1048</v>
          </cell>
        </row>
        <row r="1779">
          <cell r="B1779" t="str">
            <v>FLG.WN- SCH  150  52"</v>
          </cell>
          <cell r="D1779">
            <v>266</v>
          </cell>
        </row>
        <row r="1780">
          <cell r="B1780" t="str">
            <v>FLG.WN- SCH  300  52"</v>
          </cell>
          <cell r="D1780">
            <v>1114</v>
          </cell>
        </row>
        <row r="1781">
          <cell r="B1781" t="str">
            <v>FLG.WN- SCH  150  54"</v>
          </cell>
          <cell r="D1781">
            <v>310</v>
          </cell>
        </row>
        <row r="1782">
          <cell r="B1782" t="str">
            <v>FLG.WN- SCH  300  54"</v>
          </cell>
          <cell r="D1782">
            <v>1161</v>
          </cell>
        </row>
        <row r="1783">
          <cell r="B1783" t="str">
            <v>FLG.WN- SCH  150  60"</v>
          </cell>
          <cell r="D1783">
            <v>410</v>
          </cell>
        </row>
        <row r="1784">
          <cell r="B1784" t="str">
            <v>FLG.WN- SCH  300  60"</v>
          </cell>
          <cell r="D1784">
            <v>1451</v>
          </cell>
        </row>
        <row r="1785">
          <cell r="B1785" t="str">
            <v>V.GATE- SCH    "</v>
          </cell>
        </row>
        <row r="1786">
          <cell r="B1786" t="str">
            <v>- SCH    "</v>
          </cell>
        </row>
        <row r="1787">
          <cell r="B1787" t="str">
            <v>- SCH    "</v>
          </cell>
        </row>
        <row r="1788">
          <cell r="B1788" t="str">
            <v>- SCH    "</v>
          </cell>
        </row>
        <row r="1789">
          <cell r="B1789" t="str">
            <v>- SCH    "</v>
          </cell>
        </row>
        <row r="1790">
          <cell r="B1790" t="str">
            <v>- SCH    "</v>
          </cell>
        </row>
        <row r="1791">
          <cell r="B1791" t="str">
            <v>- SCH    "</v>
          </cell>
        </row>
        <row r="1792">
          <cell r="B1792" t="str">
            <v>- SCH    "</v>
          </cell>
        </row>
        <row r="1793">
          <cell r="B1793" t="str">
            <v>- SCH    "</v>
          </cell>
        </row>
        <row r="1794">
          <cell r="B1794" t="str">
            <v>- SCH    "</v>
          </cell>
        </row>
        <row r="1795">
          <cell r="B1795" t="str">
            <v>- SCH    "</v>
          </cell>
        </row>
        <row r="1796">
          <cell r="B1796" t="str">
            <v>- SCH    "</v>
          </cell>
        </row>
        <row r="1797">
          <cell r="B1797" t="str">
            <v>- SCH    "</v>
          </cell>
        </row>
        <row r="1798">
          <cell r="B1798" t="str">
            <v>- SCH    "</v>
          </cell>
        </row>
        <row r="1799">
          <cell r="B1799" t="str">
            <v>- SCH    "</v>
          </cell>
        </row>
        <row r="1800">
          <cell r="B1800" t="str">
            <v>- SCH    "</v>
          </cell>
        </row>
        <row r="1801">
          <cell r="B1801" t="str">
            <v>- SCH    "</v>
          </cell>
        </row>
        <row r="1802">
          <cell r="B1802" t="str">
            <v>- SCH    "</v>
          </cell>
        </row>
        <row r="1803">
          <cell r="B1803" t="str">
            <v>- SCH    "</v>
          </cell>
        </row>
        <row r="1804">
          <cell r="B1804" t="str">
            <v>- SCH    "</v>
          </cell>
        </row>
        <row r="1805">
          <cell r="B1805" t="str">
            <v>- SCH    "</v>
          </cell>
        </row>
        <row r="1806">
          <cell r="B1806" t="str">
            <v>- SCH    "</v>
          </cell>
        </row>
        <row r="1807">
          <cell r="B1807" t="str">
            <v>- SCH    "</v>
          </cell>
        </row>
        <row r="1808">
          <cell r="B1808" t="str">
            <v>- SCH    "</v>
          </cell>
        </row>
        <row r="1809">
          <cell r="B1809" t="str">
            <v>- SCH    "</v>
          </cell>
        </row>
        <row r="1810">
          <cell r="B1810" t="str">
            <v>- SCH    "</v>
          </cell>
        </row>
        <row r="1811">
          <cell r="B1811" t="str">
            <v>- SCH    "</v>
          </cell>
        </row>
        <row r="1812">
          <cell r="B1812" t="str">
            <v>- SCH    "</v>
          </cell>
        </row>
        <row r="1813">
          <cell r="B1813" t="str">
            <v>- SCH    "</v>
          </cell>
        </row>
        <row r="1814">
          <cell r="B1814" t="str">
            <v>- SCH    "</v>
          </cell>
        </row>
        <row r="1815">
          <cell r="B1815" t="str">
            <v>- SCH    "</v>
          </cell>
        </row>
        <row r="1816">
          <cell r="B1816" t="str">
            <v>- SCH    "</v>
          </cell>
        </row>
        <row r="1817">
          <cell r="B1817" t="str">
            <v>- SCH    "</v>
          </cell>
        </row>
        <row r="1818">
          <cell r="B1818" t="str">
            <v>- SCH    "</v>
          </cell>
        </row>
        <row r="1819">
          <cell r="B1819" t="str">
            <v>- SCH    "</v>
          </cell>
        </row>
        <row r="1820">
          <cell r="B1820" t="str">
            <v>- SCH    "</v>
          </cell>
        </row>
        <row r="1821">
          <cell r="B1821" t="str">
            <v>- SCH    "</v>
          </cell>
        </row>
        <row r="1822">
          <cell r="B1822" t="str">
            <v>- SCH    "</v>
          </cell>
        </row>
        <row r="1823">
          <cell r="B1823" t="str">
            <v>- SCH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내역"/>
      <sheetName val="개요"/>
      <sheetName val="산출내역서집계표"/>
      <sheetName val="원남울진낙찰내역(99.4.13 부산청)"/>
      <sheetName val="산출근거"/>
      <sheetName val="변경품셈총괄"/>
      <sheetName val="인력터파기품"/>
      <sheetName val="설비"/>
      <sheetName val="Summary Sheets"/>
      <sheetName val="을"/>
      <sheetName val="차액보증"/>
      <sheetName val="우수"/>
      <sheetName val="집계표"/>
      <sheetName val="하조서"/>
      <sheetName val="중량표"/>
      <sheetName val="POWER"/>
      <sheetName val="지급자재"/>
      <sheetName val="터널조도"/>
      <sheetName val="자재단가"/>
      <sheetName val="하수급견적대비"/>
      <sheetName val="1단계"/>
      <sheetName val="마산방향"/>
      <sheetName val="진주방향"/>
      <sheetName val="노임단가"/>
      <sheetName val="내역서"/>
      <sheetName val="산근"/>
      <sheetName val="추가예산"/>
      <sheetName val="POOM_MOTO"/>
      <sheetName val="POOM_MOTO2"/>
      <sheetName val="일반공사"/>
      <sheetName val="내역서단가산출용"/>
      <sheetName val="총괄표"/>
      <sheetName val="전기단가조사서"/>
      <sheetName val="Sheet2"/>
      <sheetName val="갑지(추정)"/>
      <sheetName val="BSD (2)"/>
      <sheetName val="BID"/>
      <sheetName val="#REF"/>
      <sheetName val="기초작업"/>
      <sheetName val="cp1"/>
      <sheetName val="대림경상68억"/>
      <sheetName val="금융비용"/>
      <sheetName val="수량산출"/>
      <sheetName val="플랜트 설치"/>
      <sheetName val="터파기및재료"/>
      <sheetName val="간접(90)"/>
      <sheetName val="남양내역"/>
      <sheetName val="SCH"/>
      <sheetName val="날개벽수량표"/>
      <sheetName val="입찰안"/>
      <sheetName val="입고장부 (4)"/>
      <sheetName val="8.석축단위(H=1.5M)"/>
      <sheetName val="영업소실적"/>
      <sheetName val="수리결과"/>
      <sheetName val="파이프류"/>
      <sheetName val="용량(1-2)"/>
      <sheetName val="영동(D)"/>
      <sheetName val="전체"/>
      <sheetName val="본사인상전"/>
      <sheetName val="일위대가(1)"/>
      <sheetName val="00상노임"/>
      <sheetName val="WORK"/>
      <sheetName val="Sheet1"/>
      <sheetName val="기계경비"/>
      <sheetName val="대치판정"/>
      <sheetName val="배수내역 (2)"/>
      <sheetName val="N賃率-職"/>
      <sheetName val="MOTOR"/>
      <sheetName val="NOMUBI"/>
      <sheetName val="sw1"/>
      <sheetName val="표지"/>
      <sheetName val="건축공사집계"/>
      <sheetName val="선정요령"/>
      <sheetName val="갱폼수직망"/>
      <sheetName val="시설물 설치표"/>
      <sheetName val="소상 &quot;1&quot;"/>
      <sheetName val="JUCKEYK"/>
      <sheetName val="DATA LISTS"/>
      <sheetName val="A-LINE"/>
      <sheetName val="대"/>
      <sheetName val="유림총괄"/>
      <sheetName val="조명시설"/>
      <sheetName val="용수간선"/>
      <sheetName val="일위_파일"/>
      <sheetName val="Total"/>
      <sheetName val="조건"/>
      <sheetName val="2.대외공문"/>
      <sheetName val="DATA1"/>
      <sheetName val="계정"/>
      <sheetName val="Sheet6"/>
      <sheetName val="관경별우수관집계"/>
      <sheetName val="차수"/>
      <sheetName val="평당자료"/>
      <sheetName val="일반부표"/>
      <sheetName val="견적정보"/>
      <sheetName val="시멘트"/>
      <sheetName val="내역표지"/>
      <sheetName val="데이타"/>
      <sheetName val="식재인부"/>
      <sheetName val="노임"/>
      <sheetName val="설계가"/>
      <sheetName val="T형( 파일기초) 공현1교"/>
      <sheetName val="덕전리"/>
      <sheetName val="(A)내역서"/>
      <sheetName val="총괄-1"/>
      <sheetName val="안양동교 1안"/>
      <sheetName val="5.전사투자계획종함안"/>
      <sheetName val="Macro(차단기)"/>
      <sheetName val="정보"/>
      <sheetName val="자재단가비교표"/>
      <sheetName val="SP-B1"/>
      <sheetName val="시화점실행"/>
      <sheetName val="네고율"/>
      <sheetName val="PROJECT BRIEF"/>
      <sheetName val="대공종"/>
      <sheetName val="전체공내역서"/>
      <sheetName val="본실행경비"/>
      <sheetName val="대가표(품셈)"/>
      <sheetName val="Baby일위대가"/>
      <sheetName val="중동상가"/>
      <sheetName val="COVER"/>
      <sheetName val="기둥(원형)"/>
      <sheetName val="충주"/>
      <sheetName val="옹벽수량집계표"/>
      <sheetName val="설계"/>
      <sheetName val="물량표"/>
      <sheetName val="단면치수"/>
      <sheetName val="중기사용료"/>
      <sheetName val="견적서"/>
      <sheetName val="단양 00 아파트-세부내역"/>
      <sheetName val="예산조서"/>
      <sheetName val="기초단가"/>
      <sheetName val="BASE DATA1"/>
      <sheetName val="6호기"/>
      <sheetName val="선급금신청서"/>
      <sheetName val="2공구산출내역"/>
      <sheetName val="CONCRETE"/>
      <sheetName val="공통가설"/>
      <sheetName val="화재 탐지 설비"/>
      <sheetName val="PROJECT BRIEF(EX.NEW)"/>
      <sheetName val="연습장소"/>
      <sheetName val="부대내역"/>
      <sheetName val="DATA"/>
      <sheetName val="Macro3"/>
      <sheetName val="비교원RD-S"/>
      <sheetName val="청천내"/>
      <sheetName val="__MAIN"/>
      <sheetName val="단열-자재"/>
      <sheetName val="목록"/>
      <sheetName val="한강운반비"/>
      <sheetName val="역결합트래버스"/>
      <sheetName val="골조시행"/>
      <sheetName val="입찰품의서"/>
      <sheetName val="내역서 "/>
      <sheetName val="맨홀수량산출"/>
      <sheetName val="업체별기성내역"/>
      <sheetName val="현장관리비"/>
      <sheetName val="비교1"/>
      <sheetName val="카렌스센터계량기설치공사"/>
      <sheetName val="98지급계획"/>
      <sheetName val="정부노임단가"/>
      <sheetName val="준공갑지"/>
      <sheetName val="연습"/>
      <sheetName val="잔수량(작성)"/>
      <sheetName val="자재비"/>
      <sheetName val="구의33고"/>
      <sheetName val="45,46"/>
      <sheetName val="공종별"/>
      <sheetName val="유동표"/>
      <sheetName val="공사비"/>
      <sheetName val="단가산출"/>
      <sheetName val="Macro2"/>
      <sheetName val="원가서"/>
      <sheetName val="공량산출서"/>
      <sheetName val="ABUT수량-A1"/>
      <sheetName val="손익차9월2"/>
      <sheetName val="일반관리비"/>
      <sheetName val="costing_Press"/>
      <sheetName val="사급자재"/>
      <sheetName val="001"/>
      <sheetName val="투찰"/>
      <sheetName val="70%"/>
      <sheetName val="시험장S자로가로등공사"/>
      <sheetName val="코드표"/>
      <sheetName val="Piping Design Data"/>
      <sheetName val="MEXICO-C"/>
      <sheetName val="물량산출근거"/>
      <sheetName val="도급양식"/>
      <sheetName val="ROOF(ALKALI)"/>
      <sheetName val="cable-data"/>
      <sheetName val="할증 "/>
      <sheetName val="kimre scrubber"/>
      <sheetName val="GRDBS"/>
      <sheetName val="G.R300경비"/>
      <sheetName val="잡철물"/>
      <sheetName val="단가표"/>
      <sheetName val="신설개소별 총집계표(동해-배전)"/>
      <sheetName val="안평역사 총집계"/>
      <sheetName val="CAPVC"/>
      <sheetName val="Customer Databas"/>
      <sheetName val="단중"/>
      <sheetName val="실행(ALT1)"/>
      <sheetName val="냉천부속동"/>
      <sheetName val="돈암사업"/>
      <sheetName val="토목주소"/>
      <sheetName val="프랜트면허"/>
      <sheetName val="전기실-1"/>
      <sheetName val="MATRLDATA"/>
      <sheetName val="1,2공구원가계산서"/>
      <sheetName val="1공구산출내역서"/>
      <sheetName val="4 &amp; 10-inch, CO2 Combo &amp; Sweep"/>
      <sheetName val="CTEMCOST"/>
      <sheetName val="부하(성남)"/>
      <sheetName val="RE9604"/>
      <sheetName val="일위대가목차"/>
      <sheetName val="예산경비1차"/>
      <sheetName val="물가시세"/>
      <sheetName val="빌딩 안내"/>
      <sheetName val="자재운반단가일람표"/>
      <sheetName val="FAB별"/>
      <sheetName val="연부97-1"/>
      <sheetName val="갑지1"/>
      <sheetName val="공통비(전체)"/>
      <sheetName val="BOL"/>
      <sheetName val="2000년1차"/>
      <sheetName val="전기"/>
      <sheetName val="ESTI."/>
      <sheetName val="DI-ESTI"/>
      <sheetName val="JUCK"/>
      <sheetName val="증감내역서"/>
      <sheetName val="토목"/>
      <sheetName val="현장별"/>
      <sheetName val="125x125"/>
      <sheetName val="개산공사비"/>
      <sheetName val="5_BANG I"/>
      <sheetName val="Re-bar"/>
      <sheetName val="수안보-MBR1"/>
      <sheetName val="데리네이타현황"/>
      <sheetName val="수주현황2월"/>
      <sheetName val="원도급"/>
      <sheetName val="하도급"/>
      <sheetName val="원하대비"/>
      <sheetName val="#REF!"/>
      <sheetName val="건축집계"/>
      <sheetName val="Table"/>
      <sheetName val="장비명"/>
      <sheetName val="와동25-3(변경)"/>
      <sheetName val="밸브설치"/>
      <sheetName val="약품공급2"/>
      <sheetName val="공사비집계"/>
      <sheetName val="6PILE  (돌출)"/>
      <sheetName val="우각부보강"/>
      <sheetName val="우배수"/>
      <sheetName val="계산식"/>
      <sheetName val="설명"/>
      <sheetName val="일위대가(가설)"/>
      <sheetName val="DATE"/>
      <sheetName val="설계내역서"/>
      <sheetName val="간접"/>
      <sheetName val="단가"/>
      <sheetName val="마산월령동골조물량변경"/>
      <sheetName val="2.건축"/>
      <sheetName val="현황산출서"/>
      <sheetName val="Sheet4"/>
      <sheetName val="s"/>
      <sheetName val="인사자료총집계"/>
      <sheetName val="공비대비"/>
      <sheetName val="총괄내역서"/>
      <sheetName val="관급"/>
      <sheetName val="전기공사"/>
      <sheetName val="공사"/>
      <sheetName val="SOS_PLC &amp; Panel"/>
      <sheetName val="기본단가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PAINT"/>
      <sheetName val="기성(1차) "/>
      <sheetName val="RFP002"/>
      <sheetName val="기초계산(Pmax)"/>
      <sheetName val="현장관리비 산출내역"/>
      <sheetName val="견적조건"/>
      <sheetName val="Module1"/>
      <sheetName val="Stem Footing"/>
      <sheetName val="01"/>
      <sheetName val="BACK DATA"/>
      <sheetName val="c_balju"/>
      <sheetName val="외천교"/>
      <sheetName val="금액내역서"/>
      <sheetName val="코딩 (2)"/>
      <sheetName val="자금청구"/>
      <sheetName val="콘크리트타설집계표"/>
      <sheetName val=" 갑지"/>
      <sheetName val="날개벽"/>
      <sheetName val="예총"/>
      <sheetName val="Input"/>
      <sheetName val="IBASE"/>
      <sheetName val="단"/>
      <sheetName val="orignal"/>
      <sheetName val="감액총괄표"/>
      <sheetName val="Quantity"/>
      <sheetName val="HARSAT"/>
      <sheetName val="CAL"/>
      <sheetName val="DTCT"/>
      <sheetName val="SUMMARY"/>
      <sheetName val="직재"/>
      <sheetName val="재집"/>
      <sheetName val="준검 내역서"/>
      <sheetName val="98수문일위"/>
      <sheetName val="TB(BS)"/>
      <sheetName val="TB(PL)"/>
      <sheetName val="매입세"/>
      <sheetName val="EQT-ESTN"/>
      <sheetName val="구조물철거타공정이월"/>
      <sheetName val="Hrg.Sat"/>
      <sheetName val="일위대가표"/>
      <sheetName val="신대방33(적용)"/>
      <sheetName val="실행"/>
      <sheetName val="울산자동제어"/>
      <sheetName val="APT"/>
      <sheetName val="교통대책내역"/>
      <sheetName val="입력"/>
      <sheetName val="자료입력"/>
      <sheetName val="화설내"/>
      <sheetName val="토목내역"/>
      <sheetName val="아파트-가설"/>
      <sheetName val="소방사항"/>
      <sheetName val="내역서 (2)"/>
      <sheetName val="3월"/>
      <sheetName val="실행내역"/>
      <sheetName val="_갑지"/>
      <sheetName val="Sheet3"/>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TEL"/>
      <sheetName val="개인별 순위표"/>
      <sheetName val="FANDBS"/>
      <sheetName val="GRDATA"/>
      <sheetName val="SHAFTDBSE"/>
      <sheetName val="그림"/>
      <sheetName val="원남울진낙찰내역(99.4.13%20부산청).xls"/>
      <sheetName val="%EC%9B%90%EB%82%A8%EC%9A%B8%EC%"/>
      <sheetName val="원남울진낙찰내역(99_4_13_부산청)"/>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Sheet5"/>
      <sheetName val="변경증감내역서"/>
      <sheetName val="투자예산"/>
      <sheetName val="예산"/>
      <sheetName val="목차"/>
      <sheetName val="SG"/>
      <sheetName val="울산자금"/>
      <sheetName val="실행예산"/>
      <sheetName val="Macro(전동기)"/>
      <sheetName val="철근량"/>
      <sheetName val="배수공 주요자재 집계표"/>
      <sheetName val="기초코드"/>
      <sheetName val="철근집계표"/>
      <sheetName val="설계명세서"/>
      <sheetName val="예산명세서"/>
      <sheetName val="도급"/>
      <sheetName val="경비2내역"/>
      <sheetName val="금호"/>
      <sheetName val="제잡비"/>
      <sheetName val="공정별계획(생산,발송)"/>
      <sheetName val="STORAGE"/>
      <sheetName val="노원열병합  건축공사기성내역서"/>
      <sheetName val="시설일위"/>
      <sheetName val="기초일위"/>
      <sheetName val="조명일위"/>
      <sheetName val="동해title"/>
      <sheetName val="Pjny"/>
      <sheetName val="매입세율"/>
      <sheetName val="학생내역"/>
      <sheetName val="기안"/>
      <sheetName val="배관길이"/>
      <sheetName val="자재단가표"/>
      <sheetName val="신공"/>
      <sheetName val="실행내역서 "/>
      <sheetName val="본공사"/>
      <sheetName val="확산동"/>
      <sheetName val="1차 내역서"/>
      <sheetName val="건축(을)"/>
      <sheetName val="음료실행"/>
      <sheetName val="시운전연료"/>
      <sheetName val="신우"/>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갑지"/>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B.O.M"/>
      <sheetName val="신공항A-9(원가수정)"/>
      <sheetName val="문학간접"/>
      <sheetName val="소야공정계획표"/>
      <sheetName val="토공사"/>
      <sheetName val="원가"/>
      <sheetName val="전라자금"/>
      <sheetName val="예산입력(전)"/>
      <sheetName val="단가 (2)"/>
      <sheetName val="유림골조"/>
      <sheetName val="7.경제성결과"/>
      <sheetName val="건축공사"/>
      <sheetName val="단가 및 재료비"/>
      <sheetName val="단가산출2"/>
      <sheetName val="중기사용료산출근거"/>
      <sheetName val="단가산출1"/>
      <sheetName val="근거 자료"/>
      <sheetName val="Site Expenses"/>
      <sheetName val="8)중점관리장비현황"/>
      <sheetName val="95월별매출"/>
      <sheetName val="효율표"/>
      <sheetName val="CABLE"/>
      <sheetName val="대야미내역서"/>
      <sheetName val="건축공사실행"/>
      <sheetName val="내역서(삼호)"/>
      <sheetName val="저"/>
      <sheetName val="총괄집계표"/>
      <sheetName val="구분자"/>
      <sheetName val="통장출금액"/>
      <sheetName val="PW3"/>
      <sheetName val="PW4"/>
      <sheetName val="SC1"/>
      <sheetName val="PE"/>
      <sheetName val="PM"/>
      <sheetName val="TR"/>
      <sheetName val="IT-BAT"/>
      <sheetName val="역공종"/>
      <sheetName val="3차설계"/>
      <sheetName val="전 기"/>
      <sheetName val="원형1호맨홀토공수량"/>
      <sheetName val="식재품셈"/>
      <sheetName val="관급자재"/>
      <sheetName val="정렬"/>
      <sheetName val="자료(통합)"/>
      <sheetName val="설계조건"/>
      <sheetName val="의정부문예회관변경내역"/>
      <sheetName val="평3"/>
      <sheetName val="조명율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견적서"/>
      <sheetName val="견적내역"/>
      <sheetName val="제어기기"/>
      <sheetName val="산출표"/>
      <sheetName val="집계표"/>
      <sheetName val="산출근거"/>
      <sheetName val="실행내역서 "/>
      <sheetName val="노무비단가"/>
      <sheetName val="요율"/>
      <sheetName val="EQT-ESTN"/>
      <sheetName val="갑지 "/>
      <sheetName val="잡철물"/>
      <sheetName val="산출내역서집계표"/>
      <sheetName val="Piping Design Data"/>
      <sheetName val="할증 "/>
      <sheetName val="FACTOR"/>
      <sheetName val="지수"/>
      <sheetName val="장비당단가 (1)"/>
      <sheetName val="자동제어"/>
      <sheetName val="제안서입력"/>
      <sheetName val="Sheet1"/>
      <sheetName val="감가상각"/>
      <sheetName val="투자재원"/>
      <sheetName val="공사비내역서"/>
      <sheetName val="공사비 내역 (가)"/>
      <sheetName val="18th forecasting(물량)"/>
      <sheetName val="BID"/>
      <sheetName val="S0"/>
      <sheetName val="SYS_DB"/>
      <sheetName val="경제지표"/>
      <sheetName val="세금자료"/>
      <sheetName val="간이연락"/>
      <sheetName val="터파기및재료"/>
      <sheetName val="실행(ALT1)"/>
      <sheetName val="정부노임단가"/>
      <sheetName val="입력DATA"/>
      <sheetName val="IT-BAT"/>
      <sheetName val="실행"/>
      <sheetName val="MEXIC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수"/>
      <sheetName val="EQT-ESTN"/>
      <sheetName val="견적서"/>
      <sheetName val="안료추가_상각표"/>
      <sheetName val="내역서"/>
      <sheetName val="CAPA_CHART"/>
      <sheetName val="Piping Design Data"/>
      <sheetName val="cable-data"/>
      <sheetName val="CAL"/>
      <sheetName val="계수시트"/>
      <sheetName val="원가계산서"/>
      <sheetName val="Sheet5"/>
      <sheetName val="연혁"/>
      <sheetName val="투자실별"/>
      <sheetName val="발주계획"/>
      <sheetName val="2-2.매출분석"/>
      <sheetName val="장비당단가 (1)"/>
      <sheetName val="공사비내역서"/>
      <sheetName val="우수공"/>
      <sheetName val="일위대가목차"/>
      <sheetName val="잡철물"/>
      <sheetName val="일위대가표"/>
      <sheetName val="실행철강하도"/>
      <sheetName val="실행내역서 "/>
      <sheetName val="G.R300경비"/>
      <sheetName val="Construction"/>
      <sheetName val="교대시점"/>
      <sheetName val="CTEMCOST"/>
      <sheetName val="(A)내역서"/>
      <sheetName val="우각부보강"/>
      <sheetName val="정부노임단가"/>
    </sheetNames>
    <sheetDataSet>
      <sheetData sheetId="0" refreshError="1">
        <row r="12">
          <cell r="E12">
            <v>9.2200000000000004E-2</v>
          </cell>
        </row>
        <row r="14">
          <cell r="E14">
            <v>8.9800000000000005E-2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소상 &quot;1&quot;"/>
      <sheetName val="원남울진낙찰내역(99.4.13 부산청)"/>
      <sheetName val="장비명"/>
      <sheetName val="건축집계"/>
      <sheetName val="BACK DATA"/>
      <sheetName val="와동25-3(변경)"/>
      <sheetName val="매입세율"/>
      <sheetName val="공사개요"/>
      <sheetName val="Sheet1"/>
      <sheetName val="EQT-ESTN"/>
      <sheetName val="보수0831"/>
      <sheetName val="DATA"/>
      <sheetName val="부하(성남)"/>
      <sheetName val="우배수"/>
      <sheetName val="계산식"/>
      <sheetName val="JUCK"/>
      <sheetName val="밸브설치"/>
      <sheetName val="약품공급2"/>
      <sheetName val="수안보-MBR1"/>
      <sheetName val="공사비집계"/>
      <sheetName val="#REF"/>
      <sheetName val="우각부보강"/>
      <sheetName val="6PILE  (돌출)"/>
      <sheetName val="Graph (LGEN)"/>
      <sheetName val="out_prog"/>
      <sheetName val="선적schedule (2)"/>
      <sheetName val="기기리스트"/>
      <sheetName val="도면자료제출일정"/>
      <sheetName val="차액보증"/>
      <sheetName val="준검 내역서"/>
      <sheetName val="98수문일위"/>
      <sheetName val="설명"/>
      <sheetName val="MOTOR"/>
      <sheetName val="ABUT수량-A1"/>
      <sheetName val="Y-WORK"/>
      <sheetName val="Pjny"/>
      <sheetName val="원형1호맨홀토공수량"/>
      <sheetName val="현장관리비 산출내역"/>
      <sheetName val="간접비"/>
      <sheetName val="물량표"/>
      <sheetName val="DATE"/>
      <sheetName val="데이타"/>
      <sheetName val="일반공사"/>
      <sheetName val="Sheet22"/>
      <sheetName val="다이꾸"/>
      <sheetName val="TIE-IN"/>
      <sheetName val="쌍송교"/>
      <sheetName val="01"/>
      <sheetName val="cable-data"/>
      <sheetName val="내역서"/>
      <sheetName val="Total"/>
      <sheetName val="수량산출"/>
      <sheetName val="TEL"/>
      <sheetName val="95WBS"/>
      <sheetName val="YOEMAGUM"/>
      <sheetName val="단면치수"/>
      <sheetName val="부하LOAD"/>
      <sheetName val="구조물철거타공정이월"/>
      <sheetName val="토목내역"/>
      <sheetName val="Sheet2"/>
      <sheetName val="투찰"/>
      <sheetName val="Macro(차단기)"/>
      <sheetName val="기초자료입력"/>
      <sheetName val="WORK"/>
      <sheetName val="관접합및부설"/>
      <sheetName val="단가"/>
      <sheetName val="c_balju"/>
      <sheetName val="외천교"/>
      <sheetName val="금액내역서"/>
      <sheetName val="Sheet3"/>
      <sheetName val="P-산#1-1(WOWA1)"/>
      <sheetName val="Factor"/>
      <sheetName val="갑지(추정)"/>
      <sheetName val="HRSG SMALL07220"/>
      <sheetName val="costing_CV"/>
      <sheetName val="집계표"/>
      <sheetName val="타공종이기"/>
      <sheetName val="BID"/>
      <sheetName val="동해title"/>
      <sheetName val="DATA1"/>
      <sheetName val="S0"/>
      <sheetName val="CTEMCOST"/>
      <sheetName val="자압"/>
      <sheetName val="ⴭⴭⴭⴭ"/>
      <sheetName val="COPING"/>
      <sheetName val="전차선로 물량표"/>
      <sheetName val="노임이"/>
      <sheetName val="소상_&quot;1&quot;"/>
      <sheetName val="원남울진낙찰내역(99_4_13_부산청)"/>
      <sheetName val="BACK_DATA"/>
      <sheetName val="현장관리비_산출내역"/>
      <sheetName val="준검_내역서"/>
      <sheetName val="6PILE__(돌출)"/>
      <sheetName val="HRSG_SMALL07220"/>
      <sheetName val="Graph_(LGEN)"/>
      <sheetName val="선적schedule_(2)"/>
      <sheetName val="전차선로_물량표"/>
      <sheetName val="제출내역 (2)"/>
      <sheetName val="말뚝물량"/>
      <sheetName val="인부신상자료"/>
      <sheetName val="날개벽"/>
      <sheetName val="입찰안"/>
      <sheetName val="001"/>
      <sheetName val="Sheet1 (2)"/>
      <sheetName val="바닥판(1)"/>
      <sheetName val="3련 BOX"/>
      <sheetName val="woo(mac)"/>
      <sheetName val="3.하중산정4.지지력"/>
      <sheetName val="BQ"/>
      <sheetName val="J直材4"/>
      <sheetName val="예정(3)"/>
      <sheetName val="일위대가"/>
      <sheetName val="STORAGE"/>
      <sheetName val="Table"/>
      <sheetName val="정부노임단가"/>
      <sheetName val="CONCRETE"/>
      <sheetName val="Customer Databas"/>
      <sheetName val="FANDBS"/>
      <sheetName val="GRDATA"/>
      <sheetName val="SHAFTDBSE"/>
      <sheetName val="을"/>
      <sheetName val="매입세"/>
      <sheetName val="2.대외공문"/>
      <sheetName val="조도계산서 (도서)"/>
      <sheetName val="COVER"/>
      <sheetName val="Cost bd-&quot;A&quot;"/>
      <sheetName val="6호기"/>
      <sheetName val="충주"/>
      <sheetName val="설계"/>
      <sheetName val="D-623D"/>
      <sheetName val="Macro1"/>
      <sheetName val="archi(본사)"/>
      <sheetName val="집수정(600-700)"/>
      <sheetName val="관람석제출"/>
      <sheetName val="기초공"/>
      <sheetName val="기둥(원형)"/>
      <sheetName val=" 견적서"/>
      <sheetName val="계수시트"/>
      <sheetName val="원가계산서"/>
      <sheetName val="Base_Data"/>
      <sheetName val="5_BANG I"/>
      <sheetName val="Re-bar"/>
      <sheetName val="PAINT"/>
      <sheetName val="CAL"/>
      <sheetName val="Quantity"/>
      <sheetName val="DTCT"/>
      <sheetName val="SUMMARY"/>
      <sheetName val="연부97-1"/>
      <sheetName val="직재"/>
      <sheetName val="재집"/>
      <sheetName val="Macro2"/>
      <sheetName val="TB(BS)"/>
      <sheetName val="TB(PL)"/>
      <sheetName val="orignal"/>
      <sheetName val="Hrg.Sat"/>
      <sheetName val="5_BANG_I"/>
      <sheetName val="실행(ALT1)"/>
      <sheetName val="MEXICO-C"/>
      <sheetName val="잡철물"/>
      <sheetName val="ROOF(ALKALI)"/>
      <sheetName val="CAPVC"/>
      <sheetName val="노원열병합  건축공사기성내역서"/>
      <sheetName val="시설일위"/>
      <sheetName val="기초일위"/>
      <sheetName val="조명일위"/>
      <sheetName val="간접"/>
      <sheetName val="물량산출근거"/>
      <sheetName val="실행(표지,갑,을)"/>
      <sheetName val="당초"/>
      <sheetName val="분뇨"/>
      <sheetName val="품의서"/>
      <sheetName val="kimre scrubber"/>
      <sheetName val="GRDBS"/>
      <sheetName val="ITEM"/>
      <sheetName val="K2-02월"/>
      <sheetName val="SRC-B3U2"/>
      <sheetName val="광주"/>
      <sheetName val="소비자가"/>
      <sheetName val="직노"/>
      <sheetName val="CBL_OD"/>
      <sheetName val="총괄"/>
      <sheetName val="내역1"/>
      <sheetName val="부하계산서"/>
      <sheetName val="노무비"/>
      <sheetName val="실행간접비용"/>
      <sheetName val="배수내역"/>
      <sheetName val="X17-TOTAL"/>
      <sheetName val="개산공사비"/>
      <sheetName val="실행대비"/>
      <sheetName val="cost"/>
      <sheetName val="노임단가"/>
      <sheetName val="GAEYO"/>
      <sheetName val="2공구산출내역"/>
      <sheetName val="DESIGN CRETERIA"/>
      <sheetName val="AILC004"/>
      <sheetName val="배수내역 (2)"/>
      <sheetName val="교각계산"/>
      <sheetName val="스케즐"/>
      <sheetName val="대치판정"/>
      <sheetName val="CT "/>
      <sheetName val="일위대가목차"/>
      <sheetName val="건축내역서"/>
      <sheetName val="전체"/>
      <sheetName val="공통가설"/>
      <sheetName val="남양시작동자105노65기1.3화1.2"/>
      <sheetName val="96수출"/>
      <sheetName val="터널조도"/>
      <sheetName val="9GNG운반"/>
      <sheetName val="wall"/>
      <sheetName val="판계용접"/>
      <sheetName val="Site Expenses"/>
      <sheetName val="8.자재비"/>
      <sheetName val="내역"/>
      <sheetName val="견적조건"/>
      <sheetName val="SG"/>
      <sheetName val="AHU집계"/>
      <sheetName val="공조기휀"/>
      <sheetName val="공조기"/>
      <sheetName val="표지"/>
      <sheetName val="현금"/>
      <sheetName val="예산변경사항"/>
      <sheetName val="잡철단가대비"/>
      <sheetName val="왕십리방향"/>
      <sheetName val="네고율"/>
      <sheetName val="한전납입금"/>
      <sheetName val="1공구(을)"/>
      <sheetName val="유림총괄"/>
      <sheetName val="조명시설"/>
      <sheetName val="2000전체분"/>
      <sheetName val="청천내"/>
      <sheetName val="2000년1차"/>
      <sheetName val="TRE TABLE"/>
      <sheetName val="입찰내역서"/>
      <sheetName val="경비2내역"/>
      <sheetName val="Segmen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수"/>
      <sheetName val="sum"/>
      <sheetName val="할증 "/>
      <sheetName val="산출1"/>
      <sheetName val="정공공사"/>
      <sheetName val="표지 (2)"/>
      <sheetName val="voucher"/>
      <sheetName val="대장"/>
      <sheetName val="98비정기소모"/>
      <sheetName val="당초"/>
      <sheetName val="설계명세서"/>
      <sheetName val="MFAB"/>
      <sheetName val="MFRT"/>
      <sheetName val="MPKG"/>
      <sheetName val="MPRD"/>
      <sheetName val="품의"/>
      <sheetName val="투자실별"/>
      <sheetName val="FAB별"/>
      <sheetName val="견적"/>
      <sheetName val="1.One-Die-Map"/>
      <sheetName val="절감계산"/>
      <sheetName val="99노임기준"/>
      <sheetName val="일위대가"/>
      <sheetName val="Total"/>
      <sheetName val="금액내역서"/>
      <sheetName val="견적서"/>
      <sheetName val="거래내역"/>
      <sheetName val="청구서"/>
      <sheetName val="PHASE-3"/>
      <sheetName val="960318-1"/>
      <sheetName val="DDR"/>
      <sheetName val="FOB발"/>
      <sheetName val="Vendor"/>
      <sheetName val="통계자료"/>
      <sheetName val="CAP"/>
      <sheetName val="변수"/>
      <sheetName val="TFT 저항"/>
      <sheetName val="갑지"/>
      <sheetName val="FACTOR"/>
      <sheetName val="가동비율"/>
      <sheetName val="유통망계획"/>
      <sheetName val="개산공사비"/>
      <sheetName val="신규보류입력"/>
      <sheetName val="이름정의"/>
      <sheetName val="간공설계서"/>
      <sheetName val="공사개요"/>
      <sheetName val="거래처목록"/>
      <sheetName val="빙장비사양"/>
      <sheetName val="장비사양"/>
      <sheetName val="내역서"/>
      <sheetName val="기준정보"/>
      <sheetName val="단가"/>
      <sheetName val="소방"/>
      <sheetName val="광통신 견적내역서1"/>
      <sheetName val="산출내역서집계표"/>
      <sheetName val="H-PILE수량집계"/>
      <sheetName val="CAT_5"/>
      <sheetName val="Anti"/>
      <sheetName val="배관내경(삭제하지마시오)"/>
      <sheetName val="기안"/>
      <sheetName val="Sheet2"/>
      <sheetName val="국산화"/>
      <sheetName val="EQT-ESTN"/>
      <sheetName val="잡철물"/>
      <sheetName val="S0"/>
      <sheetName val="역T형교대(말뚝기초)"/>
      <sheetName val="뜃맟뭁돽띿맟?-BLDG"/>
      <sheetName val="전기"/>
      <sheetName val="데이타"/>
      <sheetName val="식재인부"/>
      <sheetName val="SSMITM"/>
      <sheetName val="공사비 내역 (가)"/>
      <sheetName val="COA-17"/>
      <sheetName val="C-18"/>
      <sheetName val="PIPING"/>
      <sheetName val="PUMP"/>
      <sheetName val="실행내역서 "/>
      <sheetName val="도급양식"/>
      <sheetName val="감리을"/>
      <sheetName val="토공사"/>
      <sheetName val="을 2"/>
      <sheetName val="을 1"/>
      <sheetName val="ALL"/>
      <sheetName val="95TOTREV"/>
      <sheetName val="가설"/>
      <sheetName val="단가집"/>
      <sheetName val="costing_CV"/>
      <sheetName val="00노임기준"/>
      <sheetName val="D"/>
      <sheetName val="TAS 총괄 관리표"/>
      <sheetName val="2009년"/>
      <sheetName val="노임단가(직종번호 순)"/>
      <sheetName val="문학간접"/>
      <sheetName val="코드"/>
      <sheetName val="TG9504"/>
      <sheetName val="부대공Ⅱ"/>
      <sheetName val="기초분물량표"/>
      <sheetName val="견적대비표"/>
      <sheetName val="종합"/>
      <sheetName val="Arch"/>
      <sheetName val="골조시행"/>
      <sheetName val="목재동바리"/>
      <sheetName val="원가계산"/>
      <sheetName val="노임단가명세표"/>
      <sheetName val="제품단가명세표"/>
      <sheetName val="공사비"/>
      <sheetName val="제잡비"/>
      <sheetName val="일위대가목록표"/>
      <sheetName val="단가적용기준"/>
      <sheetName val="도급"/>
      <sheetName val="건축내역"/>
      <sheetName val="공사일위대가"/>
      <sheetName val="노임단가(2008.상)"/>
      <sheetName val="6호기"/>
      <sheetName val="수량산출(음암)"/>
      <sheetName val="건축내역서"/>
      <sheetName val="설비내역서"/>
      <sheetName val="전기내역서"/>
      <sheetName val="집계표"/>
      <sheetName val="노임단가"/>
      <sheetName val="안정성검토"/>
      <sheetName val="하중계산"/>
      <sheetName val="설계기준"/>
      <sheetName val="표지"/>
      <sheetName val="직종인원"/>
      <sheetName val="환율change"/>
      <sheetName val="수목단가"/>
      <sheetName val="시설수량표"/>
      <sheetName val="식재수량표"/>
      <sheetName val="일위목록"/>
      <sheetName val="자재단가"/>
      <sheetName val="01"/>
      <sheetName val="iM1"/>
      <sheetName val="iM1p"/>
      <sheetName val="hMC1"/>
      <sheetName val="hMC2"/>
      <sheetName val="hMP"/>
      <sheetName val="hcYLD"/>
      <sheetName val="iMC1p"/>
      <sheetName val="iMC2p"/>
      <sheetName val="hMPp"/>
      <sheetName val="Sheet1"/>
      <sheetName val="예총"/>
      <sheetName val="inter"/>
      <sheetName val="목창호"/>
      <sheetName val="표지_(2)"/>
      <sheetName val="할증_"/>
      <sheetName val="1_One-Die-Map"/>
      <sheetName val="광통신_견적내역서1"/>
      <sheetName val="공사비_내역_(가)"/>
      <sheetName val="실행내역서_"/>
      <sheetName val="노임단가(2008_상)"/>
      <sheetName val="CalcuSheet"/>
      <sheetName val="일위대가표"/>
      <sheetName val="#REF"/>
    </sheetNames>
    <sheetDataSet>
      <sheetData sheetId="0" refreshError="1">
        <row r="12">
          <cell r="E12">
            <v>9.2200000000000004E-2</v>
          </cell>
        </row>
        <row r="14">
          <cell r="E14">
            <v>8.9800000000000005E-2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efreshError="1"/>
      <sheetData sheetId="153" refreshError="1"/>
      <sheetData sheetId="15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6">
          <cell r="N16">
            <v>3</v>
          </cell>
          <cell r="P16">
            <v>93.75</v>
          </cell>
        </row>
        <row r="18">
          <cell r="N18">
            <v>3</v>
          </cell>
          <cell r="P18">
            <v>56.25</v>
          </cell>
        </row>
        <row r="32">
          <cell r="E32" t="e">
            <v>#VALUE!</v>
          </cell>
        </row>
        <row r="33">
          <cell r="E33" t="e">
            <v>#VALUE!</v>
          </cell>
        </row>
        <row r="34">
          <cell r="E34" t="e">
            <v>#VALUE!</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데이타 "/>
      <sheetName val="노무비단가"/>
      <sheetName val="식재노임목록"/>
      <sheetName val="#단가조사표1"/>
      <sheetName val="1.식재공사"/>
      <sheetName val="2.시설물공사"/>
      <sheetName val="#수목일위대가"/>
      <sheetName val="수고일위"/>
      <sheetName val="근원일위"/>
      <sheetName val="흉고일위"/>
      <sheetName val="관목일위"/>
      <sheetName val="초화일위"/>
      <sheetName val="지주목일위"/>
      <sheetName val="시설일위"/>
      <sheetName val="대일위대가코드표"/>
      <sheetName val="기초일위대가"/>
      <sheetName val="기초일위대가코드표"/>
      <sheetName val="표지"/>
      <sheetName val="공사원가계산서"/>
      <sheetName val="총괄내역서"/>
      <sheetName val="3.포장공사"/>
      <sheetName val="수목일위대가"/>
      <sheetName val="대일위대가"/>
      <sheetName val="소일위대가"/>
      <sheetName val="산출근거"/>
      <sheetName val="수목"/>
      <sheetName val="노무비(수목)"/>
      <sheetName val="단가조사표(수목)"/>
      <sheetName val="단가조사표(시설물)"/>
      <sheetName val="97노임단가"/>
      <sheetName val="식재품셈"/>
      <sheetName val="소일위대가코드표"/>
      <sheetName val="N賃率-職"/>
      <sheetName val="자문요청"/>
      <sheetName val="공사비_NDE"/>
      <sheetName val="시행예산"/>
      <sheetName val="노임단가"/>
      <sheetName val="Y-WORK"/>
      <sheetName val="현장관리비"/>
      <sheetName val="도급양식"/>
      <sheetName val="실행내역"/>
      <sheetName val="M-EQPT-Z"/>
      <sheetName val="1"/>
      <sheetName val="2"/>
      <sheetName val="3"/>
      <sheetName val="4"/>
      <sheetName val="5"/>
      <sheetName val="6"/>
      <sheetName val="중기조종사 단위단가"/>
      <sheetName val="경비"/>
      <sheetName val="매매"/>
      <sheetName val="전신"/>
      <sheetName val="설계명세서"/>
      <sheetName val="당초"/>
      <sheetName val="2000년1차"/>
      <sheetName val="내역"/>
      <sheetName val="지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
          <cell r="A1" t="str">
            <v>공           종</v>
          </cell>
          <cell r="B1" t="str">
            <v>재료비</v>
          </cell>
          <cell r="C1" t="str">
            <v>노무비</v>
          </cell>
          <cell r="D1" t="str">
            <v>경비</v>
          </cell>
        </row>
        <row r="2">
          <cell r="A2" t="str">
            <v>화강석경계석설치</v>
          </cell>
          <cell r="B2">
            <v>0</v>
          </cell>
          <cell r="C2">
            <v>15250</v>
          </cell>
        </row>
        <row r="3">
          <cell r="A3" t="str">
            <v>앵커볼트설치</v>
          </cell>
          <cell r="B3">
            <v>0</v>
          </cell>
          <cell r="C3">
            <v>5382</v>
          </cell>
        </row>
        <row r="4">
          <cell r="A4" t="str">
            <v>연못경계석설치공사</v>
          </cell>
          <cell r="B4">
            <v>482</v>
          </cell>
          <cell r="C4">
            <v>16488</v>
          </cell>
        </row>
        <row r="5">
          <cell r="A5" t="str">
            <v>몰탈바르기 (T=20)</v>
          </cell>
          <cell r="C5">
            <v>5120</v>
          </cell>
        </row>
        <row r="6">
          <cell r="A6" t="str">
            <v>흑자갈박기(φ25내외)</v>
          </cell>
          <cell r="B6">
            <v>0</v>
          </cell>
          <cell r="C6">
            <v>13488</v>
          </cell>
        </row>
        <row r="7">
          <cell r="A7" t="str">
            <v>화강석각석설치</v>
          </cell>
          <cell r="B7">
            <v>8997</v>
          </cell>
          <cell r="C7">
            <v>156842</v>
          </cell>
        </row>
        <row r="8">
          <cell r="A8" t="str">
            <v>시트방수</v>
          </cell>
          <cell r="B8">
            <v>5831</v>
          </cell>
          <cell r="C8">
            <v>6504</v>
          </cell>
          <cell r="D8">
            <v>195</v>
          </cell>
        </row>
        <row r="9">
          <cell r="A9" t="str">
            <v>액체방수</v>
          </cell>
          <cell r="B9">
            <v>1299</v>
          </cell>
          <cell r="C9">
            <v>16192</v>
          </cell>
        </row>
        <row r="10">
          <cell r="A10" t="str">
            <v>화강석마름돌 설치</v>
          </cell>
          <cell r="B10">
            <v>14845</v>
          </cell>
          <cell r="C10">
            <v>831421</v>
          </cell>
        </row>
        <row r="11">
          <cell r="A11" t="str">
            <v>와이어메쉬</v>
          </cell>
          <cell r="B11">
            <v>1748</v>
          </cell>
          <cell r="C11">
            <v>851</v>
          </cell>
        </row>
        <row r="12">
          <cell r="A12" t="str">
            <v>잔다듬(2회)</v>
          </cell>
          <cell r="B12">
            <v>0</v>
          </cell>
          <cell r="C12">
            <v>388503</v>
          </cell>
        </row>
        <row r="13">
          <cell r="A13" t="str">
            <v>합판거푸집(1회)</v>
          </cell>
          <cell r="B13">
            <v>11857</v>
          </cell>
          <cell r="C13">
            <v>29920</v>
          </cell>
        </row>
        <row r="14">
          <cell r="A14" t="str">
            <v>합판거푸집(4회)</v>
          </cell>
          <cell r="B14">
            <v>4754</v>
          </cell>
          <cell r="C14">
            <v>11968</v>
          </cell>
        </row>
        <row r="15">
          <cell r="A15" t="str">
            <v>마루틀깔기</v>
          </cell>
          <cell r="B15">
            <v>16</v>
          </cell>
          <cell r="C15">
            <v>5290</v>
          </cell>
        </row>
        <row r="16">
          <cell r="A16" t="str">
            <v>레미콘타설(소형구조물)</v>
          </cell>
          <cell r="B16">
            <v>0</v>
          </cell>
          <cell r="C16">
            <v>30178</v>
          </cell>
        </row>
        <row r="17">
          <cell r="A17" t="str">
            <v>레미콘타설(무근구조물)</v>
          </cell>
          <cell r="B17">
            <v>0</v>
          </cell>
          <cell r="C17">
            <v>19123</v>
          </cell>
        </row>
        <row r="18">
          <cell r="A18" t="str">
            <v>레미콘타설(철근구조물)</v>
          </cell>
          <cell r="B18">
            <v>0</v>
          </cell>
          <cell r="C18">
            <v>21114</v>
          </cell>
        </row>
        <row r="19">
          <cell r="A19" t="str">
            <v>화강석 고운 다듬</v>
          </cell>
          <cell r="B19">
            <v>0</v>
          </cell>
          <cell r="C19">
            <v>179862</v>
          </cell>
        </row>
        <row r="20">
          <cell r="A20" t="str">
            <v>화강석판석붙이기(바닥)</v>
          </cell>
          <cell r="B20">
            <v>44924</v>
          </cell>
          <cell r="C20">
            <v>45561</v>
          </cell>
        </row>
        <row r="21">
          <cell r="A21" t="str">
            <v>모르터(1:3)</v>
          </cell>
          <cell r="B21">
            <v>44987</v>
          </cell>
          <cell r="C21">
            <v>34947</v>
          </cell>
        </row>
        <row r="22">
          <cell r="A22" t="str">
            <v>목재가공</v>
          </cell>
          <cell r="B22">
            <v>0</v>
          </cell>
          <cell r="C22">
            <v>1360</v>
          </cell>
        </row>
        <row r="23">
          <cell r="A23" t="str">
            <v>화강석물갈기</v>
          </cell>
          <cell r="B23">
            <v>0</v>
          </cell>
          <cell r="C23">
            <v>705061</v>
          </cell>
        </row>
        <row r="24">
          <cell r="A24" t="str">
            <v>잡석깔기 및 다지기</v>
          </cell>
          <cell r="B24">
            <v>19650</v>
          </cell>
          <cell r="C24">
            <v>43333</v>
          </cell>
        </row>
        <row r="25">
          <cell r="A25" t="str">
            <v>목재면다듬기</v>
          </cell>
          <cell r="B25">
            <v>52</v>
          </cell>
          <cell r="C25">
            <v>595</v>
          </cell>
          <cell r="D25">
            <v>11</v>
          </cell>
        </row>
        <row r="26">
          <cell r="A26" t="str">
            <v>버림콘크리트타설(인력비빔)</v>
          </cell>
          <cell r="B26">
            <v>32169</v>
          </cell>
          <cell r="C26">
            <v>82593</v>
          </cell>
        </row>
        <row r="27">
          <cell r="A27" t="str">
            <v>잡철물제작설치(간단)</v>
          </cell>
          <cell r="B27">
            <v>36071</v>
          </cell>
          <cell r="C27">
            <v>2111629</v>
          </cell>
          <cell r="D27">
            <v>72518</v>
          </cell>
        </row>
        <row r="28">
          <cell r="A28" t="str">
            <v>화강석 거친다듬</v>
          </cell>
          <cell r="B28">
            <v>0</v>
          </cell>
          <cell r="C28">
            <v>56117</v>
          </cell>
        </row>
        <row r="29">
          <cell r="A29" t="str">
            <v>오일스테인칠 2회</v>
          </cell>
          <cell r="B29">
            <v>338</v>
          </cell>
          <cell r="C29">
            <v>2680</v>
          </cell>
        </row>
        <row r="30">
          <cell r="A30" t="str">
            <v>목구조체 설치</v>
          </cell>
          <cell r="B30">
            <v>315</v>
          </cell>
          <cell r="C30">
            <v>30059</v>
          </cell>
        </row>
        <row r="31">
          <cell r="A31" t="str">
            <v>터파기</v>
          </cell>
          <cell r="B31">
            <v>0</v>
          </cell>
          <cell r="C31">
            <v>10484</v>
          </cell>
        </row>
        <row r="32">
          <cell r="A32" t="str">
            <v>자갈깔기</v>
          </cell>
          <cell r="B32">
            <v>17600</v>
          </cell>
          <cell r="C32">
            <v>4543</v>
          </cell>
        </row>
        <row r="33">
          <cell r="A33" t="str">
            <v>잔토처리</v>
          </cell>
          <cell r="B33">
            <v>0</v>
          </cell>
          <cell r="C33">
            <v>6989</v>
          </cell>
        </row>
        <row r="34">
          <cell r="A34" t="str">
            <v>인력절취</v>
          </cell>
          <cell r="B34">
            <v>0</v>
          </cell>
          <cell r="C34">
            <v>5591</v>
          </cell>
        </row>
        <row r="35">
          <cell r="A35" t="str">
            <v>되메우기</v>
          </cell>
          <cell r="B35">
            <v>0</v>
          </cell>
          <cell r="C35">
            <v>3494</v>
          </cell>
        </row>
        <row r="36">
          <cell r="A36" t="str">
            <v>판형다발관설치공</v>
          </cell>
          <cell r="B36">
            <v>9080</v>
          </cell>
          <cell r="C36">
            <v>660</v>
          </cell>
        </row>
        <row r="37">
          <cell r="A37" t="str">
            <v>접속다발관설치공</v>
          </cell>
          <cell r="B37">
            <v>18705</v>
          </cell>
          <cell r="C37">
            <v>605</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데이타 "/>
      <sheetName val="SUNGDAE"/>
      <sheetName val="CAT_5"/>
      <sheetName val="기계내역서"/>
      <sheetName val="실행(1)"/>
      <sheetName val="집계표"/>
      <sheetName val="내역서"/>
      <sheetName val="20관리비율"/>
      <sheetName val="단가표"/>
      <sheetName val="정부노임단가"/>
      <sheetName val="소일위대가코드표"/>
      <sheetName val="포장공사"/>
      <sheetName val="원가계산서(남측)"/>
      <sheetName val="하수급견적대비"/>
      <sheetName val="연돌일위집계"/>
      <sheetName val="기초일위"/>
      <sheetName val="시설일위"/>
      <sheetName val="조명일위"/>
      <sheetName val="공량산출서"/>
      <sheetName val="제경비"/>
      <sheetName val="9811"/>
      <sheetName val="조경"/>
      <sheetName val="노무비(전지2기)"/>
      <sheetName val="내역표지"/>
      <sheetName val="원가계산서(총괄)"/>
      <sheetName val="산출내역집계"/>
      <sheetName val="건축집계"/>
      <sheetName val="건축내역"/>
      <sheetName val="토목집계"/>
      <sheetName val="토목내역"/>
      <sheetName val="설비집계"/>
      <sheetName val="설비내역"/>
      <sheetName val="이름표지정"/>
      <sheetName val="납부서"/>
      <sheetName val="횡배수관"/>
      <sheetName val="내역"/>
      <sheetName val="총괄내역서"/>
      <sheetName val="경비"/>
      <sheetName val="지급자재"/>
      <sheetName val="Customer Databas"/>
      <sheetName val="실행대비"/>
      <sheetName val="Sheet1"/>
      <sheetName val="당초"/>
      <sheetName val="직접비"/>
      <sheetName val="노임단가"/>
      <sheetName val="단가조사서"/>
      <sheetName val="#2_일위대가목록"/>
      <sheetName val="토목(용인)"/>
      <sheetName val="대비"/>
      <sheetName val="자문요청"/>
      <sheetName val="설계명세서"/>
      <sheetName val="DATE"/>
      <sheetName val="토사(PE)"/>
      <sheetName val="직노"/>
      <sheetName val="견적"/>
      <sheetName val="기계경비(시간당)"/>
      <sheetName val="부표총괄"/>
      <sheetName val="COA-17"/>
      <sheetName val="토목"/>
      <sheetName val="내역서01"/>
      <sheetName val="#REF"/>
      <sheetName val="정렬"/>
      <sheetName val="현장관리비"/>
      <sheetName val="을지"/>
      <sheetName val="갑지"/>
      <sheetName val="전기금액내역서"/>
      <sheetName val="spinning1"/>
      <sheetName val="P_ID650"/>
      <sheetName val="N賃率-職"/>
      <sheetName val="I一般比"/>
      <sheetName val="금액결정"/>
      <sheetName val="원가data"/>
      <sheetName val="관급"/>
      <sheetName val="소방"/>
      <sheetName val="말고개터널조명전압강하"/>
      <sheetName val="주소록"/>
      <sheetName val="일위대가목록(기계)"/>
      <sheetName val="공사비_NDE"/>
      <sheetName val="자료"/>
      <sheetName val="자재단가조사표-수목"/>
      <sheetName val="TDI ISBL"/>
      <sheetName val="9509"/>
      <sheetName val="Total"/>
      <sheetName val="견적을지"/>
      <sheetName val="9902"/>
      <sheetName val="3지구단위"/>
      <sheetName val="일위대가표"/>
      <sheetName val="실행내역서"/>
      <sheetName val="Concourse Public Areas"/>
      <sheetName val="공문"/>
      <sheetName val="전기"/>
      <sheetName val="BOJUNGGM"/>
      <sheetName val="견적대비표"/>
      <sheetName val="단가산출서(기계)"/>
      <sheetName val="과세내역(세부)"/>
      <sheetName val="효성CB 1P기초"/>
      <sheetName val="작성기준"/>
      <sheetName val="BM"/>
      <sheetName val="총사업비명세"/>
      <sheetName val="요약&amp;결과"/>
      <sheetName val="램머"/>
      <sheetName val="원가계산서 "/>
      <sheetName val="¼ö¸ñµ¥ÀÌÅ¸ "/>
      <sheetName val="Á¤ºÎ³ëÀÓ´Ü°¡"/>
      <sheetName val="¼ÒÀÏÀ§´ë°¡ÄÚµåÇ¥"/>
      <sheetName val="Æ÷Àå°ø»ç"/>
      <sheetName val="¿ø°¡°è»ê¼­(³²Ãø)"/>
      <sheetName val="ÇÏ¼ö±Þ°ßÀû´ëºñ"/>
      <sheetName val="³»¿ªÇ¥Áö"/>
      <sheetName val="¿ø°¡°è»ê¼­(ÃÑ°ý)"/>
      <sheetName val="»êÃâ³»¿ªÁý°è"/>
      <sheetName val="°ÇÃàÁý°è"/>
      <sheetName val="°ÇÃà³»¿ª"/>
      <sheetName val="Åä¸ñÁý°è"/>
      <sheetName val="Åä¸ñ³»¿ª"/>
      <sheetName val="¼³ºñÁý°è"/>
      <sheetName val="¼³ºñ³»¿ª"/>
      <sheetName val="ÀÌ¸§Ç¥ÁöÁ¤"/>
      <sheetName val="³³ºÎ¼­"/>
      <sheetName val="È¾¹è¼ö°ü"/>
      <sheetName val="³»¿ª"/>
      <sheetName val="ÃÑ°ý³»¿ª¼­"/>
      <sheetName val="Á¶°æ"/>
      <sheetName val="°æºñ"/>
      <sheetName val="Áö±ÞÀÚÀç"/>
      <sheetName val="ÀÚ·á"/>
      <sheetName val="½ÇÇà´ëºñ"/>
      <sheetName val="´ëºñ"/>
      <sheetName val="°ø¹®"/>
      <sheetName val="³»¿ª¼­"/>
      <sheetName val="Àü±â"/>
      <sheetName val="½ÇÇà³»¿ª¼­"/>
      <sheetName val="±â°è³»¿ª¼­"/>
      <sheetName val="½ÇÇà(1)"/>
      <sheetName val="¸»°í°³ÅÍ³ÎÁ¶¸íÀü¾Ð°­ÇÏ"/>
      <sheetName val="±âÃÊÀÏÀ§"/>
      <sheetName val="½Ã¼³ÀÏÀ§"/>
      <sheetName val="Á¶¸íÀÏÀ§"/>
      <sheetName val="Åä¸ñ"/>
      <sheetName val="³»¿ª¼­01"/>
      <sheetName val="³ëÀÓ´Ü°¡"/>
      <sheetName val="´Ü°¡Á¶»ç¼­"/>
      <sheetName val="시운전연료"/>
      <sheetName val="총괄"/>
      <sheetName val="노무비"/>
      <sheetName val="ABUT수량-A1"/>
      <sheetName val="wall"/>
      <sheetName val="Front"/>
      <sheetName val="실행내역"/>
    </sheetNames>
    <sheetDataSet>
      <sheetData sheetId="0" refreshError="1">
        <row r="3">
          <cell r="A3" t="str">
            <v>코드</v>
          </cell>
          <cell r="B3" t="str">
            <v>수목명</v>
          </cell>
          <cell r="C3" t="str">
            <v>규 격</v>
          </cell>
          <cell r="D3" t="str">
            <v>97'단가</v>
          </cell>
        </row>
        <row r="4">
          <cell r="A4" t="str">
            <v>겹벚R6</v>
          </cell>
          <cell r="B4" t="str">
            <v>겹벚나무</v>
          </cell>
          <cell r="C4" t="str">
            <v>H2.5*R6</v>
          </cell>
          <cell r="D4">
            <v>24300</v>
          </cell>
        </row>
        <row r="5">
          <cell r="A5" t="str">
            <v>겹벚R8</v>
          </cell>
          <cell r="B5" t="str">
            <v>겹벚나무</v>
          </cell>
          <cell r="C5" t="str">
            <v>H3.0*R8</v>
          </cell>
          <cell r="D5">
            <v>71170</v>
          </cell>
        </row>
        <row r="6">
          <cell r="A6" t="str">
            <v>꽃사과R4</v>
          </cell>
          <cell r="B6" t="str">
            <v>꽃사과</v>
          </cell>
          <cell r="C6" t="str">
            <v>H2.0*R4</v>
          </cell>
          <cell r="D6">
            <v>13200</v>
          </cell>
        </row>
        <row r="7">
          <cell r="A7" t="str">
            <v>꽃사과R6</v>
          </cell>
          <cell r="B7" t="str">
            <v>꽃사과</v>
          </cell>
          <cell r="C7" t="str">
            <v>H2.5*R6</v>
          </cell>
          <cell r="D7">
            <v>44200</v>
          </cell>
        </row>
        <row r="8">
          <cell r="A8" t="str">
            <v>꽃사과R8</v>
          </cell>
          <cell r="B8" t="str">
            <v>꽃사과</v>
          </cell>
          <cell r="C8" t="str">
            <v>H2.5*R8</v>
          </cell>
          <cell r="D8">
            <v>50100</v>
          </cell>
        </row>
        <row r="9">
          <cell r="A9" t="str">
            <v>꽃사과R10</v>
          </cell>
          <cell r="B9" t="str">
            <v>꽃사과</v>
          </cell>
          <cell r="C9" t="str">
            <v>H2.5*R10</v>
          </cell>
          <cell r="D9">
            <v>81600</v>
          </cell>
        </row>
        <row r="10">
          <cell r="A10" t="str">
            <v>가래B6</v>
          </cell>
          <cell r="B10" t="str">
            <v>가래나무</v>
          </cell>
          <cell r="C10" t="str">
            <v>H3.0*B6</v>
          </cell>
          <cell r="D10">
            <v>17580</v>
          </cell>
        </row>
        <row r="11">
          <cell r="A11" t="str">
            <v>가래B8</v>
          </cell>
          <cell r="B11" t="str">
            <v>가래나무</v>
          </cell>
          <cell r="C11" t="str">
            <v>H3.5*B8</v>
          </cell>
          <cell r="D11">
            <v>26250</v>
          </cell>
        </row>
        <row r="12">
          <cell r="A12" t="str">
            <v>가래B10</v>
          </cell>
          <cell r="B12" t="str">
            <v>가래나무</v>
          </cell>
          <cell r="C12" t="str">
            <v>H4.0*B10</v>
          </cell>
          <cell r="D12">
            <v>47250</v>
          </cell>
        </row>
        <row r="13">
          <cell r="A13" t="str">
            <v>가래B12</v>
          </cell>
          <cell r="B13" t="str">
            <v>가래나무</v>
          </cell>
          <cell r="C13" t="str">
            <v>H5.0*B12</v>
          </cell>
          <cell r="D13">
            <v>90000</v>
          </cell>
        </row>
        <row r="14">
          <cell r="A14" t="str">
            <v>가래B15</v>
          </cell>
          <cell r="B14" t="str">
            <v>가래나무</v>
          </cell>
          <cell r="C14" t="str">
            <v>H6.0*B15</v>
          </cell>
          <cell r="D14">
            <v>160000</v>
          </cell>
        </row>
        <row r="15">
          <cell r="A15" t="str">
            <v>감R5</v>
          </cell>
          <cell r="B15" t="str">
            <v>감나무</v>
          </cell>
          <cell r="C15" t="str">
            <v>H2.0*R5</v>
          </cell>
          <cell r="D15">
            <v>21700</v>
          </cell>
        </row>
        <row r="16">
          <cell r="A16" t="str">
            <v>감R6</v>
          </cell>
          <cell r="B16" t="str">
            <v>감나무</v>
          </cell>
          <cell r="C16" t="str">
            <v>H2.0*R6</v>
          </cell>
          <cell r="D16">
            <v>50400</v>
          </cell>
        </row>
        <row r="17">
          <cell r="A17" t="str">
            <v>감R7</v>
          </cell>
          <cell r="B17" t="str">
            <v>감나무</v>
          </cell>
          <cell r="C17" t="str">
            <v>H2.5*R7</v>
          </cell>
          <cell r="D17">
            <v>47500</v>
          </cell>
        </row>
        <row r="18">
          <cell r="A18" t="str">
            <v>감R8</v>
          </cell>
          <cell r="B18" t="str">
            <v>감나무</v>
          </cell>
          <cell r="C18" t="str">
            <v>H2.5*R8</v>
          </cell>
          <cell r="D18">
            <v>81900</v>
          </cell>
        </row>
        <row r="19">
          <cell r="A19" t="str">
            <v>감R10</v>
          </cell>
          <cell r="B19" t="str">
            <v>감나무</v>
          </cell>
          <cell r="C19" t="str">
            <v>H3.0*R10</v>
          </cell>
          <cell r="D19">
            <v>84000</v>
          </cell>
        </row>
        <row r="20">
          <cell r="A20" t="str">
            <v>감R12</v>
          </cell>
          <cell r="B20" t="str">
            <v>감나무</v>
          </cell>
          <cell r="C20" t="str">
            <v>H3.5*R12</v>
          </cell>
          <cell r="D20">
            <v>189000</v>
          </cell>
        </row>
        <row r="21">
          <cell r="A21" t="str">
            <v>감R15</v>
          </cell>
          <cell r="B21" t="str">
            <v>감나무</v>
          </cell>
          <cell r="C21" t="str">
            <v>H4.0*R15</v>
          </cell>
          <cell r="D21">
            <v>158000</v>
          </cell>
        </row>
        <row r="22">
          <cell r="A22" t="str">
            <v>계수R5</v>
          </cell>
          <cell r="B22" t="str">
            <v>계수나무</v>
          </cell>
          <cell r="C22" t="str">
            <v>H2.5*R5</v>
          </cell>
          <cell r="D22">
            <v>25400</v>
          </cell>
        </row>
        <row r="23">
          <cell r="A23" t="str">
            <v>계수R6</v>
          </cell>
          <cell r="B23" t="str">
            <v>계수나무</v>
          </cell>
          <cell r="C23" t="str">
            <v>H3.0*R6</v>
          </cell>
          <cell r="D23">
            <v>30800</v>
          </cell>
        </row>
        <row r="24">
          <cell r="A24" t="str">
            <v>계수R8</v>
          </cell>
          <cell r="B24" t="str">
            <v>계수나무</v>
          </cell>
          <cell r="C24" t="str">
            <v>H3.5*R8</v>
          </cell>
          <cell r="D24">
            <v>89800</v>
          </cell>
        </row>
        <row r="25">
          <cell r="A25" t="str">
            <v>계수R10</v>
          </cell>
          <cell r="B25" t="str">
            <v>계수나무</v>
          </cell>
          <cell r="C25" t="str">
            <v>H4.0*R10</v>
          </cell>
          <cell r="D25">
            <v>108900</v>
          </cell>
        </row>
        <row r="26">
          <cell r="A26" t="str">
            <v>계수R12</v>
          </cell>
          <cell r="B26" t="str">
            <v>계수나무</v>
          </cell>
          <cell r="C26" t="str">
            <v>H4.5*R12</v>
          </cell>
          <cell r="D26">
            <v>169400</v>
          </cell>
        </row>
        <row r="27">
          <cell r="A27" t="str">
            <v>고로쇠R5</v>
          </cell>
          <cell r="B27" t="str">
            <v>고로쇠</v>
          </cell>
          <cell r="C27" t="str">
            <v>H3.0*R5</v>
          </cell>
          <cell r="D27">
            <v>15000</v>
          </cell>
        </row>
        <row r="28">
          <cell r="A28" t="str">
            <v>고로쇠R6</v>
          </cell>
          <cell r="B28" t="str">
            <v>고로쇠</v>
          </cell>
          <cell r="C28" t="str">
            <v>H3.0*R6</v>
          </cell>
          <cell r="D28">
            <v>22000</v>
          </cell>
        </row>
        <row r="29">
          <cell r="A29" t="str">
            <v>고로쇠R8</v>
          </cell>
          <cell r="B29" t="str">
            <v>고로쇠</v>
          </cell>
          <cell r="C29" t="str">
            <v>H3.5*R8</v>
          </cell>
          <cell r="D29">
            <v>40000</v>
          </cell>
        </row>
        <row r="30">
          <cell r="A30" t="str">
            <v>고로쇠R10</v>
          </cell>
          <cell r="B30" t="str">
            <v>고로쇠</v>
          </cell>
          <cell r="C30" t="str">
            <v>H4.0*R10</v>
          </cell>
          <cell r="D30">
            <v>80000</v>
          </cell>
        </row>
        <row r="31">
          <cell r="A31" t="str">
            <v>고로쇠R12</v>
          </cell>
          <cell r="B31" t="str">
            <v>고로쇠</v>
          </cell>
          <cell r="C31" t="str">
            <v>H4.5*R12</v>
          </cell>
          <cell r="D31">
            <v>130000</v>
          </cell>
        </row>
        <row r="32">
          <cell r="A32" t="str">
            <v>고로쇠R15</v>
          </cell>
          <cell r="B32" t="str">
            <v>고로쇠</v>
          </cell>
          <cell r="C32" t="str">
            <v>H4.5*R15</v>
          </cell>
          <cell r="D32">
            <v>250000</v>
          </cell>
        </row>
        <row r="33">
          <cell r="A33" t="str">
            <v>꽃복숭아R3</v>
          </cell>
          <cell r="B33" t="str">
            <v>꽃복숭아</v>
          </cell>
          <cell r="C33" t="str">
            <v>H1.5*R3</v>
          </cell>
          <cell r="D33">
            <v>13500</v>
          </cell>
        </row>
        <row r="34">
          <cell r="A34" t="str">
            <v>꽃복숭아R4</v>
          </cell>
          <cell r="B34" t="str">
            <v>꽃복숭아</v>
          </cell>
          <cell r="C34" t="str">
            <v>H2.0*R4</v>
          </cell>
          <cell r="D34">
            <v>25600</v>
          </cell>
        </row>
        <row r="35">
          <cell r="A35" t="str">
            <v>꽃복숭아R5</v>
          </cell>
          <cell r="B35" t="str">
            <v>꽃복숭아</v>
          </cell>
          <cell r="C35" t="str">
            <v>H2.5*R5</v>
          </cell>
          <cell r="D35">
            <v>55600</v>
          </cell>
        </row>
        <row r="36">
          <cell r="A36" t="str">
            <v>꽃아그배R4</v>
          </cell>
          <cell r="B36" t="str">
            <v>꽃아그배</v>
          </cell>
          <cell r="C36" t="str">
            <v>H2.5*R4</v>
          </cell>
          <cell r="D36">
            <v>18900</v>
          </cell>
        </row>
        <row r="37">
          <cell r="A37" t="str">
            <v>꽃아그배R6</v>
          </cell>
          <cell r="B37" t="str">
            <v>꽃아그배</v>
          </cell>
          <cell r="C37" t="str">
            <v>H2.5*R6</v>
          </cell>
          <cell r="D37">
            <v>52600</v>
          </cell>
        </row>
        <row r="38">
          <cell r="A38" t="str">
            <v>꽃아그배R8</v>
          </cell>
          <cell r="B38" t="str">
            <v>꽃아그배</v>
          </cell>
          <cell r="C38" t="str">
            <v>H3.0*R8</v>
          </cell>
          <cell r="D38">
            <v>98600</v>
          </cell>
        </row>
        <row r="39">
          <cell r="A39" t="str">
            <v>꽃아그배R10</v>
          </cell>
          <cell r="B39" t="str">
            <v>꽃아그배</v>
          </cell>
          <cell r="C39" t="str">
            <v>H3.5*R10</v>
          </cell>
          <cell r="D39">
            <v>148200</v>
          </cell>
        </row>
        <row r="40">
          <cell r="A40" t="str">
            <v>꽃산딸R5</v>
          </cell>
          <cell r="B40" t="str">
            <v>꽃산딸나무</v>
          </cell>
          <cell r="C40" t="str">
            <v>H2.0*R5</v>
          </cell>
          <cell r="D40">
            <v>35000</v>
          </cell>
        </row>
        <row r="41">
          <cell r="A41" t="str">
            <v>꽃산딸R7</v>
          </cell>
          <cell r="B41" t="str">
            <v>꽃산딸나무</v>
          </cell>
          <cell r="C41" t="str">
            <v>H2.5*R7</v>
          </cell>
          <cell r="D41">
            <v>60000</v>
          </cell>
        </row>
        <row r="42">
          <cell r="A42" t="str">
            <v>꽃산딸R8</v>
          </cell>
          <cell r="B42" t="str">
            <v>꽃산딸나무</v>
          </cell>
          <cell r="C42" t="str">
            <v>H3.0*R8</v>
          </cell>
          <cell r="D42">
            <v>100000</v>
          </cell>
        </row>
        <row r="43">
          <cell r="A43" t="str">
            <v>꽃산딸R10</v>
          </cell>
          <cell r="B43" t="str">
            <v>꽃산딸나무</v>
          </cell>
          <cell r="C43" t="str">
            <v>H3.5*R10</v>
          </cell>
          <cell r="D43">
            <v>180000</v>
          </cell>
        </row>
        <row r="44">
          <cell r="A44" t="str">
            <v>귀롱R6</v>
          </cell>
          <cell r="B44" t="str">
            <v>귀롱나무</v>
          </cell>
          <cell r="C44" t="str">
            <v>H3.0*R6</v>
          </cell>
          <cell r="D44">
            <v>39000</v>
          </cell>
        </row>
        <row r="45">
          <cell r="A45" t="str">
            <v>귀롱R8</v>
          </cell>
          <cell r="B45" t="str">
            <v>귀롱나무</v>
          </cell>
          <cell r="C45" t="str">
            <v>H3.0*R8</v>
          </cell>
          <cell r="D45">
            <v>70000</v>
          </cell>
        </row>
        <row r="46">
          <cell r="A46" t="str">
            <v>귀롱R10</v>
          </cell>
          <cell r="B46" t="str">
            <v>귀롱나무</v>
          </cell>
          <cell r="C46" t="str">
            <v>H3.5*R10</v>
          </cell>
          <cell r="D46">
            <v>115000</v>
          </cell>
        </row>
        <row r="47">
          <cell r="A47" t="str">
            <v>귀롱R12</v>
          </cell>
          <cell r="B47" t="str">
            <v>귀롱나무</v>
          </cell>
          <cell r="C47" t="str">
            <v>H3.5*R12</v>
          </cell>
          <cell r="D47">
            <v>180000</v>
          </cell>
        </row>
        <row r="48">
          <cell r="A48" t="str">
            <v>낙우송R5</v>
          </cell>
          <cell r="B48" t="str">
            <v>낙우송</v>
          </cell>
          <cell r="C48" t="str">
            <v>H2.5*R5</v>
          </cell>
          <cell r="D48">
            <v>16000</v>
          </cell>
        </row>
        <row r="49">
          <cell r="A49" t="str">
            <v>낙우송R6</v>
          </cell>
          <cell r="B49" t="str">
            <v>낙우송</v>
          </cell>
          <cell r="C49" t="str">
            <v>H3.0*R6</v>
          </cell>
          <cell r="D49">
            <v>24600</v>
          </cell>
        </row>
        <row r="50">
          <cell r="A50" t="str">
            <v>낙우송R8</v>
          </cell>
          <cell r="B50" t="str">
            <v>낙우송</v>
          </cell>
          <cell r="C50" t="str">
            <v>H3.5*R8</v>
          </cell>
          <cell r="D50">
            <v>43500</v>
          </cell>
        </row>
        <row r="51">
          <cell r="A51" t="str">
            <v>낙우송R10</v>
          </cell>
          <cell r="B51" t="str">
            <v>낙우송</v>
          </cell>
          <cell r="C51" t="str">
            <v>H4.0*R10</v>
          </cell>
          <cell r="D51">
            <v>83400</v>
          </cell>
        </row>
        <row r="52">
          <cell r="A52" t="str">
            <v>낙우송R12</v>
          </cell>
          <cell r="B52" t="str">
            <v>낙우송</v>
          </cell>
          <cell r="C52" t="str">
            <v>H4.0*R12</v>
          </cell>
          <cell r="D52">
            <v>244540</v>
          </cell>
        </row>
        <row r="53">
          <cell r="A53" t="str">
            <v>노각R4</v>
          </cell>
          <cell r="B53" t="str">
            <v>노각나무</v>
          </cell>
          <cell r="C53" t="str">
            <v>H2.0*R4</v>
          </cell>
          <cell r="D53">
            <v>31000</v>
          </cell>
        </row>
        <row r="54">
          <cell r="A54" t="str">
            <v>노각R6</v>
          </cell>
          <cell r="B54" t="str">
            <v>노각나무</v>
          </cell>
          <cell r="C54" t="str">
            <v>H2.5*R6</v>
          </cell>
          <cell r="D54">
            <v>50000</v>
          </cell>
        </row>
        <row r="55">
          <cell r="A55" t="str">
            <v>노각R8</v>
          </cell>
          <cell r="B55" t="str">
            <v>노각나무</v>
          </cell>
          <cell r="C55" t="str">
            <v>H3.0*R8</v>
          </cell>
          <cell r="D55">
            <v>130000</v>
          </cell>
        </row>
        <row r="56">
          <cell r="A56" t="str">
            <v>노각R10</v>
          </cell>
          <cell r="B56" t="str">
            <v>노각나무</v>
          </cell>
          <cell r="C56" t="str">
            <v>H3.5*R10</v>
          </cell>
          <cell r="D56">
            <v>290000</v>
          </cell>
        </row>
        <row r="57">
          <cell r="A57" t="str">
            <v>노각R12</v>
          </cell>
          <cell r="B57" t="str">
            <v>노각나무</v>
          </cell>
          <cell r="C57" t="str">
            <v>H3.5*R12</v>
          </cell>
          <cell r="D57">
            <v>430000</v>
          </cell>
        </row>
        <row r="58">
          <cell r="A58" t="str">
            <v>노각R15</v>
          </cell>
          <cell r="B58" t="str">
            <v>노각나무</v>
          </cell>
          <cell r="C58" t="str">
            <v>H4.0*R15</v>
          </cell>
          <cell r="D58">
            <v>800000</v>
          </cell>
        </row>
        <row r="59">
          <cell r="A59" t="str">
            <v>노르웨이단풍R4</v>
          </cell>
          <cell r="B59" t="str">
            <v>노르웨이단풍</v>
          </cell>
          <cell r="C59" t="str">
            <v>H2.5*R4</v>
          </cell>
          <cell r="D59">
            <v>24800</v>
          </cell>
        </row>
        <row r="60">
          <cell r="A60" t="str">
            <v>노르웨이단풍R5</v>
          </cell>
          <cell r="B60" t="str">
            <v>노르웨이단풍</v>
          </cell>
          <cell r="C60" t="str">
            <v>H3.0*R5</v>
          </cell>
          <cell r="D60">
            <v>36600</v>
          </cell>
        </row>
        <row r="61">
          <cell r="A61" t="str">
            <v>노르웨이단풍R6</v>
          </cell>
          <cell r="B61" t="str">
            <v>노르웨이단풍</v>
          </cell>
          <cell r="C61" t="str">
            <v>H3.0*R6</v>
          </cell>
          <cell r="D61">
            <v>54300</v>
          </cell>
        </row>
        <row r="62">
          <cell r="A62" t="str">
            <v>노르웨이단풍R8</v>
          </cell>
          <cell r="B62" t="str">
            <v>노르웨이단풍</v>
          </cell>
          <cell r="C62" t="str">
            <v>H3.5*R8</v>
          </cell>
          <cell r="D62">
            <v>85200</v>
          </cell>
        </row>
        <row r="63">
          <cell r="A63" t="str">
            <v>노르웨이단풍R10</v>
          </cell>
          <cell r="B63" t="str">
            <v>노르웨이단풍</v>
          </cell>
          <cell r="C63" t="str">
            <v>H4.0*R10</v>
          </cell>
          <cell r="D63">
            <v>120500</v>
          </cell>
        </row>
        <row r="64">
          <cell r="A64" t="str">
            <v>노르웨이단풍R12</v>
          </cell>
          <cell r="B64" t="str">
            <v>노르웨이단풍</v>
          </cell>
          <cell r="C64" t="str">
            <v>H4.0*R12</v>
          </cell>
          <cell r="D64">
            <v>220600</v>
          </cell>
        </row>
        <row r="65">
          <cell r="A65" t="str">
            <v>노르웨이단풍R15</v>
          </cell>
          <cell r="B65" t="str">
            <v>노르웨이단풍</v>
          </cell>
          <cell r="C65" t="str">
            <v>H4.5*R15</v>
          </cell>
          <cell r="D65">
            <v>367400</v>
          </cell>
        </row>
        <row r="66">
          <cell r="A66" t="str">
            <v>느릅R4</v>
          </cell>
          <cell r="B66" t="str">
            <v>느릅나무</v>
          </cell>
          <cell r="C66" t="str">
            <v>H2.5*R4</v>
          </cell>
          <cell r="D66">
            <v>13900</v>
          </cell>
        </row>
        <row r="67">
          <cell r="A67" t="str">
            <v>느릅R5</v>
          </cell>
          <cell r="B67" t="str">
            <v>느릅나무</v>
          </cell>
          <cell r="C67" t="str">
            <v>H3.0*R5</v>
          </cell>
          <cell r="D67">
            <v>22800</v>
          </cell>
        </row>
        <row r="68">
          <cell r="A68" t="str">
            <v>느릅R8</v>
          </cell>
          <cell r="B68" t="str">
            <v>느릅나무</v>
          </cell>
          <cell r="C68" t="str">
            <v>H3.5*R8</v>
          </cell>
          <cell r="D68">
            <v>40200</v>
          </cell>
        </row>
        <row r="69">
          <cell r="A69" t="str">
            <v>느릅R10</v>
          </cell>
          <cell r="B69" t="str">
            <v>느릅나무</v>
          </cell>
          <cell r="C69" t="str">
            <v>H4.0*R10</v>
          </cell>
          <cell r="D69">
            <v>81200</v>
          </cell>
        </row>
        <row r="70">
          <cell r="A70" t="str">
            <v>느티R5</v>
          </cell>
          <cell r="B70" t="str">
            <v>느티나무</v>
          </cell>
          <cell r="C70" t="str">
            <v>H3.0*R5</v>
          </cell>
          <cell r="D70">
            <v>21500</v>
          </cell>
        </row>
        <row r="71">
          <cell r="A71" t="str">
            <v>느티R6</v>
          </cell>
          <cell r="B71" t="str">
            <v>느티나무</v>
          </cell>
          <cell r="C71" t="str">
            <v>H3.0*R6</v>
          </cell>
          <cell r="D71">
            <v>32400</v>
          </cell>
        </row>
        <row r="72">
          <cell r="A72" t="str">
            <v>느티R8</v>
          </cell>
          <cell r="B72" t="str">
            <v>느티나무</v>
          </cell>
          <cell r="C72" t="str">
            <v>H3.5*R8</v>
          </cell>
          <cell r="D72">
            <v>65700</v>
          </cell>
        </row>
        <row r="73">
          <cell r="A73" t="str">
            <v>느티R10</v>
          </cell>
          <cell r="B73" t="str">
            <v>느티나무</v>
          </cell>
          <cell r="C73" t="str">
            <v>H3.5*R10</v>
          </cell>
          <cell r="D73">
            <v>119000</v>
          </cell>
        </row>
        <row r="74">
          <cell r="A74" t="str">
            <v>느티R12</v>
          </cell>
          <cell r="B74" t="str">
            <v>느티나무</v>
          </cell>
          <cell r="C74" t="str">
            <v>H4.0*R12</v>
          </cell>
          <cell r="D74">
            <v>180000</v>
          </cell>
        </row>
        <row r="75">
          <cell r="A75" t="str">
            <v>느티R15</v>
          </cell>
          <cell r="B75" t="str">
            <v>느티나무</v>
          </cell>
          <cell r="C75" t="str">
            <v>H4.0*R15</v>
          </cell>
          <cell r="D75">
            <v>374000</v>
          </cell>
        </row>
        <row r="76">
          <cell r="A76" t="str">
            <v>느티R18</v>
          </cell>
          <cell r="B76" t="str">
            <v>느티나무</v>
          </cell>
          <cell r="C76" t="str">
            <v>H4.0*R18</v>
          </cell>
          <cell r="D76">
            <v>533300</v>
          </cell>
        </row>
        <row r="77">
          <cell r="A77" t="str">
            <v>느티R20</v>
          </cell>
          <cell r="B77" t="str">
            <v>느티나무</v>
          </cell>
          <cell r="C77" t="str">
            <v>H4.0*R20</v>
          </cell>
          <cell r="D77">
            <v>730000</v>
          </cell>
        </row>
        <row r="78">
          <cell r="A78" t="str">
            <v>느티R25</v>
          </cell>
          <cell r="B78" t="str">
            <v>느티나무</v>
          </cell>
          <cell r="C78" t="str">
            <v>H4.0*R25</v>
          </cell>
          <cell r="D78">
            <v>926000</v>
          </cell>
        </row>
        <row r="79">
          <cell r="A79" t="str">
            <v>느티R30</v>
          </cell>
          <cell r="B79" t="str">
            <v>느티나무</v>
          </cell>
          <cell r="C79" t="str">
            <v>H5.0*R30</v>
          </cell>
          <cell r="D79">
            <v>2491500</v>
          </cell>
        </row>
        <row r="80">
          <cell r="A80" t="str">
            <v>능소화R2</v>
          </cell>
          <cell r="B80" t="str">
            <v>능소화</v>
          </cell>
          <cell r="C80" t="str">
            <v>H2.0*R2</v>
          </cell>
          <cell r="D80">
            <v>23600</v>
          </cell>
        </row>
        <row r="81">
          <cell r="A81" t="str">
            <v>능소화R4</v>
          </cell>
          <cell r="B81" t="str">
            <v>능소화</v>
          </cell>
          <cell r="C81" t="str">
            <v>H2.5*R4</v>
          </cell>
          <cell r="D81">
            <v>72600</v>
          </cell>
        </row>
        <row r="82">
          <cell r="A82" t="str">
            <v>능소화R6</v>
          </cell>
          <cell r="B82" t="str">
            <v>능소화</v>
          </cell>
          <cell r="C82" t="str">
            <v>H3.0*R6</v>
          </cell>
          <cell r="D82">
            <v>175300</v>
          </cell>
        </row>
        <row r="83">
          <cell r="A83" t="str">
            <v>다릅R4</v>
          </cell>
          <cell r="B83" t="str">
            <v>다릅나무</v>
          </cell>
          <cell r="C83" t="str">
            <v>H2.5*R4</v>
          </cell>
          <cell r="D83">
            <v>24000</v>
          </cell>
        </row>
        <row r="84">
          <cell r="A84" t="str">
            <v>다릅R6</v>
          </cell>
          <cell r="B84" t="str">
            <v>다릅나무</v>
          </cell>
          <cell r="C84" t="str">
            <v>H3.0*R6</v>
          </cell>
          <cell r="D84">
            <v>33000</v>
          </cell>
        </row>
        <row r="85">
          <cell r="A85" t="str">
            <v>다릅R8</v>
          </cell>
          <cell r="B85" t="str">
            <v>다릅나무</v>
          </cell>
          <cell r="C85" t="str">
            <v>H3.5*R8</v>
          </cell>
          <cell r="D85">
            <v>68000</v>
          </cell>
        </row>
        <row r="86">
          <cell r="A86" t="str">
            <v>다릅R10</v>
          </cell>
          <cell r="B86" t="str">
            <v>다릅나무</v>
          </cell>
          <cell r="C86" t="str">
            <v>H4.0*R10</v>
          </cell>
          <cell r="D86">
            <v>126000</v>
          </cell>
        </row>
        <row r="87">
          <cell r="A87" t="str">
            <v>대왕참R5</v>
          </cell>
          <cell r="B87" t="str">
            <v>대왕참나무</v>
          </cell>
          <cell r="C87" t="str">
            <v>H2.5*R5</v>
          </cell>
          <cell r="D87">
            <v>39600</v>
          </cell>
        </row>
        <row r="88">
          <cell r="A88" t="str">
            <v>대왕참R6</v>
          </cell>
          <cell r="B88" t="str">
            <v>대왕참나무</v>
          </cell>
          <cell r="C88" t="str">
            <v>H3.0*R6</v>
          </cell>
          <cell r="D88">
            <v>82300</v>
          </cell>
        </row>
        <row r="89">
          <cell r="A89" t="str">
            <v>대왕참R8</v>
          </cell>
          <cell r="B89" t="str">
            <v>대왕참나무</v>
          </cell>
          <cell r="C89" t="str">
            <v>H3.0*R8</v>
          </cell>
          <cell r="D89">
            <v>116000</v>
          </cell>
        </row>
        <row r="90">
          <cell r="A90" t="str">
            <v>대왕참R10</v>
          </cell>
          <cell r="B90" t="str">
            <v>대왕참나무</v>
          </cell>
          <cell r="C90" t="str">
            <v>H3.0*R10</v>
          </cell>
          <cell r="D90">
            <v>172000</v>
          </cell>
        </row>
        <row r="91">
          <cell r="A91" t="str">
            <v>대왕참R12</v>
          </cell>
          <cell r="B91" t="str">
            <v>대왕참나무</v>
          </cell>
          <cell r="C91" t="str">
            <v>H3.5*R12</v>
          </cell>
          <cell r="D91">
            <v>240000</v>
          </cell>
        </row>
        <row r="92">
          <cell r="A92" t="str">
            <v>대왕참R15</v>
          </cell>
          <cell r="B92" t="str">
            <v>대왕참나무</v>
          </cell>
          <cell r="C92" t="str">
            <v>H3.5*R15</v>
          </cell>
          <cell r="D92">
            <v>309000</v>
          </cell>
        </row>
        <row r="93">
          <cell r="A93" t="str">
            <v>대왕참R18</v>
          </cell>
          <cell r="B93" t="str">
            <v>대왕참나무</v>
          </cell>
          <cell r="C93" t="str">
            <v>H4.0*R18</v>
          </cell>
          <cell r="D93">
            <v>450000</v>
          </cell>
        </row>
        <row r="94">
          <cell r="A94" t="str">
            <v>대왕참R20</v>
          </cell>
          <cell r="B94" t="str">
            <v>대왕참나무</v>
          </cell>
          <cell r="C94" t="str">
            <v>H4.0*R20</v>
          </cell>
          <cell r="D94">
            <v>600000</v>
          </cell>
        </row>
        <row r="95">
          <cell r="A95" t="str">
            <v>대추R4</v>
          </cell>
          <cell r="B95" t="str">
            <v>대추나무</v>
          </cell>
          <cell r="C95" t="str">
            <v>H2.5*R4</v>
          </cell>
          <cell r="D95">
            <v>12200</v>
          </cell>
        </row>
        <row r="96">
          <cell r="A96" t="str">
            <v>대추R5</v>
          </cell>
          <cell r="B96" t="str">
            <v>대추나무</v>
          </cell>
          <cell r="C96" t="str">
            <v>H2.5*R5</v>
          </cell>
          <cell r="D96">
            <v>25200</v>
          </cell>
        </row>
        <row r="97">
          <cell r="A97" t="str">
            <v>대추R6</v>
          </cell>
          <cell r="B97" t="str">
            <v>대추나무</v>
          </cell>
          <cell r="C97" t="str">
            <v>H3.0*R6</v>
          </cell>
          <cell r="D97">
            <v>30200</v>
          </cell>
        </row>
        <row r="98">
          <cell r="A98" t="str">
            <v>대추R8</v>
          </cell>
          <cell r="B98" t="str">
            <v>대추나무</v>
          </cell>
          <cell r="C98" t="str">
            <v>H3.5*R8</v>
          </cell>
          <cell r="D98">
            <v>57200</v>
          </cell>
        </row>
        <row r="99">
          <cell r="A99" t="str">
            <v>대추R10</v>
          </cell>
          <cell r="B99" t="str">
            <v>대추나무</v>
          </cell>
          <cell r="C99" t="str">
            <v>H4.0*R10</v>
          </cell>
          <cell r="D99">
            <v>121000</v>
          </cell>
        </row>
        <row r="100">
          <cell r="A100" t="str">
            <v>때죽R4</v>
          </cell>
          <cell r="B100" t="str">
            <v>때죽나무</v>
          </cell>
          <cell r="C100" t="str">
            <v>H2.0*R4</v>
          </cell>
          <cell r="D100">
            <v>25400</v>
          </cell>
        </row>
        <row r="101">
          <cell r="A101" t="str">
            <v>때죽R6</v>
          </cell>
          <cell r="B101" t="str">
            <v>때죽나무</v>
          </cell>
          <cell r="C101" t="str">
            <v>H2.0*R6</v>
          </cell>
          <cell r="D101">
            <v>40300</v>
          </cell>
        </row>
        <row r="102">
          <cell r="A102" t="str">
            <v>때죽R8</v>
          </cell>
          <cell r="B102" t="str">
            <v>때죽나무</v>
          </cell>
          <cell r="C102" t="str">
            <v>H2.5*R8</v>
          </cell>
          <cell r="D102">
            <v>77700</v>
          </cell>
        </row>
        <row r="103">
          <cell r="A103" t="str">
            <v>때죽R10</v>
          </cell>
          <cell r="B103" t="str">
            <v>때죽나무</v>
          </cell>
          <cell r="C103" t="str">
            <v>H3.0*R10</v>
          </cell>
          <cell r="D103">
            <v>134000</v>
          </cell>
        </row>
        <row r="104">
          <cell r="A104" t="str">
            <v>두충R4</v>
          </cell>
          <cell r="B104" t="str">
            <v>두충나무</v>
          </cell>
          <cell r="C104" t="str">
            <v>H2.5*R4</v>
          </cell>
          <cell r="D104">
            <v>18800</v>
          </cell>
        </row>
        <row r="105">
          <cell r="A105" t="str">
            <v>두충R6</v>
          </cell>
          <cell r="B105" t="str">
            <v>두충나무</v>
          </cell>
          <cell r="C105" t="str">
            <v>H3.0*R6</v>
          </cell>
          <cell r="D105">
            <v>32300</v>
          </cell>
        </row>
        <row r="106">
          <cell r="A106" t="str">
            <v>두충R8</v>
          </cell>
          <cell r="B106" t="str">
            <v>두충나무</v>
          </cell>
          <cell r="C106" t="str">
            <v>H3.5*R8</v>
          </cell>
          <cell r="D106">
            <v>51400</v>
          </cell>
        </row>
        <row r="107">
          <cell r="A107" t="str">
            <v>두충R10</v>
          </cell>
          <cell r="B107" t="str">
            <v>두충나무</v>
          </cell>
          <cell r="C107" t="str">
            <v>H4.0*R10</v>
          </cell>
          <cell r="D107">
            <v>113100</v>
          </cell>
        </row>
        <row r="108">
          <cell r="A108" t="str">
            <v>두충R12</v>
          </cell>
          <cell r="B108" t="str">
            <v>두충나무</v>
          </cell>
          <cell r="C108" t="str">
            <v>H4.0*R12</v>
          </cell>
          <cell r="D108">
            <v>200000</v>
          </cell>
        </row>
        <row r="109">
          <cell r="A109" t="str">
            <v>두충R15</v>
          </cell>
          <cell r="B109" t="str">
            <v>두충나무</v>
          </cell>
          <cell r="C109" t="str">
            <v>H5.0*R15</v>
          </cell>
          <cell r="D109">
            <v>353100</v>
          </cell>
        </row>
        <row r="110">
          <cell r="A110" t="str">
            <v>들메R5</v>
          </cell>
          <cell r="B110" t="str">
            <v>들메나무</v>
          </cell>
          <cell r="C110" t="str">
            <v>H3.0*R5</v>
          </cell>
          <cell r="D110">
            <v>22000</v>
          </cell>
        </row>
        <row r="111">
          <cell r="A111" t="str">
            <v>들메R6</v>
          </cell>
          <cell r="B111" t="str">
            <v>들메나무</v>
          </cell>
          <cell r="C111" t="str">
            <v>H3.0*R6</v>
          </cell>
          <cell r="D111">
            <v>36000</v>
          </cell>
        </row>
        <row r="112">
          <cell r="A112" t="str">
            <v>들메R8</v>
          </cell>
          <cell r="B112" t="str">
            <v>들메나무</v>
          </cell>
          <cell r="C112" t="str">
            <v>H3.5*R8</v>
          </cell>
          <cell r="D112">
            <v>53000</v>
          </cell>
        </row>
        <row r="113">
          <cell r="A113" t="str">
            <v>루브라참R5</v>
          </cell>
          <cell r="B113" t="str">
            <v>루브라참나무</v>
          </cell>
          <cell r="C113" t="str">
            <v>H2.5*R5</v>
          </cell>
          <cell r="D113">
            <v>36900</v>
          </cell>
        </row>
        <row r="114">
          <cell r="A114" t="str">
            <v>루브라참R6</v>
          </cell>
          <cell r="B114" t="str">
            <v>루브라참나무</v>
          </cell>
          <cell r="C114" t="str">
            <v>H2.5*R6</v>
          </cell>
          <cell r="D114">
            <v>66700</v>
          </cell>
        </row>
        <row r="115">
          <cell r="A115" t="str">
            <v>루브라참R8</v>
          </cell>
          <cell r="B115" t="str">
            <v>루브라참나무</v>
          </cell>
          <cell r="C115" t="str">
            <v>H3.0*R8</v>
          </cell>
          <cell r="D115">
            <v>105000</v>
          </cell>
        </row>
        <row r="116">
          <cell r="A116" t="str">
            <v>루브라참R10</v>
          </cell>
          <cell r="B116" t="str">
            <v>루브라참나무</v>
          </cell>
          <cell r="C116" t="str">
            <v>H3.0*R10</v>
          </cell>
          <cell r="D116">
            <v>167000</v>
          </cell>
        </row>
        <row r="117">
          <cell r="A117" t="str">
            <v>루브라참R12</v>
          </cell>
          <cell r="B117" t="str">
            <v>루브라참나무</v>
          </cell>
          <cell r="C117" t="str">
            <v>H3.5*R12</v>
          </cell>
          <cell r="D117">
            <v>220000</v>
          </cell>
        </row>
        <row r="118">
          <cell r="A118" t="str">
            <v>루브라참R15</v>
          </cell>
          <cell r="B118" t="str">
            <v>루브라참나무</v>
          </cell>
          <cell r="C118" t="str">
            <v>H4.0*R15</v>
          </cell>
          <cell r="D118">
            <v>291000</v>
          </cell>
        </row>
        <row r="119">
          <cell r="A119" t="str">
            <v>마가R3</v>
          </cell>
          <cell r="B119" t="str">
            <v>마가목</v>
          </cell>
          <cell r="C119" t="str">
            <v>H2.0*R3</v>
          </cell>
          <cell r="D119">
            <v>14900</v>
          </cell>
        </row>
        <row r="120">
          <cell r="A120" t="str">
            <v>마가R5</v>
          </cell>
          <cell r="B120" t="str">
            <v>마가목</v>
          </cell>
          <cell r="C120" t="str">
            <v>H2.5*R5</v>
          </cell>
          <cell r="D120">
            <v>32200</v>
          </cell>
        </row>
        <row r="121">
          <cell r="A121" t="str">
            <v>마가R7</v>
          </cell>
          <cell r="B121" t="str">
            <v>마가목</v>
          </cell>
          <cell r="C121" t="str">
            <v>H3.0*R7</v>
          </cell>
          <cell r="D121">
            <v>131140</v>
          </cell>
        </row>
        <row r="122">
          <cell r="A122" t="str">
            <v>매화R4</v>
          </cell>
          <cell r="B122" t="str">
            <v>매화나무</v>
          </cell>
          <cell r="C122" t="str">
            <v>H2.0*R4</v>
          </cell>
          <cell r="D122">
            <v>10000</v>
          </cell>
        </row>
        <row r="123">
          <cell r="A123" t="str">
            <v>매화R6</v>
          </cell>
          <cell r="B123" t="str">
            <v>매화나무</v>
          </cell>
          <cell r="C123" t="str">
            <v>H3.0*R6</v>
          </cell>
          <cell r="D123">
            <v>24000</v>
          </cell>
        </row>
        <row r="124">
          <cell r="A124" t="str">
            <v>매화R8</v>
          </cell>
          <cell r="B124" t="str">
            <v>매화나무</v>
          </cell>
          <cell r="C124" t="str">
            <v>H3.0*R8</v>
          </cell>
          <cell r="D124">
            <v>35700</v>
          </cell>
        </row>
        <row r="125">
          <cell r="A125" t="str">
            <v>매화R10</v>
          </cell>
          <cell r="B125" t="str">
            <v>매화나무</v>
          </cell>
          <cell r="C125" t="str">
            <v>H3.5*R10</v>
          </cell>
          <cell r="D125">
            <v>162500</v>
          </cell>
        </row>
        <row r="126">
          <cell r="A126" t="str">
            <v>메타B4</v>
          </cell>
          <cell r="B126" t="str">
            <v>메타세콰이아</v>
          </cell>
          <cell r="C126" t="str">
            <v>H2.0*B4</v>
          </cell>
          <cell r="D126">
            <v>19950</v>
          </cell>
        </row>
        <row r="127">
          <cell r="A127" t="str">
            <v>메타B5</v>
          </cell>
          <cell r="B127" t="str">
            <v>메타세콰이아</v>
          </cell>
          <cell r="C127" t="str">
            <v>H2.5*B5</v>
          </cell>
          <cell r="D127">
            <v>28870</v>
          </cell>
        </row>
        <row r="128">
          <cell r="A128" t="str">
            <v>메타B6</v>
          </cell>
          <cell r="B128" t="str">
            <v>메타세콰이아</v>
          </cell>
          <cell r="C128" t="str">
            <v>H3.0*B6</v>
          </cell>
          <cell r="D128">
            <v>30200</v>
          </cell>
        </row>
        <row r="129">
          <cell r="A129" t="str">
            <v>메타B8</v>
          </cell>
          <cell r="B129" t="str">
            <v>메타세콰이아</v>
          </cell>
          <cell r="C129" t="str">
            <v>H3.5*B8</v>
          </cell>
          <cell r="D129">
            <v>98800</v>
          </cell>
        </row>
        <row r="130">
          <cell r="A130" t="str">
            <v>메타B10</v>
          </cell>
          <cell r="B130" t="str">
            <v>메타세콰이아</v>
          </cell>
          <cell r="C130" t="str">
            <v>H4.0*B10</v>
          </cell>
          <cell r="D130">
            <v>158000</v>
          </cell>
        </row>
        <row r="131">
          <cell r="A131" t="str">
            <v>메타B12</v>
          </cell>
          <cell r="B131" t="str">
            <v>메타세콰이아</v>
          </cell>
          <cell r="C131" t="str">
            <v>H4.5*B12</v>
          </cell>
          <cell r="D131">
            <v>202000</v>
          </cell>
        </row>
        <row r="132">
          <cell r="A132" t="str">
            <v>메타B15</v>
          </cell>
          <cell r="B132" t="str">
            <v>메타세콰이아</v>
          </cell>
          <cell r="C132" t="str">
            <v>H5.0*B15</v>
          </cell>
          <cell r="D132">
            <v>370750</v>
          </cell>
        </row>
        <row r="133">
          <cell r="A133" t="str">
            <v>메타B18</v>
          </cell>
          <cell r="B133" t="str">
            <v>메타세콰이아</v>
          </cell>
          <cell r="C133" t="str">
            <v>H5.5*B18</v>
          </cell>
          <cell r="D133">
            <v>617920</v>
          </cell>
        </row>
        <row r="134">
          <cell r="A134" t="str">
            <v>모감주R4</v>
          </cell>
          <cell r="B134" t="str">
            <v>모감주</v>
          </cell>
          <cell r="C134" t="str">
            <v>H2.5*R4</v>
          </cell>
          <cell r="D134">
            <v>24700</v>
          </cell>
        </row>
        <row r="135">
          <cell r="A135" t="str">
            <v>모감주R6</v>
          </cell>
          <cell r="B135" t="str">
            <v>모감주</v>
          </cell>
          <cell r="C135" t="str">
            <v>H3.0*R6</v>
          </cell>
          <cell r="D135">
            <v>50600</v>
          </cell>
        </row>
        <row r="136">
          <cell r="A136" t="str">
            <v>모감주R8</v>
          </cell>
          <cell r="B136" t="str">
            <v>모감주</v>
          </cell>
          <cell r="C136" t="str">
            <v>H3.0*R8</v>
          </cell>
          <cell r="D136">
            <v>88000</v>
          </cell>
        </row>
        <row r="137">
          <cell r="A137" t="str">
            <v>모감주R10</v>
          </cell>
          <cell r="B137" t="str">
            <v>모감주</v>
          </cell>
          <cell r="C137" t="str">
            <v>H3.0*R10</v>
          </cell>
          <cell r="D137">
            <v>176500</v>
          </cell>
        </row>
        <row r="138">
          <cell r="A138" t="str">
            <v>모과W0.5</v>
          </cell>
          <cell r="B138" t="str">
            <v>모과나무</v>
          </cell>
          <cell r="C138" t="str">
            <v>H2.0*W0.5</v>
          </cell>
          <cell r="D138">
            <v>18000</v>
          </cell>
        </row>
        <row r="139">
          <cell r="A139" t="str">
            <v>모과W0.7</v>
          </cell>
          <cell r="B139" t="str">
            <v>모과나무</v>
          </cell>
          <cell r="C139" t="str">
            <v>H2.5*W0.7</v>
          </cell>
          <cell r="D139">
            <v>22800</v>
          </cell>
        </row>
        <row r="140">
          <cell r="A140" t="str">
            <v>모과R5</v>
          </cell>
          <cell r="B140" t="str">
            <v>모과나무</v>
          </cell>
          <cell r="C140" t="str">
            <v>H3.0*R5</v>
          </cell>
          <cell r="D140">
            <v>28200</v>
          </cell>
        </row>
        <row r="141">
          <cell r="A141" t="str">
            <v>모과R8</v>
          </cell>
          <cell r="B141" t="str">
            <v>모과나무</v>
          </cell>
          <cell r="C141" t="str">
            <v>H3.0*R8</v>
          </cell>
          <cell r="D141">
            <v>100500</v>
          </cell>
        </row>
        <row r="142">
          <cell r="A142" t="str">
            <v>모과R10</v>
          </cell>
          <cell r="B142" t="str">
            <v>모과나무</v>
          </cell>
          <cell r="C142" t="str">
            <v>H3.5*R10</v>
          </cell>
          <cell r="D142">
            <v>101000</v>
          </cell>
        </row>
        <row r="143">
          <cell r="A143" t="str">
            <v>모과R12</v>
          </cell>
          <cell r="B143" t="str">
            <v>모과나무</v>
          </cell>
          <cell r="C143" t="str">
            <v>H3.5*R12</v>
          </cell>
          <cell r="D143">
            <v>149000</v>
          </cell>
        </row>
        <row r="144">
          <cell r="A144" t="str">
            <v>모과R15</v>
          </cell>
          <cell r="B144" t="str">
            <v>모과나무</v>
          </cell>
          <cell r="C144" t="str">
            <v>H4.0*R15</v>
          </cell>
          <cell r="D144">
            <v>292000</v>
          </cell>
        </row>
        <row r="145">
          <cell r="A145" t="str">
            <v>모과R20</v>
          </cell>
          <cell r="B145" t="str">
            <v>모과나무</v>
          </cell>
          <cell r="C145" t="str">
            <v>H4.0*R20</v>
          </cell>
          <cell r="D145">
            <v>552000</v>
          </cell>
        </row>
        <row r="146">
          <cell r="A146" t="str">
            <v>모과R25</v>
          </cell>
          <cell r="B146" t="str">
            <v>모과나무</v>
          </cell>
          <cell r="C146" t="str">
            <v>H5.0*R25</v>
          </cell>
          <cell r="D146">
            <v>1699000</v>
          </cell>
        </row>
        <row r="147">
          <cell r="A147" t="str">
            <v>백목련R4</v>
          </cell>
          <cell r="B147" t="str">
            <v>백목련</v>
          </cell>
          <cell r="C147" t="str">
            <v>H2.0*R4</v>
          </cell>
          <cell r="D147">
            <v>13000</v>
          </cell>
        </row>
        <row r="148">
          <cell r="A148" t="str">
            <v>백목련R5</v>
          </cell>
          <cell r="B148" t="str">
            <v>백목련</v>
          </cell>
          <cell r="C148" t="str">
            <v>H2.0*R5</v>
          </cell>
          <cell r="D148">
            <v>18300</v>
          </cell>
        </row>
        <row r="149">
          <cell r="A149" t="str">
            <v>백목련R6</v>
          </cell>
          <cell r="B149" t="str">
            <v>백목련</v>
          </cell>
          <cell r="C149" t="str">
            <v>H2.5*R6</v>
          </cell>
          <cell r="D149">
            <v>36100</v>
          </cell>
        </row>
        <row r="150">
          <cell r="A150" t="str">
            <v>백목련R8</v>
          </cell>
          <cell r="B150" t="str">
            <v>백목련</v>
          </cell>
          <cell r="C150" t="str">
            <v>H2.5*R8</v>
          </cell>
          <cell r="D150">
            <v>65600</v>
          </cell>
        </row>
        <row r="151">
          <cell r="A151" t="str">
            <v>백목련R10</v>
          </cell>
          <cell r="B151" t="str">
            <v>백목련</v>
          </cell>
          <cell r="C151" t="str">
            <v>H3.0*R10</v>
          </cell>
          <cell r="D151">
            <v>108800</v>
          </cell>
        </row>
        <row r="152">
          <cell r="A152" t="str">
            <v>백목련R12</v>
          </cell>
          <cell r="B152" t="str">
            <v>백목련</v>
          </cell>
          <cell r="C152" t="str">
            <v>H3.0*R12</v>
          </cell>
          <cell r="D152">
            <v>200000</v>
          </cell>
        </row>
        <row r="153">
          <cell r="A153" t="str">
            <v>백목련R15</v>
          </cell>
          <cell r="B153" t="str">
            <v>백목련</v>
          </cell>
          <cell r="C153" t="str">
            <v>H3.5*R15</v>
          </cell>
          <cell r="D153">
            <v>329500</v>
          </cell>
        </row>
        <row r="154">
          <cell r="A154" t="str">
            <v>백목련R20</v>
          </cell>
          <cell r="B154" t="str">
            <v>백목련</v>
          </cell>
          <cell r="C154" t="str">
            <v>H4.0*R20</v>
          </cell>
          <cell r="D154">
            <v>612000</v>
          </cell>
        </row>
        <row r="155">
          <cell r="A155" t="str">
            <v>목련R4</v>
          </cell>
          <cell r="B155" t="str">
            <v>목 련</v>
          </cell>
          <cell r="C155" t="str">
            <v>H2.0*R4</v>
          </cell>
          <cell r="D155">
            <v>9100</v>
          </cell>
        </row>
        <row r="156">
          <cell r="A156" t="str">
            <v>목련R5</v>
          </cell>
          <cell r="B156" t="str">
            <v>목 련</v>
          </cell>
          <cell r="C156" t="str">
            <v>H2.0*R5</v>
          </cell>
          <cell r="D156">
            <v>18400</v>
          </cell>
        </row>
        <row r="157">
          <cell r="A157" t="str">
            <v>목련R6</v>
          </cell>
          <cell r="B157" t="str">
            <v>목 련</v>
          </cell>
          <cell r="C157" t="str">
            <v>H2.5*R6</v>
          </cell>
          <cell r="D157">
            <v>35300</v>
          </cell>
        </row>
        <row r="158">
          <cell r="A158" t="str">
            <v>목련R8</v>
          </cell>
          <cell r="B158" t="str">
            <v>목 련</v>
          </cell>
          <cell r="C158" t="str">
            <v>H2.5*R8</v>
          </cell>
          <cell r="D158">
            <v>38800</v>
          </cell>
        </row>
        <row r="159">
          <cell r="A159" t="str">
            <v>목련R10</v>
          </cell>
          <cell r="B159" t="str">
            <v>목 련</v>
          </cell>
          <cell r="C159" t="str">
            <v>H3.0*R10</v>
          </cell>
          <cell r="D159">
            <v>109000</v>
          </cell>
        </row>
        <row r="160">
          <cell r="A160" t="str">
            <v>목련R12</v>
          </cell>
          <cell r="B160" t="str">
            <v>목 련</v>
          </cell>
          <cell r="C160" t="str">
            <v>H3.0*R12</v>
          </cell>
          <cell r="D160">
            <v>195000</v>
          </cell>
        </row>
        <row r="161">
          <cell r="A161" t="str">
            <v>물푸레R5</v>
          </cell>
          <cell r="B161" t="str">
            <v>물푸레나무</v>
          </cell>
          <cell r="C161" t="str">
            <v>H3.0*R5</v>
          </cell>
          <cell r="D161">
            <v>22300</v>
          </cell>
        </row>
        <row r="162">
          <cell r="A162" t="str">
            <v>물푸레R6</v>
          </cell>
          <cell r="B162" t="str">
            <v>물푸레나무</v>
          </cell>
          <cell r="C162" t="str">
            <v>H3.0*R6</v>
          </cell>
          <cell r="D162">
            <v>36400</v>
          </cell>
        </row>
        <row r="163">
          <cell r="A163" t="str">
            <v>물푸레R8</v>
          </cell>
          <cell r="B163" t="str">
            <v>물푸레나무</v>
          </cell>
          <cell r="C163" t="str">
            <v>H3.5*R8</v>
          </cell>
          <cell r="D163">
            <v>52900</v>
          </cell>
        </row>
        <row r="164">
          <cell r="A164" t="str">
            <v>밤R5</v>
          </cell>
          <cell r="B164" t="str">
            <v>밤나무</v>
          </cell>
          <cell r="C164" t="str">
            <v>H2.5*R5</v>
          </cell>
          <cell r="D164">
            <v>13900</v>
          </cell>
        </row>
        <row r="165">
          <cell r="A165" t="str">
            <v>밤R6</v>
          </cell>
          <cell r="B165" t="str">
            <v>밤나무</v>
          </cell>
          <cell r="C165" t="str">
            <v>H2.5*R6</v>
          </cell>
          <cell r="D165">
            <v>18300</v>
          </cell>
        </row>
        <row r="166">
          <cell r="A166" t="str">
            <v>밤R8</v>
          </cell>
          <cell r="B166" t="str">
            <v>밤나무</v>
          </cell>
          <cell r="C166" t="str">
            <v>H3.0*R8</v>
          </cell>
          <cell r="D166">
            <v>28500</v>
          </cell>
        </row>
        <row r="167">
          <cell r="A167" t="str">
            <v>밤R10</v>
          </cell>
          <cell r="B167" t="str">
            <v>밤나무</v>
          </cell>
          <cell r="C167" t="str">
            <v>H3.0*R10</v>
          </cell>
          <cell r="D167">
            <v>67500</v>
          </cell>
        </row>
        <row r="168">
          <cell r="A168" t="str">
            <v>밤R15</v>
          </cell>
          <cell r="B168" t="str">
            <v>밤나무</v>
          </cell>
          <cell r="C168" t="str">
            <v>H3.5*R15</v>
          </cell>
          <cell r="D168">
            <v>129000</v>
          </cell>
        </row>
        <row r="169">
          <cell r="A169" t="str">
            <v>배롱R1</v>
          </cell>
          <cell r="B169" t="str">
            <v>배롱나무</v>
          </cell>
          <cell r="C169" t="str">
            <v xml:space="preserve">H1.0*W0.6*R1 </v>
          </cell>
          <cell r="D169">
            <v>5200</v>
          </cell>
        </row>
        <row r="170">
          <cell r="A170" t="str">
            <v>배롱R2</v>
          </cell>
          <cell r="B170" t="str">
            <v>배롱나무</v>
          </cell>
          <cell r="C170" t="str">
            <v>H1.5*W0.9*R2</v>
          </cell>
          <cell r="D170">
            <v>11700</v>
          </cell>
        </row>
        <row r="171">
          <cell r="A171" t="str">
            <v>배롱R3</v>
          </cell>
          <cell r="B171" t="str">
            <v>배롱나무</v>
          </cell>
          <cell r="C171" t="str">
            <v>H2.0*W1.2*R3</v>
          </cell>
          <cell r="D171">
            <v>18300</v>
          </cell>
        </row>
        <row r="172">
          <cell r="A172" t="str">
            <v>배롱R5</v>
          </cell>
          <cell r="B172" t="str">
            <v>배롱나무</v>
          </cell>
          <cell r="C172" t="str">
            <v xml:space="preserve">H2.5*W1.5*R5 </v>
          </cell>
          <cell r="D172">
            <v>47200</v>
          </cell>
        </row>
        <row r="173">
          <cell r="A173" t="str">
            <v>배롱R7</v>
          </cell>
          <cell r="B173" t="str">
            <v>배롱나무</v>
          </cell>
          <cell r="C173" t="str">
            <v xml:space="preserve">H2.5*R7 </v>
          </cell>
          <cell r="D173">
            <v>153400</v>
          </cell>
        </row>
        <row r="174">
          <cell r="A174" t="str">
            <v>배롱R10</v>
          </cell>
          <cell r="B174" t="str">
            <v>배롱나무</v>
          </cell>
          <cell r="C174" t="str">
            <v>H3.0*R10</v>
          </cell>
          <cell r="D174">
            <v>177000</v>
          </cell>
        </row>
        <row r="175">
          <cell r="A175" t="str">
            <v>배롱R12</v>
          </cell>
          <cell r="B175" t="str">
            <v>배롱나무</v>
          </cell>
          <cell r="C175" t="str">
            <v>H3.0*R12</v>
          </cell>
          <cell r="D175">
            <v>564200</v>
          </cell>
        </row>
        <row r="176">
          <cell r="A176" t="str">
            <v>배롱R15</v>
          </cell>
          <cell r="B176" t="str">
            <v>배롱나무</v>
          </cell>
          <cell r="C176" t="str">
            <v>H3.5*R15</v>
          </cell>
          <cell r="D176">
            <v>552000</v>
          </cell>
        </row>
        <row r="177">
          <cell r="A177" t="str">
            <v>배롱R20</v>
          </cell>
          <cell r="B177" t="str">
            <v>배롱나무</v>
          </cell>
          <cell r="C177" t="str">
            <v>H3.5*R20</v>
          </cell>
          <cell r="D177">
            <v>730000</v>
          </cell>
        </row>
        <row r="178">
          <cell r="A178" t="str">
            <v>벽오동B5</v>
          </cell>
          <cell r="B178" t="str">
            <v>벽오동</v>
          </cell>
          <cell r="C178" t="str">
            <v>H3.0*B5</v>
          </cell>
          <cell r="D178">
            <v>10300</v>
          </cell>
        </row>
        <row r="179">
          <cell r="A179" t="str">
            <v>벽오동B6</v>
          </cell>
          <cell r="B179" t="str">
            <v>벽오동</v>
          </cell>
          <cell r="C179" t="str">
            <v>H3.5*B6</v>
          </cell>
          <cell r="D179">
            <v>13900</v>
          </cell>
        </row>
        <row r="180">
          <cell r="A180" t="str">
            <v>벽오동B8</v>
          </cell>
          <cell r="B180" t="str">
            <v>벽오동</v>
          </cell>
          <cell r="C180" t="str">
            <v>H4.0*B8</v>
          </cell>
          <cell r="D180">
            <v>26200</v>
          </cell>
        </row>
        <row r="181">
          <cell r="A181" t="str">
            <v>복자기R4</v>
          </cell>
          <cell r="B181" t="str">
            <v>복자기</v>
          </cell>
          <cell r="C181" t="str">
            <v>H2.0*R4</v>
          </cell>
          <cell r="D181">
            <v>23100</v>
          </cell>
        </row>
        <row r="182">
          <cell r="A182" t="str">
            <v>복자기R6</v>
          </cell>
          <cell r="B182" t="str">
            <v>복자기</v>
          </cell>
          <cell r="C182" t="str">
            <v>H2.5*R6</v>
          </cell>
          <cell r="D182">
            <v>38200</v>
          </cell>
        </row>
        <row r="183">
          <cell r="A183" t="str">
            <v>복자기R8</v>
          </cell>
          <cell r="B183" t="str">
            <v>복자기</v>
          </cell>
          <cell r="C183" t="str">
            <v>H3.0*R8</v>
          </cell>
          <cell r="D183">
            <v>99750</v>
          </cell>
        </row>
        <row r="184">
          <cell r="A184" t="str">
            <v>복자기R10</v>
          </cell>
          <cell r="B184" t="str">
            <v>복자기</v>
          </cell>
          <cell r="C184" t="str">
            <v>H3.5*R10</v>
          </cell>
          <cell r="D184">
            <v>120000</v>
          </cell>
        </row>
        <row r="185">
          <cell r="A185" t="str">
            <v>비목R4</v>
          </cell>
          <cell r="B185" t="str">
            <v>비목나무</v>
          </cell>
          <cell r="C185" t="str">
            <v>H2.0*R4</v>
          </cell>
          <cell r="D185">
            <v>24700</v>
          </cell>
        </row>
        <row r="186">
          <cell r="A186" t="str">
            <v>비목R6</v>
          </cell>
          <cell r="B186" t="str">
            <v>비목나무</v>
          </cell>
          <cell r="C186" t="str">
            <v>H2.0*R6</v>
          </cell>
          <cell r="D186">
            <v>50800</v>
          </cell>
        </row>
        <row r="187">
          <cell r="A187" t="str">
            <v>비목R8</v>
          </cell>
          <cell r="B187" t="str">
            <v>비목나무</v>
          </cell>
          <cell r="C187" t="str">
            <v>H2.5*R8</v>
          </cell>
          <cell r="D187">
            <v>88000</v>
          </cell>
        </row>
        <row r="188">
          <cell r="A188" t="str">
            <v>비목R10</v>
          </cell>
          <cell r="B188" t="str">
            <v>비목나무</v>
          </cell>
          <cell r="C188" t="str">
            <v>H3.0*R10</v>
          </cell>
          <cell r="D188">
            <v>176500</v>
          </cell>
        </row>
        <row r="189">
          <cell r="A189" t="str">
            <v>보리수R3</v>
          </cell>
          <cell r="B189" t="str">
            <v>보리수</v>
          </cell>
          <cell r="C189" t="str">
            <v>H1.5*R3</v>
          </cell>
          <cell r="D189">
            <v>9400</v>
          </cell>
        </row>
        <row r="190">
          <cell r="A190" t="str">
            <v>보리수R4</v>
          </cell>
          <cell r="B190" t="str">
            <v>보리수</v>
          </cell>
          <cell r="C190" t="str">
            <v>H2.0*R4</v>
          </cell>
          <cell r="D190">
            <v>19000</v>
          </cell>
        </row>
        <row r="191">
          <cell r="A191" t="str">
            <v>산사R4</v>
          </cell>
          <cell r="B191" t="str">
            <v>산사나무</v>
          </cell>
          <cell r="C191" t="str">
            <v>H2.0*R4</v>
          </cell>
          <cell r="D191">
            <v>22000</v>
          </cell>
        </row>
        <row r="192">
          <cell r="A192" t="str">
            <v>산사R5</v>
          </cell>
          <cell r="B192" t="str">
            <v>산사나무</v>
          </cell>
          <cell r="C192" t="str">
            <v>H2.0*R5</v>
          </cell>
          <cell r="D192">
            <v>41100</v>
          </cell>
        </row>
        <row r="193">
          <cell r="A193" t="str">
            <v>산사R6</v>
          </cell>
          <cell r="B193" t="str">
            <v>산사나무</v>
          </cell>
          <cell r="C193" t="str">
            <v>H2.5*R6</v>
          </cell>
          <cell r="D193">
            <v>58800</v>
          </cell>
        </row>
        <row r="194">
          <cell r="A194" t="str">
            <v>산사R8</v>
          </cell>
          <cell r="B194" t="str">
            <v>산사나무</v>
          </cell>
          <cell r="C194" t="str">
            <v>H3.0*R8</v>
          </cell>
          <cell r="D194">
            <v>95400</v>
          </cell>
        </row>
        <row r="195">
          <cell r="A195" t="str">
            <v>산딸R3</v>
          </cell>
          <cell r="B195" t="str">
            <v>산딸나무</v>
          </cell>
          <cell r="C195" t="str">
            <v>H1.5*R3</v>
          </cell>
          <cell r="D195">
            <v>7900</v>
          </cell>
        </row>
        <row r="196">
          <cell r="A196" t="str">
            <v>산딸R5</v>
          </cell>
          <cell r="B196" t="str">
            <v>산딸나무</v>
          </cell>
          <cell r="C196" t="str">
            <v>H2.0*R5</v>
          </cell>
          <cell r="D196">
            <v>16600</v>
          </cell>
        </row>
        <row r="197">
          <cell r="A197" t="str">
            <v>산딸R7</v>
          </cell>
          <cell r="B197" t="str">
            <v>산딸나무</v>
          </cell>
          <cell r="C197" t="str">
            <v>H2.5*R7</v>
          </cell>
          <cell r="D197">
            <v>48900</v>
          </cell>
        </row>
        <row r="198">
          <cell r="A198" t="str">
            <v>산딸R8</v>
          </cell>
          <cell r="B198" t="str">
            <v>산딸나무</v>
          </cell>
          <cell r="C198" t="str">
            <v>H3.0*R8</v>
          </cell>
          <cell r="D198">
            <v>114800</v>
          </cell>
        </row>
        <row r="199">
          <cell r="A199" t="str">
            <v>산딸R10</v>
          </cell>
          <cell r="B199" t="str">
            <v>산딸나무</v>
          </cell>
          <cell r="C199" t="str">
            <v>H3.5*R10</v>
          </cell>
          <cell r="D199">
            <v>180000</v>
          </cell>
        </row>
        <row r="200">
          <cell r="A200" t="str">
            <v>산벚B4</v>
          </cell>
          <cell r="B200" t="str">
            <v>산벚나무</v>
          </cell>
          <cell r="C200" t="str">
            <v>H2.0*B4</v>
          </cell>
          <cell r="D200">
            <v>33700</v>
          </cell>
        </row>
        <row r="201">
          <cell r="A201" t="str">
            <v>산벚B6</v>
          </cell>
          <cell r="B201" t="str">
            <v>산벚나무</v>
          </cell>
          <cell r="C201" t="str">
            <v>H2.5*B6</v>
          </cell>
          <cell r="D201">
            <v>56700</v>
          </cell>
        </row>
        <row r="202">
          <cell r="A202" t="str">
            <v>산벚B8</v>
          </cell>
          <cell r="B202" t="str">
            <v>산벚나무</v>
          </cell>
          <cell r="C202" t="str">
            <v>H3.0*B8</v>
          </cell>
          <cell r="D202">
            <v>78400</v>
          </cell>
        </row>
        <row r="203">
          <cell r="A203" t="str">
            <v>산수유R3</v>
          </cell>
          <cell r="B203" t="str">
            <v>산수유</v>
          </cell>
          <cell r="C203" t="str">
            <v>H1.2*W0.5*R3</v>
          </cell>
          <cell r="D203">
            <v>7400</v>
          </cell>
        </row>
        <row r="204">
          <cell r="A204" t="str">
            <v>산수유R5</v>
          </cell>
          <cell r="B204" t="str">
            <v>산수유</v>
          </cell>
          <cell r="C204" t="str">
            <v>H2.0*W0.9*R5</v>
          </cell>
          <cell r="D204">
            <v>20700</v>
          </cell>
        </row>
        <row r="205">
          <cell r="A205" t="str">
            <v>산수유R6</v>
          </cell>
          <cell r="B205" t="str">
            <v>산수유</v>
          </cell>
          <cell r="C205" t="str">
            <v>H2.5*R6</v>
          </cell>
          <cell r="D205">
            <v>62000</v>
          </cell>
        </row>
        <row r="206">
          <cell r="A206" t="str">
            <v>산수유R8</v>
          </cell>
          <cell r="B206" t="str">
            <v>산수유</v>
          </cell>
          <cell r="C206" t="str">
            <v>H2.5*R8</v>
          </cell>
          <cell r="D206">
            <v>113000</v>
          </cell>
        </row>
        <row r="207">
          <cell r="A207" t="str">
            <v>산수유R10</v>
          </cell>
          <cell r="B207" t="str">
            <v>산수유</v>
          </cell>
          <cell r="C207" t="str">
            <v>H3.0*R10</v>
          </cell>
          <cell r="D207">
            <v>202000</v>
          </cell>
        </row>
        <row r="208">
          <cell r="A208" t="str">
            <v>산수유R12</v>
          </cell>
          <cell r="B208" t="str">
            <v>산수유</v>
          </cell>
          <cell r="C208" t="str">
            <v>H3.0*R12</v>
          </cell>
          <cell r="D208">
            <v>374000</v>
          </cell>
        </row>
        <row r="209">
          <cell r="A209" t="str">
            <v>산단풍R4</v>
          </cell>
          <cell r="B209" t="str">
            <v>산단풍</v>
          </cell>
          <cell r="C209" t="str">
            <v>H2.0*R4</v>
          </cell>
          <cell r="D209">
            <v>16940</v>
          </cell>
        </row>
        <row r="210">
          <cell r="A210" t="str">
            <v>산단풍R5</v>
          </cell>
          <cell r="B210" t="str">
            <v>산단풍</v>
          </cell>
          <cell r="C210" t="str">
            <v>H2.0*R5</v>
          </cell>
          <cell r="D210">
            <v>27720</v>
          </cell>
        </row>
        <row r="211">
          <cell r="A211" t="str">
            <v>산단풍R6</v>
          </cell>
          <cell r="B211" t="str">
            <v>산단풍</v>
          </cell>
          <cell r="C211" t="str">
            <v>H2.0*R6</v>
          </cell>
          <cell r="D211">
            <v>41400</v>
          </cell>
        </row>
        <row r="212">
          <cell r="A212" t="str">
            <v>산단풍R8</v>
          </cell>
          <cell r="B212" t="str">
            <v>산단풍</v>
          </cell>
          <cell r="C212" t="str">
            <v>H2.5*R8</v>
          </cell>
          <cell r="D212">
            <v>79640</v>
          </cell>
        </row>
        <row r="213">
          <cell r="A213" t="str">
            <v>산단풍R10</v>
          </cell>
          <cell r="B213" t="str">
            <v>산단풍</v>
          </cell>
          <cell r="C213" t="str">
            <v>H3.0*R10</v>
          </cell>
          <cell r="D213">
            <v>162910</v>
          </cell>
        </row>
        <row r="214">
          <cell r="A214" t="str">
            <v>산단풍R12</v>
          </cell>
          <cell r="B214" t="str">
            <v>산단풍</v>
          </cell>
          <cell r="C214" t="str">
            <v>H3.5*R12</v>
          </cell>
          <cell r="D214">
            <v>250800</v>
          </cell>
        </row>
        <row r="215">
          <cell r="A215" t="str">
            <v>산단풍R15</v>
          </cell>
          <cell r="B215" t="str">
            <v>산단풍</v>
          </cell>
          <cell r="C215" t="str">
            <v>H3.5*R15</v>
          </cell>
          <cell r="D215">
            <v>453090</v>
          </cell>
        </row>
        <row r="216">
          <cell r="A216" t="str">
            <v>살구R6</v>
          </cell>
          <cell r="B216" t="str">
            <v>살구나무</v>
          </cell>
          <cell r="C216" t="str">
            <v>H2.5*R6</v>
          </cell>
          <cell r="D216">
            <v>18300</v>
          </cell>
        </row>
        <row r="217">
          <cell r="A217" t="str">
            <v>살구R8</v>
          </cell>
          <cell r="B217" t="str">
            <v>살구나무</v>
          </cell>
          <cell r="C217" t="str">
            <v>H3.0*R8</v>
          </cell>
          <cell r="D217">
            <v>31100</v>
          </cell>
        </row>
        <row r="218">
          <cell r="A218" t="str">
            <v>살구R10</v>
          </cell>
          <cell r="B218" t="str">
            <v>살구나무</v>
          </cell>
          <cell r="C218" t="str">
            <v>H3.5*R10</v>
          </cell>
          <cell r="D218">
            <v>177000</v>
          </cell>
        </row>
        <row r="219">
          <cell r="A219" t="str">
            <v>살구R12</v>
          </cell>
          <cell r="B219" t="str">
            <v>살구나무</v>
          </cell>
          <cell r="C219" t="str">
            <v>H4.0*R12</v>
          </cell>
          <cell r="D219">
            <v>321000</v>
          </cell>
        </row>
        <row r="220">
          <cell r="A220" t="str">
            <v>상수리R5</v>
          </cell>
          <cell r="B220" t="str">
            <v>상수리나무</v>
          </cell>
          <cell r="C220" t="str">
            <v>H2.5*R5</v>
          </cell>
          <cell r="D220">
            <v>34900</v>
          </cell>
        </row>
        <row r="221">
          <cell r="A221" t="str">
            <v>상수리R6</v>
          </cell>
          <cell r="B221" t="str">
            <v>상수리나무</v>
          </cell>
          <cell r="C221" t="str">
            <v>H2.5*R6</v>
          </cell>
          <cell r="D221">
            <v>62000</v>
          </cell>
        </row>
        <row r="222">
          <cell r="A222" t="str">
            <v>상수리R8</v>
          </cell>
          <cell r="B222" t="str">
            <v>상수리나무</v>
          </cell>
          <cell r="C222" t="str">
            <v>H3.0*R8</v>
          </cell>
          <cell r="D222">
            <v>111000</v>
          </cell>
        </row>
        <row r="223">
          <cell r="A223" t="str">
            <v>상수리R10</v>
          </cell>
          <cell r="B223" t="str">
            <v>상수리나무</v>
          </cell>
          <cell r="C223" t="str">
            <v>H3.0*R10</v>
          </cell>
          <cell r="D223">
            <v>147000</v>
          </cell>
        </row>
        <row r="224">
          <cell r="A224" t="str">
            <v>상수리R15</v>
          </cell>
          <cell r="B224" t="str">
            <v>상수리나무</v>
          </cell>
          <cell r="C224" t="str">
            <v>H3.5*R15</v>
          </cell>
          <cell r="D224">
            <v>267000</v>
          </cell>
        </row>
        <row r="225">
          <cell r="A225" t="str">
            <v>상수리R20</v>
          </cell>
          <cell r="B225" t="str">
            <v>상수리나무</v>
          </cell>
          <cell r="C225" t="str">
            <v>H4.0*R20</v>
          </cell>
          <cell r="D225">
            <v>463000</v>
          </cell>
        </row>
        <row r="226">
          <cell r="A226" t="str">
            <v>생강H1.2</v>
          </cell>
          <cell r="B226" t="str">
            <v>생강나무</v>
          </cell>
          <cell r="C226" t="str">
            <v>H1.2</v>
          </cell>
          <cell r="D226">
            <v>6200</v>
          </cell>
        </row>
        <row r="227">
          <cell r="A227" t="str">
            <v>생강H1.5</v>
          </cell>
          <cell r="B227" t="str">
            <v>생강나무</v>
          </cell>
          <cell r="C227" t="str">
            <v>H1.5</v>
          </cell>
          <cell r="D227">
            <v>11200</v>
          </cell>
        </row>
        <row r="228">
          <cell r="A228" t="str">
            <v>생강R3</v>
          </cell>
          <cell r="B228" t="str">
            <v>생강나무</v>
          </cell>
          <cell r="C228" t="str">
            <v>H2.0*R3</v>
          </cell>
          <cell r="D228">
            <v>24000</v>
          </cell>
        </row>
        <row r="229">
          <cell r="A229" t="str">
            <v>서어R5</v>
          </cell>
          <cell r="B229" t="str">
            <v>서어나무</v>
          </cell>
          <cell r="C229" t="str">
            <v>H3.0*R5</v>
          </cell>
          <cell r="D229">
            <v>20700</v>
          </cell>
        </row>
        <row r="230">
          <cell r="A230" t="str">
            <v>서어R6</v>
          </cell>
          <cell r="B230" t="str">
            <v>서어나무</v>
          </cell>
          <cell r="C230" t="str">
            <v>H3.0*R6</v>
          </cell>
          <cell r="D230">
            <v>35500</v>
          </cell>
        </row>
        <row r="231">
          <cell r="A231" t="str">
            <v>서어R8</v>
          </cell>
          <cell r="B231" t="str">
            <v>서어나무</v>
          </cell>
          <cell r="C231" t="str">
            <v>H3.5*R8</v>
          </cell>
          <cell r="D231">
            <v>65600</v>
          </cell>
        </row>
        <row r="232">
          <cell r="A232" t="str">
            <v>서어R10</v>
          </cell>
          <cell r="B232" t="str">
            <v>서어나무</v>
          </cell>
          <cell r="C232" t="str">
            <v>H3.5*R10</v>
          </cell>
          <cell r="D232">
            <v>115000</v>
          </cell>
        </row>
        <row r="233">
          <cell r="A233" t="str">
            <v>서어R12</v>
          </cell>
          <cell r="B233" t="str">
            <v>서어나무</v>
          </cell>
          <cell r="C233" t="str">
            <v>H4.0*R12</v>
          </cell>
          <cell r="D233">
            <v>163000</v>
          </cell>
        </row>
        <row r="234">
          <cell r="A234" t="str">
            <v>서어R15</v>
          </cell>
          <cell r="B234" t="str">
            <v>서어나무</v>
          </cell>
          <cell r="C234" t="str">
            <v>H4.0*R15</v>
          </cell>
          <cell r="D234">
            <v>313000</v>
          </cell>
        </row>
        <row r="235">
          <cell r="A235" t="str">
            <v>쉬나무R5</v>
          </cell>
          <cell r="B235" t="str">
            <v>쉬 나무</v>
          </cell>
          <cell r="C235" t="str">
            <v>H2.0*R5</v>
          </cell>
          <cell r="D235">
            <v>21100</v>
          </cell>
        </row>
        <row r="236">
          <cell r="A236" t="str">
            <v>쉬나무R6</v>
          </cell>
          <cell r="B236" t="str">
            <v>쉬 나무</v>
          </cell>
          <cell r="C236" t="str">
            <v>H2.5*R6</v>
          </cell>
          <cell r="D236">
            <v>35200</v>
          </cell>
        </row>
        <row r="237">
          <cell r="A237" t="str">
            <v>쉬나무R8</v>
          </cell>
          <cell r="B237" t="str">
            <v>쉬 나무</v>
          </cell>
          <cell r="C237" t="str">
            <v>H3.0*R8</v>
          </cell>
          <cell r="D237">
            <v>84700</v>
          </cell>
        </row>
        <row r="238">
          <cell r="A238" t="str">
            <v>쉬나무R10</v>
          </cell>
          <cell r="B238" t="str">
            <v>쉬 나무</v>
          </cell>
          <cell r="C238" t="str">
            <v>H3.0*R10</v>
          </cell>
          <cell r="D238">
            <v>153000</v>
          </cell>
        </row>
        <row r="239">
          <cell r="A239" t="str">
            <v>아그배R4</v>
          </cell>
          <cell r="B239" t="str">
            <v>아그배나무</v>
          </cell>
          <cell r="C239" t="str">
            <v>H2.0*R4</v>
          </cell>
          <cell r="D239">
            <v>25000</v>
          </cell>
        </row>
        <row r="240">
          <cell r="A240" t="str">
            <v>야광R4</v>
          </cell>
          <cell r="B240" t="str">
            <v>야광나무</v>
          </cell>
          <cell r="C240" t="str">
            <v>H2.0*R4</v>
          </cell>
          <cell r="D240">
            <v>26000</v>
          </cell>
        </row>
        <row r="241">
          <cell r="A241" t="str">
            <v>야광R6</v>
          </cell>
          <cell r="B241" t="str">
            <v>야광나무</v>
          </cell>
          <cell r="C241" t="str">
            <v>H2.5*R6</v>
          </cell>
          <cell r="D241">
            <v>55000</v>
          </cell>
        </row>
        <row r="242">
          <cell r="A242" t="str">
            <v>야광R8</v>
          </cell>
          <cell r="B242" t="str">
            <v>야광나무</v>
          </cell>
          <cell r="C242" t="str">
            <v>H3.0*R8</v>
          </cell>
          <cell r="D242">
            <v>85000</v>
          </cell>
        </row>
        <row r="243">
          <cell r="A243" t="str">
            <v>야광R10</v>
          </cell>
          <cell r="B243" t="str">
            <v>야광나무</v>
          </cell>
          <cell r="C243" t="str">
            <v>H3.0*R10</v>
          </cell>
          <cell r="D243">
            <v>110000</v>
          </cell>
        </row>
        <row r="244">
          <cell r="A244" t="str">
            <v>왕벚B4</v>
          </cell>
          <cell r="B244" t="str">
            <v>왕벚나무</v>
          </cell>
          <cell r="C244" t="str">
            <v>H2.5*B4</v>
          </cell>
          <cell r="D244">
            <v>18600</v>
          </cell>
        </row>
        <row r="245">
          <cell r="A245" t="str">
            <v>왕벚B5</v>
          </cell>
          <cell r="B245" t="str">
            <v>왕벚나무</v>
          </cell>
          <cell r="C245" t="str">
            <v>H2.5*B5</v>
          </cell>
          <cell r="D245">
            <v>27100</v>
          </cell>
        </row>
        <row r="246">
          <cell r="A246" t="str">
            <v>왕벚B6</v>
          </cell>
          <cell r="B246" t="str">
            <v>왕벚나무</v>
          </cell>
          <cell r="C246" t="str">
            <v>H3.0*B6</v>
          </cell>
          <cell r="D246">
            <v>45900</v>
          </cell>
        </row>
        <row r="247">
          <cell r="A247" t="str">
            <v>왕벚B8</v>
          </cell>
          <cell r="B247" t="str">
            <v>왕벚나무</v>
          </cell>
          <cell r="C247" t="str">
            <v>H3.0*B8</v>
          </cell>
          <cell r="D247">
            <v>62400</v>
          </cell>
        </row>
        <row r="248">
          <cell r="A248" t="str">
            <v>왕벚B10</v>
          </cell>
          <cell r="B248" t="str">
            <v>왕벚나무</v>
          </cell>
          <cell r="C248" t="str">
            <v>H3.5*B10</v>
          </cell>
          <cell r="D248">
            <v>205000</v>
          </cell>
        </row>
        <row r="249">
          <cell r="A249" t="str">
            <v>왕벚B15</v>
          </cell>
          <cell r="B249" t="str">
            <v>왕벚나무</v>
          </cell>
          <cell r="C249" t="str">
            <v>H4.0*B15</v>
          </cell>
          <cell r="D249">
            <v>408700</v>
          </cell>
        </row>
        <row r="250">
          <cell r="A250" t="str">
            <v>은단풍B5</v>
          </cell>
          <cell r="B250" t="str">
            <v>은단풍</v>
          </cell>
          <cell r="C250" t="str">
            <v>H2.5*B5</v>
          </cell>
          <cell r="D250">
            <v>10800</v>
          </cell>
        </row>
        <row r="251">
          <cell r="A251" t="str">
            <v>은단풍B6</v>
          </cell>
          <cell r="B251" t="str">
            <v>은단풍</v>
          </cell>
          <cell r="C251" t="str">
            <v>H3.0*B6</v>
          </cell>
          <cell r="D251">
            <v>13300</v>
          </cell>
        </row>
        <row r="252">
          <cell r="A252" t="str">
            <v>은단풍B8</v>
          </cell>
          <cell r="B252" t="str">
            <v>은단풍</v>
          </cell>
          <cell r="C252" t="str">
            <v>H3.0*B8</v>
          </cell>
          <cell r="D252">
            <v>22600</v>
          </cell>
        </row>
        <row r="253">
          <cell r="A253" t="str">
            <v>은단풍B10</v>
          </cell>
          <cell r="B253" t="str">
            <v>은단풍</v>
          </cell>
          <cell r="C253" t="str">
            <v>H3.5*B10</v>
          </cell>
          <cell r="D253">
            <v>74130</v>
          </cell>
        </row>
        <row r="254">
          <cell r="A254" t="str">
            <v>은단풍B12</v>
          </cell>
          <cell r="B254" t="str">
            <v>은단풍</v>
          </cell>
          <cell r="C254" t="str">
            <v>H3.5*B12</v>
          </cell>
          <cell r="D254">
            <v>123580</v>
          </cell>
        </row>
        <row r="255">
          <cell r="A255" t="str">
            <v>은단풍B15</v>
          </cell>
          <cell r="B255" t="str">
            <v>은단풍</v>
          </cell>
          <cell r="C255" t="str">
            <v>H4.0*B15</v>
          </cell>
          <cell r="D255">
            <v>197710</v>
          </cell>
        </row>
        <row r="256">
          <cell r="A256" t="str">
            <v>은행B4</v>
          </cell>
          <cell r="B256" t="str">
            <v>은행나무</v>
          </cell>
          <cell r="C256" t="str">
            <v>H2.5*B4</v>
          </cell>
          <cell r="D256">
            <v>12700</v>
          </cell>
        </row>
        <row r="257">
          <cell r="A257" t="str">
            <v>은행B6</v>
          </cell>
          <cell r="B257" t="str">
            <v>은행나무</v>
          </cell>
          <cell r="C257" t="str">
            <v>H3.0*B6</v>
          </cell>
          <cell r="D257">
            <v>25400</v>
          </cell>
        </row>
        <row r="258">
          <cell r="A258" t="str">
            <v>은행B8</v>
          </cell>
          <cell r="B258" t="str">
            <v>은행나무</v>
          </cell>
          <cell r="C258" t="str">
            <v>H3.0*B8</v>
          </cell>
          <cell r="D258">
            <v>80000</v>
          </cell>
        </row>
        <row r="259">
          <cell r="A259" t="str">
            <v>은행B10</v>
          </cell>
          <cell r="B259" t="str">
            <v>은행나무</v>
          </cell>
          <cell r="C259" t="str">
            <v>H3.5*B10</v>
          </cell>
          <cell r="D259">
            <v>123000</v>
          </cell>
        </row>
        <row r="260">
          <cell r="A260" t="str">
            <v>은행B12</v>
          </cell>
          <cell r="B260" t="str">
            <v>은행나무</v>
          </cell>
          <cell r="C260" t="str">
            <v>H3.5*B12</v>
          </cell>
          <cell r="D260">
            <v>207000</v>
          </cell>
        </row>
        <row r="261">
          <cell r="A261" t="str">
            <v>은행B15</v>
          </cell>
          <cell r="B261" t="str">
            <v>은행나무</v>
          </cell>
          <cell r="C261" t="str">
            <v>H4.0*B15</v>
          </cell>
          <cell r="D261">
            <v>267000</v>
          </cell>
        </row>
        <row r="262">
          <cell r="A262" t="str">
            <v>은행B18</v>
          </cell>
          <cell r="B262" t="str">
            <v>은행나무</v>
          </cell>
          <cell r="C262" t="str">
            <v>H4.0*B18</v>
          </cell>
          <cell r="D262">
            <v>553200</v>
          </cell>
        </row>
        <row r="263">
          <cell r="A263" t="str">
            <v>은행B20</v>
          </cell>
          <cell r="B263" t="str">
            <v>은행나무</v>
          </cell>
          <cell r="C263" t="str">
            <v>H4.0*B20</v>
          </cell>
          <cell r="D263">
            <v>414000</v>
          </cell>
        </row>
        <row r="264">
          <cell r="A264" t="str">
            <v>은행B25</v>
          </cell>
          <cell r="B264" t="str">
            <v>은행나무</v>
          </cell>
          <cell r="C264" t="str">
            <v>H4.0*B25</v>
          </cell>
          <cell r="D264">
            <v>685000</v>
          </cell>
        </row>
        <row r="265">
          <cell r="A265" t="str">
            <v>은행B30</v>
          </cell>
          <cell r="B265" t="str">
            <v>은행나무</v>
          </cell>
          <cell r="C265" t="str">
            <v>H4.5*B30</v>
          </cell>
          <cell r="D265">
            <v>2924000</v>
          </cell>
        </row>
        <row r="266">
          <cell r="A266" t="str">
            <v>이팝R4</v>
          </cell>
          <cell r="B266" t="str">
            <v>이팝나무</v>
          </cell>
          <cell r="C266" t="str">
            <v>H2.5*R4</v>
          </cell>
          <cell r="D266">
            <v>27300</v>
          </cell>
        </row>
        <row r="267">
          <cell r="A267" t="str">
            <v>이팝R6</v>
          </cell>
          <cell r="B267" t="str">
            <v>이팝나무</v>
          </cell>
          <cell r="C267" t="str">
            <v>H3.0*R6</v>
          </cell>
          <cell r="D267">
            <v>43800</v>
          </cell>
        </row>
        <row r="268">
          <cell r="A268" t="str">
            <v>이팝R8</v>
          </cell>
          <cell r="B268" t="str">
            <v>이팝나무</v>
          </cell>
          <cell r="C268" t="str">
            <v>H3.5*R8</v>
          </cell>
          <cell r="D268">
            <v>75000</v>
          </cell>
        </row>
        <row r="269">
          <cell r="A269" t="str">
            <v>일본목련B4</v>
          </cell>
          <cell r="B269" t="str">
            <v>일본목련</v>
          </cell>
          <cell r="C269" t="str">
            <v>H3.0*B4</v>
          </cell>
          <cell r="D269">
            <v>25800</v>
          </cell>
        </row>
        <row r="270">
          <cell r="A270" t="str">
            <v>일본목련B6</v>
          </cell>
          <cell r="B270" t="str">
            <v>일본목련</v>
          </cell>
          <cell r="C270" t="str">
            <v>H3.5*B6</v>
          </cell>
          <cell r="D270">
            <v>53500</v>
          </cell>
        </row>
        <row r="271">
          <cell r="A271" t="str">
            <v>일본목련B8</v>
          </cell>
          <cell r="B271" t="str">
            <v>일본목련</v>
          </cell>
          <cell r="C271" t="str">
            <v>H4.0*B8</v>
          </cell>
          <cell r="D271">
            <v>107300</v>
          </cell>
        </row>
        <row r="272">
          <cell r="A272" t="str">
            <v>자귀R3</v>
          </cell>
          <cell r="B272" t="str">
            <v>자귀나무</v>
          </cell>
          <cell r="C272" t="str">
            <v>H2.0*R3</v>
          </cell>
          <cell r="D272">
            <v>6900</v>
          </cell>
        </row>
        <row r="273">
          <cell r="A273" t="str">
            <v>자귀R5</v>
          </cell>
          <cell r="B273" t="str">
            <v>자귀나무</v>
          </cell>
          <cell r="C273" t="str">
            <v>H2.5*R5</v>
          </cell>
          <cell r="D273">
            <v>20700</v>
          </cell>
        </row>
        <row r="274">
          <cell r="A274" t="str">
            <v>자귀R6</v>
          </cell>
          <cell r="B274" t="str">
            <v>자귀나무</v>
          </cell>
          <cell r="C274" t="str">
            <v>H2.5*R6</v>
          </cell>
          <cell r="D274">
            <v>25300</v>
          </cell>
        </row>
        <row r="275">
          <cell r="A275" t="str">
            <v>자귀R8</v>
          </cell>
          <cell r="B275" t="str">
            <v>자귀나무</v>
          </cell>
          <cell r="C275" t="str">
            <v>H3.0*R8</v>
          </cell>
          <cell r="D275">
            <v>54400</v>
          </cell>
        </row>
        <row r="276">
          <cell r="A276" t="str">
            <v>자귀R10</v>
          </cell>
          <cell r="B276" t="str">
            <v>자귀나무</v>
          </cell>
          <cell r="C276" t="str">
            <v>H3.5*R10</v>
          </cell>
          <cell r="D276">
            <v>94920</v>
          </cell>
        </row>
        <row r="277">
          <cell r="A277" t="str">
            <v>자작B3</v>
          </cell>
          <cell r="B277" t="str">
            <v>자작나무</v>
          </cell>
          <cell r="C277" t="str">
            <v>H2.0*B3</v>
          </cell>
          <cell r="D277">
            <v>8300</v>
          </cell>
        </row>
        <row r="278">
          <cell r="A278" t="str">
            <v>자작B5</v>
          </cell>
          <cell r="B278" t="str">
            <v>자작나무</v>
          </cell>
          <cell r="C278" t="str">
            <v>H2.0*B5</v>
          </cell>
          <cell r="D278">
            <v>15600</v>
          </cell>
        </row>
        <row r="279">
          <cell r="A279" t="str">
            <v>자작B6</v>
          </cell>
          <cell r="B279" t="str">
            <v>자작나무</v>
          </cell>
          <cell r="C279" t="str">
            <v>H3.0*B6</v>
          </cell>
          <cell r="D279">
            <v>45400</v>
          </cell>
        </row>
        <row r="280">
          <cell r="A280" t="str">
            <v>자작B8</v>
          </cell>
          <cell r="B280" t="str">
            <v>자작나무</v>
          </cell>
          <cell r="C280" t="str">
            <v>H3.5*B8</v>
          </cell>
          <cell r="D280">
            <v>106000</v>
          </cell>
        </row>
        <row r="281">
          <cell r="A281" t="str">
            <v>자작B10</v>
          </cell>
          <cell r="B281" t="str">
            <v>자작나무</v>
          </cell>
          <cell r="C281" t="str">
            <v>H4.0*B10</v>
          </cell>
          <cell r="D281">
            <v>176000</v>
          </cell>
        </row>
        <row r="282">
          <cell r="A282" t="str">
            <v>쪽동백R5</v>
          </cell>
          <cell r="B282" t="str">
            <v>쪽동백</v>
          </cell>
          <cell r="C282" t="str">
            <v>H2.0*R5</v>
          </cell>
          <cell r="D282">
            <v>16500</v>
          </cell>
        </row>
        <row r="283">
          <cell r="A283" t="str">
            <v>쪽동백R6</v>
          </cell>
          <cell r="B283" t="str">
            <v>쪽동백</v>
          </cell>
          <cell r="C283" t="str">
            <v>H2.5*R6</v>
          </cell>
          <cell r="D283">
            <v>26000</v>
          </cell>
        </row>
        <row r="284">
          <cell r="A284" t="str">
            <v>쪽동백R7</v>
          </cell>
          <cell r="B284" t="str">
            <v>쪽동백</v>
          </cell>
          <cell r="C284" t="str">
            <v>H3.0*R7</v>
          </cell>
          <cell r="D284">
            <v>37000</v>
          </cell>
        </row>
        <row r="285">
          <cell r="A285" t="str">
            <v>쪽동백R8</v>
          </cell>
          <cell r="B285" t="str">
            <v>쪽동백</v>
          </cell>
          <cell r="C285" t="str">
            <v>H3.5*R8</v>
          </cell>
          <cell r="D285">
            <v>69300</v>
          </cell>
        </row>
        <row r="286">
          <cell r="A286" t="str">
            <v>쪽동백R10</v>
          </cell>
          <cell r="B286" t="str">
            <v>쪽동백</v>
          </cell>
          <cell r="C286" t="str">
            <v>H3.5*R10</v>
          </cell>
          <cell r="D286">
            <v>163000</v>
          </cell>
        </row>
        <row r="287">
          <cell r="A287" t="str">
            <v>졸참R5</v>
          </cell>
          <cell r="B287" t="str">
            <v>졸참나무</v>
          </cell>
          <cell r="C287" t="str">
            <v>H2.5*R5</v>
          </cell>
          <cell r="D287">
            <v>36500</v>
          </cell>
        </row>
        <row r="288">
          <cell r="A288" t="str">
            <v>졸참R6</v>
          </cell>
          <cell r="B288" t="str">
            <v>졸참나무</v>
          </cell>
          <cell r="C288" t="str">
            <v>H2.5*R6</v>
          </cell>
          <cell r="D288">
            <v>66400</v>
          </cell>
        </row>
        <row r="289">
          <cell r="A289" t="str">
            <v>졸참R8</v>
          </cell>
          <cell r="B289" t="str">
            <v>졸참나무</v>
          </cell>
          <cell r="C289" t="str">
            <v>H3.0*R8</v>
          </cell>
          <cell r="D289">
            <v>90000</v>
          </cell>
        </row>
        <row r="290">
          <cell r="A290" t="str">
            <v>졸참R10</v>
          </cell>
          <cell r="B290" t="str">
            <v>졸참나무</v>
          </cell>
          <cell r="C290" t="str">
            <v>H3.0*R10</v>
          </cell>
          <cell r="D290">
            <v>162000</v>
          </cell>
        </row>
        <row r="291">
          <cell r="A291" t="str">
            <v>졸참R15</v>
          </cell>
          <cell r="B291" t="str">
            <v>졸참나무</v>
          </cell>
          <cell r="C291" t="str">
            <v>H3.5*R15</v>
          </cell>
          <cell r="D291">
            <v>275000</v>
          </cell>
        </row>
        <row r="292">
          <cell r="A292" t="str">
            <v>중국단풍R3</v>
          </cell>
          <cell r="B292" t="str">
            <v>중국단풍</v>
          </cell>
          <cell r="C292" t="str">
            <v>H2.0*R3</v>
          </cell>
          <cell r="D292">
            <v>4800</v>
          </cell>
        </row>
        <row r="293">
          <cell r="A293" t="str">
            <v>중국단풍R5</v>
          </cell>
          <cell r="B293" t="str">
            <v>중국단풍</v>
          </cell>
          <cell r="C293" t="str">
            <v>H2.5*R5</v>
          </cell>
          <cell r="D293">
            <v>14800</v>
          </cell>
        </row>
        <row r="294">
          <cell r="A294" t="str">
            <v>중국단풍R6</v>
          </cell>
          <cell r="B294" t="str">
            <v>중국단풍</v>
          </cell>
          <cell r="C294" t="str">
            <v>H2.5*R6</v>
          </cell>
          <cell r="D294">
            <v>34800</v>
          </cell>
        </row>
        <row r="295">
          <cell r="A295" t="str">
            <v>중국단풍R7</v>
          </cell>
          <cell r="B295" t="str">
            <v>중국단풍</v>
          </cell>
          <cell r="C295" t="str">
            <v>H3.0*R7</v>
          </cell>
          <cell r="D295">
            <v>20900</v>
          </cell>
        </row>
        <row r="296">
          <cell r="A296" t="str">
            <v>중국단풍R8</v>
          </cell>
          <cell r="B296" t="str">
            <v>중국단풍</v>
          </cell>
          <cell r="C296" t="str">
            <v>H3.0*R8</v>
          </cell>
          <cell r="D296">
            <v>97000</v>
          </cell>
        </row>
        <row r="297">
          <cell r="A297" t="str">
            <v>중국단풍R10</v>
          </cell>
          <cell r="B297" t="str">
            <v>중국단풍</v>
          </cell>
          <cell r="C297" t="str">
            <v>H3.5*R10</v>
          </cell>
          <cell r="D297">
            <v>72200</v>
          </cell>
        </row>
        <row r="298">
          <cell r="A298" t="str">
            <v>중국단풍R12</v>
          </cell>
          <cell r="B298" t="str">
            <v>중국단풍</v>
          </cell>
          <cell r="C298" t="str">
            <v>H3.5*R12</v>
          </cell>
          <cell r="D298">
            <v>186000</v>
          </cell>
        </row>
        <row r="299">
          <cell r="A299" t="str">
            <v>중국단풍R15</v>
          </cell>
          <cell r="B299" t="str">
            <v>중국단풍</v>
          </cell>
          <cell r="C299" t="str">
            <v>H4.0*R15</v>
          </cell>
          <cell r="D299">
            <v>143000</v>
          </cell>
        </row>
        <row r="300">
          <cell r="A300" t="str">
            <v>중국단풍R20</v>
          </cell>
          <cell r="B300" t="str">
            <v>중국단풍</v>
          </cell>
          <cell r="C300" t="str">
            <v>H4.5*R20</v>
          </cell>
          <cell r="D300">
            <v>465000</v>
          </cell>
        </row>
        <row r="301">
          <cell r="A301" t="str">
            <v>참R5</v>
          </cell>
          <cell r="B301" t="str">
            <v>참나무</v>
          </cell>
          <cell r="C301" t="str">
            <v>H2.5*R5</v>
          </cell>
          <cell r="D301">
            <v>42400</v>
          </cell>
        </row>
        <row r="302">
          <cell r="A302" t="str">
            <v>참R6</v>
          </cell>
          <cell r="B302" t="str">
            <v>참나무</v>
          </cell>
          <cell r="C302" t="str">
            <v>H2.5*R6</v>
          </cell>
          <cell r="D302">
            <v>82300</v>
          </cell>
        </row>
        <row r="303">
          <cell r="A303" t="str">
            <v>참R8</v>
          </cell>
          <cell r="B303" t="str">
            <v>참나무</v>
          </cell>
          <cell r="C303" t="str">
            <v>H3.0*R8</v>
          </cell>
          <cell r="D303">
            <v>120000</v>
          </cell>
        </row>
        <row r="304">
          <cell r="A304" t="str">
            <v>참R10</v>
          </cell>
          <cell r="B304" t="str">
            <v>참나무</v>
          </cell>
          <cell r="C304" t="str">
            <v>H3.0*R10</v>
          </cell>
          <cell r="D304">
            <v>180000</v>
          </cell>
        </row>
        <row r="305">
          <cell r="A305" t="str">
            <v>참R15</v>
          </cell>
          <cell r="B305" t="str">
            <v>참나무</v>
          </cell>
          <cell r="C305" t="str">
            <v>H3.5*R15</v>
          </cell>
          <cell r="D305">
            <v>356000</v>
          </cell>
        </row>
        <row r="306">
          <cell r="A306" t="str">
            <v>참R20</v>
          </cell>
          <cell r="B306" t="str">
            <v>참나무</v>
          </cell>
          <cell r="C306" t="str">
            <v>H4.0*R20</v>
          </cell>
          <cell r="D306">
            <v>615000</v>
          </cell>
        </row>
        <row r="307">
          <cell r="A307" t="str">
            <v>참느릅R4</v>
          </cell>
          <cell r="B307" t="str">
            <v>참느릅나무</v>
          </cell>
          <cell r="C307" t="str">
            <v>H2.5*R4</v>
          </cell>
          <cell r="D307">
            <v>24000</v>
          </cell>
        </row>
        <row r="308">
          <cell r="A308" t="str">
            <v>참느릅R6</v>
          </cell>
          <cell r="B308" t="str">
            <v>참느릅나무</v>
          </cell>
          <cell r="C308" t="str">
            <v>H3.0*R6</v>
          </cell>
          <cell r="D308">
            <v>33200</v>
          </cell>
        </row>
        <row r="309">
          <cell r="A309" t="str">
            <v>참느릅R8</v>
          </cell>
          <cell r="B309" t="str">
            <v>참느릅나무</v>
          </cell>
          <cell r="C309" t="str">
            <v>H3.5*R8</v>
          </cell>
          <cell r="D309">
            <v>68700</v>
          </cell>
        </row>
        <row r="310">
          <cell r="A310" t="str">
            <v>참느릅R10</v>
          </cell>
          <cell r="B310" t="str">
            <v>참느릅나무</v>
          </cell>
          <cell r="C310" t="str">
            <v>H4.0*R10</v>
          </cell>
          <cell r="D310">
            <v>126000</v>
          </cell>
        </row>
        <row r="311">
          <cell r="A311" t="str">
            <v>청단풍R4</v>
          </cell>
          <cell r="B311" t="str">
            <v>청단풍</v>
          </cell>
          <cell r="C311" t="str">
            <v>H2.0*R4</v>
          </cell>
          <cell r="D311">
            <v>13400</v>
          </cell>
        </row>
        <row r="312">
          <cell r="A312" t="str">
            <v>청단풍R5</v>
          </cell>
          <cell r="B312" t="str">
            <v>청단풍</v>
          </cell>
          <cell r="C312" t="str">
            <v>H2.0*R5</v>
          </cell>
          <cell r="D312">
            <v>23400</v>
          </cell>
        </row>
        <row r="313">
          <cell r="A313" t="str">
            <v>청단풍R6</v>
          </cell>
          <cell r="B313" t="str">
            <v>청단풍</v>
          </cell>
          <cell r="C313" t="str">
            <v>H2.0*R6</v>
          </cell>
          <cell r="D313">
            <v>32500</v>
          </cell>
        </row>
        <row r="314">
          <cell r="A314" t="str">
            <v>청단풍R8</v>
          </cell>
          <cell r="B314" t="str">
            <v>청단풍</v>
          </cell>
          <cell r="C314" t="str">
            <v>H2.5*R8</v>
          </cell>
          <cell r="D314">
            <v>65000</v>
          </cell>
        </row>
        <row r="315">
          <cell r="A315" t="str">
            <v>청단풍R10</v>
          </cell>
          <cell r="B315" t="str">
            <v>청단풍</v>
          </cell>
          <cell r="C315" t="str">
            <v>H3.0*R10</v>
          </cell>
          <cell r="D315">
            <v>129000</v>
          </cell>
        </row>
        <row r="316">
          <cell r="A316" t="str">
            <v>청단풍R12</v>
          </cell>
          <cell r="B316" t="str">
            <v>청단풍</v>
          </cell>
          <cell r="C316" t="str">
            <v>H3.5*R12</v>
          </cell>
          <cell r="D316">
            <v>198000</v>
          </cell>
        </row>
        <row r="317">
          <cell r="A317" t="str">
            <v>청단풍R15</v>
          </cell>
          <cell r="B317" t="str">
            <v>청단풍</v>
          </cell>
          <cell r="C317" t="str">
            <v>H3.5*R15</v>
          </cell>
          <cell r="D317">
            <v>453090</v>
          </cell>
        </row>
        <row r="318">
          <cell r="A318" t="str">
            <v>층층R5</v>
          </cell>
          <cell r="B318" t="str">
            <v>층층나무</v>
          </cell>
          <cell r="C318" t="str">
            <v>H2.5*R5</v>
          </cell>
          <cell r="D318">
            <v>21500</v>
          </cell>
        </row>
        <row r="319">
          <cell r="A319" t="str">
            <v>층층R6</v>
          </cell>
          <cell r="B319" t="str">
            <v>층층나무</v>
          </cell>
          <cell r="C319" t="str">
            <v>H3.0*R6</v>
          </cell>
          <cell r="D319">
            <v>23600</v>
          </cell>
        </row>
        <row r="320">
          <cell r="A320" t="str">
            <v>층층R8</v>
          </cell>
          <cell r="B320" t="str">
            <v>층층나무</v>
          </cell>
          <cell r="C320" t="str">
            <v>H3.5*R8</v>
          </cell>
          <cell r="D320">
            <v>112000</v>
          </cell>
        </row>
        <row r="321">
          <cell r="A321" t="str">
            <v>층층R10</v>
          </cell>
          <cell r="B321" t="str">
            <v>층층나무</v>
          </cell>
          <cell r="C321" t="str">
            <v>H3.5*R10</v>
          </cell>
          <cell r="D321">
            <v>193000</v>
          </cell>
        </row>
        <row r="322">
          <cell r="A322" t="str">
            <v>칠엽수R4</v>
          </cell>
          <cell r="B322" t="str">
            <v>칠엽수</v>
          </cell>
          <cell r="C322" t="str">
            <v>H1.5*R4</v>
          </cell>
          <cell r="D322">
            <v>29300</v>
          </cell>
        </row>
        <row r="323">
          <cell r="A323" t="str">
            <v>칠엽수R6</v>
          </cell>
          <cell r="B323" t="str">
            <v>칠엽수</v>
          </cell>
          <cell r="C323" t="str">
            <v>H2.0*R6</v>
          </cell>
          <cell r="D323">
            <v>48000</v>
          </cell>
        </row>
        <row r="324">
          <cell r="A324" t="str">
            <v>칠엽수R8</v>
          </cell>
          <cell r="B324" t="str">
            <v>칠엽수</v>
          </cell>
          <cell r="C324" t="str">
            <v>H2.5*R8</v>
          </cell>
          <cell r="D324">
            <v>120100</v>
          </cell>
        </row>
        <row r="325">
          <cell r="A325" t="str">
            <v>칠엽수R10</v>
          </cell>
          <cell r="B325" t="str">
            <v>칠엽수</v>
          </cell>
          <cell r="C325" t="str">
            <v>H3.0*R10</v>
          </cell>
          <cell r="D325">
            <v>270700</v>
          </cell>
        </row>
        <row r="326">
          <cell r="A326" t="str">
            <v>칠엽수R12</v>
          </cell>
          <cell r="B326" t="str">
            <v>칠엽수</v>
          </cell>
          <cell r="C326" t="str">
            <v>H3.5*R12</v>
          </cell>
          <cell r="D326">
            <v>405900</v>
          </cell>
        </row>
        <row r="327">
          <cell r="A327" t="str">
            <v>칠엽수R15</v>
          </cell>
          <cell r="B327" t="str">
            <v>칠엽수</v>
          </cell>
          <cell r="C327" t="str">
            <v>H4.0*R15</v>
          </cell>
          <cell r="D327">
            <v>743600</v>
          </cell>
        </row>
        <row r="328">
          <cell r="A328" t="str">
            <v>칠엽수R18</v>
          </cell>
          <cell r="B328" t="str">
            <v>칠엽수</v>
          </cell>
          <cell r="C328" t="str">
            <v>H4.5*R18</v>
          </cell>
          <cell r="D328">
            <v>1200000</v>
          </cell>
        </row>
        <row r="329">
          <cell r="A329" t="str">
            <v>칠엽수R20</v>
          </cell>
          <cell r="B329" t="str">
            <v>칠엽수</v>
          </cell>
          <cell r="C329" t="str">
            <v>H5.0*R20</v>
          </cell>
          <cell r="D329">
            <v>1800000</v>
          </cell>
        </row>
        <row r="330">
          <cell r="A330" t="str">
            <v>칠엽수R25</v>
          </cell>
          <cell r="B330" t="str">
            <v>칠엽수</v>
          </cell>
          <cell r="C330" t="str">
            <v>H5.0*R25</v>
          </cell>
          <cell r="D330">
            <v>2500000</v>
          </cell>
        </row>
        <row r="331">
          <cell r="A331" t="str">
            <v>목백합B4</v>
          </cell>
          <cell r="B331" t="str">
            <v>목백합</v>
          </cell>
          <cell r="C331" t="str">
            <v>H3.0*B4</v>
          </cell>
          <cell r="D331">
            <v>9600</v>
          </cell>
        </row>
        <row r="332">
          <cell r="A332" t="str">
            <v>목백합B5</v>
          </cell>
          <cell r="B332" t="str">
            <v>목백합</v>
          </cell>
          <cell r="C332" t="str">
            <v>H3.0*B5</v>
          </cell>
          <cell r="D332">
            <v>14200</v>
          </cell>
        </row>
        <row r="333">
          <cell r="A333" t="str">
            <v>목백합B6</v>
          </cell>
          <cell r="B333" t="str">
            <v>목백합</v>
          </cell>
          <cell r="C333" t="str">
            <v>H3.5*B6</v>
          </cell>
          <cell r="D333">
            <v>19500</v>
          </cell>
        </row>
        <row r="334">
          <cell r="A334" t="str">
            <v>목백합B8</v>
          </cell>
          <cell r="B334" t="str">
            <v>목백합</v>
          </cell>
          <cell r="C334" t="str">
            <v>H3.5*B8</v>
          </cell>
          <cell r="D334">
            <v>62100</v>
          </cell>
        </row>
        <row r="335">
          <cell r="A335" t="str">
            <v>목백합B10</v>
          </cell>
          <cell r="B335" t="str">
            <v>목백합</v>
          </cell>
          <cell r="C335" t="str">
            <v>H4.0*B10</v>
          </cell>
          <cell r="D335">
            <v>95900</v>
          </cell>
        </row>
        <row r="336">
          <cell r="A336" t="str">
            <v>목백합B15</v>
          </cell>
          <cell r="B336" t="str">
            <v>목백합</v>
          </cell>
          <cell r="C336" t="str">
            <v>H4.5*B15</v>
          </cell>
          <cell r="D336">
            <v>400100</v>
          </cell>
        </row>
        <row r="337">
          <cell r="A337" t="str">
            <v>팥배R6</v>
          </cell>
          <cell r="B337" t="str">
            <v>팥배나무</v>
          </cell>
          <cell r="C337" t="str">
            <v>H3.0*R6</v>
          </cell>
          <cell r="D337">
            <v>30200</v>
          </cell>
        </row>
        <row r="338">
          <cell r="A338" t="str">
            <v>팥배R8</v>
          </cell>
          <cell r="B338" t="str">
            <v>팥배나무</v>
          </cell>
          <cell r="C338" t="str">
            <v>H3.5*R8</v>
          </cell>
          <cell r="D338">
            <v>84900</v>
          </cell>
        </row>
        <row r="339">
          <cell r="A339" t="str">
            <v>팥배R10</v>
          </cell>
          <cell r="B339" t="str">
            <v>팥배나무</v>
          </cell>
          <cell r="C339" t="str">
            <v>H4.0*R10</v>
          </cell>
          <cell r="D339">
            <v>135300</v>
          </cell>
        </row>
        <row r="340">
          <cell r="A340" t="str">
            <v>팥배R16</v>
          </cell>
          <cell r="B340" t="str">
            <v>팥배나무</v>
          </cell>
          <cell r="C340" t="str">
            <v>H4.5*R16</v>
          </cell>
          <cell r="D340">
            <v>400100</v>
          </cell>
        </row>
        <row r="341">
          <cell r="A341" t="str">
            <v>팽R6</v>
          </cell>
          <cell r="B341" t="str">
            <v>팽나무</v>
          </cell>
          <cell r="C341" t="str">
            <v>H3.0*R6</v>
          </cell>
          <cell r="D341">
            <v>35800</v>
          </cell>
        </row>
        <row r="342">
          <cell r="A342" t="str">
            <v>팽R8</v>
          </cell>
          <cell r="B342" t="str">
            <v>팽나무</v>
          </cell>
          <cell r="C342" t="str">
            <v>H3.5*R8</v>
          </cell>
          <cell r="D342">
            <v>69800</v>
          </cell>
        </row>
        <row r="343">
          <cell r="A343" t="str">
            <v>팽R10</v>
          </cell>
          <cell r="B343" t="str">
            <v>팽나무</v>
          </cell>
          <cell r="C343" t="str">
            <v>H4.0*R10</v>
          </cell>
          <cell r="D343">
            <v>107000</v>
          </cell>
        </row>
        <row r="344">
          <cell r="A344" t="str">
            <v>팽R15</v>
          </cell>
          <cell r="B344" t="str">
            <v>팽나무</v>
          </cell>
          <cell r="C344" t="str">
            <v>H4.5*R15</v>
          </cell>
          <cell r="D344">
            <v>319000</v>
          </cell>
        </row>
        <row r="345">
          <cell r="A345" t="str">
            <v>버즘B4</v>
          </cell>
          <cell r="B345" t="str">
            <v>버즘나무</v>
          </cell>
          <cell r="C345" t="str">
            <v>H2.5*B4</v>
          </cell>
          <cell r="D345">
            <v>12400</v>
          </cell>
        </row>
        <row r="346">
          <cell r="A346" t="str">
            <v>버즘B5</v>
          </cell>
          <cell r="B346" t="str">
            <v>버즘나무</v>
          </cell>
          <cell r="C346" t="str">
            <v>H2.5*B5</v>
          </cell>
          <cell r="D346">
            <v>19900</v>
          </cell>
        </row>
        <row r="347">
          <cell r="A347" t="str">
            <v>버즘B6</v>
          </cell>
          <cell r="B347" t="str">
            <v>버즘나무</v>
          </cell>
          <cell r="C347" t="str">
            <v>H3.0*B6</v>
          </cell>
          <cell r="D347">
            <v>30900</v>
          </cell>
        </row>
        <row r="348">
          <cell r="A348" t="str">
            <v>버즘B8</v>
          </cell>
          <cell r="B348" t="str">
            <v>버즘나무</v>
          </cell>
          <cell r="C348" t="str">
            <v>H3.0*B8</v>
          </cell>
          <cell r="D348">
            <v>53500</v>
          </cell>
        </row>
        <row r="349">
          <cell r="A349" t="str">
            <v>버즘B10</v>
          </cell>
          <cell r="B349" t="str">
            <v>버즘나무</v>
          </cell>
          <cell r="C349" t="str">
            <v>H3.5*B10</v>
          </cell>
          <cell r="D349">
            <v>101000</v>
          </cell>
        </row>
        <row r="350">
          <cell r="A350" t="str">
            <v>버즘B12</v>
          </cell>
          <cell r="B350" t="str">
            <v>버즘나무</v>
          </cell>
          <cell r="C350" t="str">
            <v>H4.0*B12</v>
          </cell>
          <cell r="D350">
            <v>179400</v>
          </cell>
        </row>
        <row r="351">
          <cell r="A351" t="str">
            <v>버즘B15</v>
          </cell>
          <cell r="B351" t="str">
            <v>버즘나무</v>
          </cell>
          <cell r="C351" t="str">
            <v>H4.0*B15</v>
          </cell>
          <cell r="D351">
            <v>277200</v>
          </cell>
        </row>
        <row r="352">
          <cell r="A352" t="str">
            <v>버즘B20</v>
          </cell>
          <cell r="B352" t="str">
            <v>버즘나무</v>
          </cell>
          <cell r="C352" t="str">
            <v>H4.0*B20</v>
          </cell>
          <cell r="D352">
            <v>407700</v>
          </cell>
        </row>
        <row r="353">
          <cell r="A353" t="str">
            <v>피R4</v>
          </cell>
          <cell r="B353" t="str">
            <v>피나무</v>
          </cell>
          <cell r="C353" t="str">
            <v>H2.5*R4</v>
          </cell>
          <cell r="D353">
            <v>25800</v>
          </cell>
        </row>
        <row r="354">
          <cell r="A354" t="str">
            <v>피R6</v>
          </cell>
          <cell r="B354" t="str">
            <v>피나무</v>
          </cell>
          <cell r="C354" t="str">
            <v>H3.0*R6</v>
          </cell>
          <cell r="D354">
            <v>47000</v>
          </cell>
        </row>
        <row r="355">
          <cell r="A355" t="str">
            <v>피R8</v>
          </cell>
          <cell r="B355" t="str">
            <v>피나무</v>
          </cell>
          <cell r="C355" t="str">
            <v>H3.5*R8</v>
          </cell>
          <cell r="D355">
            <v>88200</v>
          </cell>
        </row>
        <row r="356">
          <cell r="A356" t="str">
            <v>피R10</v>
          </cell>
          <cell r="B356" t="str">
            <v>피나무</v>
          </cell>
          <cell r="C356" t="str">
            <v>H4.0*R10</v>
          </cell>
          <cell r="D356">
            <v>235400</v>
          </cell>
        </row>
        <row r="357">
          <cell r="A357" t="str">
            <v>홍단풍R3</v>
          </cell>
          <cell r="B357" t="str">
            <v>홍단풍</v>
          </cell>
          <cell r="C357" t="str">
            <v>H1.5*R3</v>
          </cell>
          <cell r="D357">
            <v>14800</v>
          </cell>
        </row>
        <row r="358">
          <cell r="A358" t="str">
            <v>홍단풍R4</v>
          </cell>
          <cell r="B358" t="str">
            <v>홍단풍</v>
          </cell>
          <cell r="C358" t="str">
            <v>H2.0*R4</v>
          </cell>
          <cell r="D358">
            <v>22100</v>
          </cell>
        </row>
        <row r="359">
          <cell r="A359" t="str">
            <v>홍단풍R5</v>
          </cell>
          <cell r="B359" t="str">
            <v>홍단풍</v>
          </cell>
          <cell r="C359" t="str">
            <v>H2.0*R5</v>
          </cell>
          <cell r="D359">
            <v>33800</v>
          </cell>
        </row>
        <row r="360">
          <cell r="A360" t="str">
            <v>홍단풍R6</v>
          </cell>
          <cell r="B360" t="str">
            <v>홍단풍</v>
          </cell>
          <cell r="C360" t="str">
            <v>H2.0*R6</v>
          </cell>
          <cell r="D360">
            <v>53600</v>
          </cell>
        </row>
        <row r="361">
          <cell r="A361" t="str">
            <v>홍단풍R8</v>
          </cell>
          <cell r="B361" t="str">
            <v>홍단풍</v>
          </cell>
          <cell r="C361" t="str">
            <v>H2.5*R8</v>
          </cell>
          <cell r="D361">
            <v>223000</v>
          </cell>
        </row>
        <row r="362">
          <cell r="A362" t="str">
            <v>홍단풍R10</v>
          </cell>
          <cell r="B362" t="str">
            <v>홍단풍</v>
          </cell>
          <cell r="C362" t="str">
            <v>H3.0*R10</v>
          </cell>
          <cell r="D362">
            <v>508000</v>
          </cell>
        </row>
        <row r="363">
          <cell r="A363" t="str">
            <v>홍단풍R12</v>
          </cell>
          <cell r="B363" t="str">
            <v>홍단풍</v>
          </cell>
          <cell r="C363" t="str">
            <v>H3.0*R12</v>
          </cell>
          <cell r="D363">
            <v>1050000</v>
          </cell>
        </row>
        <row r="364">
          <cell r="A364" t="str">
            <v>홍단풍R15</v>
          </cell>
          <cell r="B364" t="str">
            <v>홍단풍</v>
          </cell>
          <cell r="C364" t="str">
            <v>H3.5*R15</v>
          </cell>
          <cell r="D364">
            <v>1864000</v>
          </cell>
        </row>
        <row r="365">
          <cell r="A365" t="str">
            <v>회화R5</v>
          </cell>
          <cell r="B365" t="str">
            <v>회화나무</v>
          </cell>
          <cell r="C365" t="str">
            <v>H3.0*R5</v>
          </cell>
          <cell r="D365">
            <v>15400</v>
          </cell>
        </row>
        <row r="366">
          <cell r="A366" t="str">
            <v>회화R6</v>
          </cell>
          <cell r="B366" t="str">
            <v>회화나무</v>
          </cell>
          <cell r="C366" t="str">
            <v>H3.5*R6</v>
          </cell>
          <cell r="D366">
            <v>21600</v>
          </cell>
        </row>
        <row r="367">
          <cell r="A367" t="str">
            <v>회화R8</v>
          </cell>
          <cell r="B367" t="str">
            <v>회화나무</v>
          </cell>
          <cell r="C367" t="str">
            <v>H4.0*R8</v>
          </cell>
          <cell r="D367">
            <v>53800</v>
          </cell>
        </row>
        <row r="368">
          <cell r="A368" t="str">
            <v>회화R10</v>
          </cell>
          <cell r="B368" t="str">
            <v>회화나무</v>
          </cell>
          <cell r="C368" t="str">
            <v>H4.5*R10</v>
          </cell>
          <cell r="D368">
            <v>118000</v>
          </cell>
        </row>
        <row r="369">
          <cell r="A369" t="str">
            <v>회화R12</v>
          </cell>
          <cell r="B369" t="str">
            <v>회화나무</v>
          </cell>
          <cell r="C369" t="str">
            <v>H4.5*R12</v>
          </cell>
          <cell r="D369">
            <v>303500</v>
          </cell>
        </row>
        <row r="370">
          <cell r="A370" t="str">
            <v>회화R15</v>
          </cell>
          <cell r="B370" t="str">
            <v>회화나무</v>
          </cell>
          <cell r="C370" t="str">
            <v>H4.5*R15</v>
          </cell>
          <cell r="D370">
            <v>661700</v>
          </cell>
        </row>
        <row r="371">
          <cell r="A371" t="str">
            <v>호도R6</v>
          </cell>
          <cell r="B371" t="str">
            <v>호도나무</v>
          </cell>
          <cell r="C371" t="str">
            <v>H2.5*R6</v>
          </cell>
          <cell r="D371">
            <v>20000</v>
          </cell>
        </row>
        <row r="372">
          <cell r="A372" t="str">
            <v>호도R8</v>
          </cell>
          <cell r="B372" t="str">
            <v>호도나무</v>
          </cell>
          <cell r="C372" t="str">
            <v>H3.0*R8</v>
          </cell>
          <cell r="D372">
            <v>30000</v>
          </cell>
        </row>
        <row r="373">
          <cell r="A373" t="str">
            <v>호도R10</v>
          </cell>
          <cell r="B373" t="str">
            <v>호도나무</v>
          </cell>
          <cell r="C373" t="str">
            <v>H3.5*R10</v>
          </cell>
          <cell r="D373">
            <v>67500</v>
          </cell>
        </row>
        <row r="374">
          <cell r="A374" t="str">
            <v>호도R12</v>
          </cell>
          <cell r="B374" t="str">
            <v>호도나무</v>
          </cell>
          <cell r="C374" t="str">
            <v>H4.0*R12</v>
          </cell>
          <cell r="D374">
            <v>100000</v>
          </cell>
        </row>
        <row r="375">
          <cell r="A375" t="str">
            <v>호도R15</v>
          </cell>
          <cell r="B375" t="str">
            <v>호도나무</v>
          </cell>
          <cell r="C375" t="str">
            <v>H5.0*R15</v>
          </cell>
          <cell r="D375">
            <v>145000</v>
          </cell>
        </row>
        <row r="376">
          <cell r="A376" t="str">
            <v>흑호도B5</v>
          </cell>
          <cell r="B376" t="str">
            <v>흑호도나무</v>
          </cell>
          <cell r="C376" t="str">
            <v>H3.0*B5</v>
          </cell>
          <cell r="D376">
            <v>71600</v>
          </cell>
        </row>
        <row r="377">
          <cell r="A377" t="str">
            <v>흑호도B8</v>
          </cell>
          <cell r="B377" t="str">
            <v>흑호도나무</v>
          </cell>
          <cell r="C377" t="str">
            <v>H3.5*B8</v>
          </cell>
          <cell r="D377">
            <v>116000</v>
          </cell>
        </row>
        <row r="378">
          <cell r="A378" t="str">
            <v>흑호도B10</v>
          </cell>
          <cell r="B378" t="str">
            <v>흑호도나무</v>
          </cell>
          <cell r="C378" t="str">
            <v>H4.0*B10</v>
          </cell>
          <cell r="D378">
            <v>172000</v>
          </cell>
        </row>
        <row r="379">
          <cell r="A379" t="str">
            <v>흑호도B12</v>
          </cell>
          <cell r="B379" t="str">
            <v>흑호도나무</v>
          </cell>
          <cell r="C379" t="str">
            <v>H4.5*B12</v>
          </cell>
          <cell r="D379">
            <v>240000</v>
          </cell>
        </row>
        <row r="380">
          <cell r="A380" t="str">
            <v>흑호도B15</v>
          </cell>
          <cell r="B380" t="str">
            <v>흑호도나무</v>
          </cell>
          <cell r="C380" t="str">
            <v>H4.5*B15</v>
          </cell>
          <cell r="D380">
            <v>309000</v>
          </cell>
        </row>
        <row r="381">
          <cell r="A381" t="str">
            <v>허니아카시아R5</v>
          </cell>
          <cell r="B381" t="str">
            <v>허니아카시아</v>
          </cell>
          <cell r="C381" t="str">
            <v>H2.0*R5</v>
          </cell>
          <cell r="D381">
            <v>14300</v>
          </cell>
        </row>
        <row r="382">
          <cell r="A382" t="str">
            <v>허니아카시아R6</v>
          </cell>
          <cell r="B382" t="str">
            <v>허니아카시아</v>
          </cell>
          <cell r="C382" t="str">
            <v>H3.0*R6</v>
          </cell>
          <cell r="D382">
            <v>23900</v>
          </cell>
        </row>
        <row r="383">
          <cell r="A383" t="str">
            <v>허니아카시아R8</v>
          </cell>
          <cell r="B383" t="str">
            <v>허니아카시아</v>
          </cell>
          <cell r="C383" t="str">
            <v>H3.5*R8</v>
          </cell>
          <cell r="D383">
            <v>43000</v>
          </cell>
        </row>
        <row r="384">
          <cell r="A384" t="str">
            <v>허니아카시아R10</v>
          </cell>
          <cell r="B384" t="str">
            <v>허니아카시아</v>
          </cell>
          <cell r="C384" t="str">
            <v>H4.0*R10</v>
          </cell>
          <cell r="D384">
            <v>71000</v>
          </cell>
        </row>
        <row r="385">
          <cell r="A385" t="str">
            <v>허니아카시아R12</v>
          </cell>
          <cell r="B385" t="str">
            <v>허니아카시아</v>
          </cell>
          <cell r="C385" t="str">
            <v>H4.5*R12</v>
          </cell>
          <cell r="D385">
            <v>130000</v>
          </cell>
        </row>
        <row r="386">
          <cell r="A386" t="str">
            <v>금송H1.0</v>
          </cell>
          <cell r="B386" t="str">
            <v>금송</v>
          </cell>
          <cell r="C386" t="str">
            <v>H1.0*W0.6</v>
          </cell>
          <cell r="D386">
            <v>258900</v>
          </cell>
        </row>
        <row r="387">
          <cell r="A387" t="str">
            <v>금송H1.2</v>
          </cell>
          <cell r="B387" t="str">
            <v>금송</v>
          </cell>
          <cell r="C387" t="str">
            <v>H1.2*W0.8</v>
          </cell>
          <cell r="D387">
            <v>482500</v>
          </cell>
        </row>
        <row r="388">
          <cell r="A388" t="str">
            <v>금송H1.5</v>
          </cell>
          <cell r="B388" t="str">
            <v>금송</v>
          </cell>
          <cell r="C388" t="str">
            <v>H1.5*W1.0</v>
          </cell>
          <cell r="D388">
            <v>765000</v>
          </cell>
        </row>
        <row r="389">
          <cell r="A389" t="str">
            <v>아왜H1.5</v>
          </cell>
          <cell r="B389" t="str">
            <v>아왜나무</v>
          </cell>
          <cell r="C389" t="str">
            <v>H1.5*W1.0</v>
          </cell>
          <cell r="D389">
            <v>30000</v>
          </cell>
        </row>
        <row r="390">
          <cell r="A390" t="str">
            <v>아왜H2.0</v>
          </cell>
          <cell r="B390" t="str">
            <v>아왜나무</v>
          </cell>
          <cell r="C390" t="str">
            <v>H2.0*W1.2</v>
          </cell>
          <cell r="D390">
            <v>19700</v>
          </cell>
        </row>
        <row r="391">
          <cell r="A391" t="str">
            <v>아왜H2.5</v>
          </cell>
          <cell r="B391" t="str">
            <v>아왜나무</v>
          </cell>
          <cell r="C391" t="str">
            <v>H2.5*W1.5</v>
          </cell>
          <cell r="D391">
            <v>80000</v>
          </cell>
        </row>
        <row r="392">
          <cell r="A392" t="str">
            <v>당종려H0.6</v>
          </cell>
          <cell r="B392" t="str">
            <v>당종려</v>
          </cell>
          <cell r="C392" t="str">
            <v>H0.6</v>
          </cell>
          <cell r="D392">
            <v>48000</v>
          </cell>
        </row>
        <row r="393">
          <cell r="A393" t="str">
            <v>당종려H0.8</v>
          </cell>
          <cell r="B393" t="str">
            <v>당종려</v>
          </cell>
          <cell r="C393" t="str">
            <v>H0.8</v>
          </cell>
          <cell r="D393">
            <v>55000</v>
          </cell>
        </row>
        <row r="394">
          <cell r="A394" t="str">
            <v>당종려H1.0</v>
          </cell>
          <cell r="B394" t="str">
            <v>당종려</v>
          </cell>
          <cell r="C394" t="str">
            <v>H1.0</v>
          </cell>
          <cell r="D394">
            <v>68000</v>
          </cell>
        </row>
        <row r="395">
          <cell r="A395" t="str">
            <v>당종려H1.2</v>
          </cell>
          <cell r="B395" t="str">
            <v>당종려</v>
          </cell>
          <cell r="C395" t="str">
            <v>H1.2</v>
          </cell>
          <cell r="D395">
            <v>88000</v>
          </cell>
        </row>
        <row r="396">
          <cell r="A396" t="str">
            <v>당종려H1.5</v>
          </cell>
          <cell r="B396" t="str">
            <v>당종려</v>
          </cell>
          <cell r="C396" t="str">
            <v>H1.5</v>
          </cell>
          <cell r="D396">
            <v>112000</v>
          </cell>
        </row>
        <row r="397">
          <cell r="A397" t="str">
            <v>당종려H1.8</v>
          </cell>
          <cell r="B397" t="str">
            <v>당종려</v>
          </cell>
          <cell r="C397" t="str">
            <v>H1.8</v>
          </cell>
          <cell r="D397">
            <v>250000</v>
          </cell>
        </row>
        <row r="398">
          <cell r="A398" t="str">
            <v>당종려H2.0</v>
          </cell>
          <cell r="B398" t="str">
            <v>당종려</v>
          </cell>
          <cell r="C398" t="str">
            <v>H2.0</v>
          </cell>
          <cell r="D398">
            <v>325000</v>
          </cell>
        </row>
        <row r="399">
          <cell r="A399" t="str">
            <v>당종려H2.5</v>
          </cell>
          <cell r="B399" t="str">
            <v>당종려</v>
          </cell>
          <cell r="C399" t="str">
            <v>H2.5</v>
          </cell>
          <cell r="D399">
            <v>480000</v>
          </cell>
        </row>
        <row r="400">
          <cell r="A400" t="str">
            <v>독일가문비H1.2</v>
          </cell>
          <cell r="B400" t="str">
            <v>독일가문비</v>
          </cell>
          <cell r="C400" t="str">
            <v>H1.2*W0.6</v>
          </cell>
          <cell r="D400">
            <v>10000</v>
          </cell>
        </row>
        <row r="401">
          <cell r="A401" t="str">
            <v>독일가문비H1.5</v>
          </cell>
          <cell r="B401" t="str">
            <v>독일가문비</v>
          </cell>
          <cell r="C401" t="str">
            <v>H1.5*W0.8</v>
          </cell>
          <cell r="D401">
            <v>17800</v>
          </cell>
        </row>
        <row r="402">
          <cell r="A402" t="str">
            <v>독일가문비H2.0</v>
          </cell>
          <cell r="B402" t="str">
            <v>독일가문비</v>
          </cell>
          <cell r="C402" t="str">
            <v>H2.0*W1.0</v>
          </cell>
          <cell r="D402">
            <v>36000</v>
          </cell>
        </row>
        <row r="403">
          <cell r="A403" t="str">
            <v>독일가문비H2.5</v>
          </cell>
          <cell r="B403" t="str">
            <v>독일가문비</v>
          </cell>
          <cell r="C403" t="str">
            <v>H2.5*W1.2</v>
          </cell>
          <cell r="D403">
            <v>54700</v>
          </cell>
        </row>
        <row r="404">
          <cell r="A404" t="str">
            <v>독일가문비H3.0</v>
          </cell>
          <cell r="B404" t="str">
            <v>독일가문비</v>
          </cell>
          <cell r="C404" t="str">
            <v>H3.0*W1.5</v>
          </cell>
          <cell r="D404">
            <v>96100</v>
          </cell>
        </row>
        <row r="405">
          <cell r="A405" t="str">
            <v>독일가문비H3.5</v>
          </cell>
          <cell r="B405" t="str">
            <v>독일가문비</v>
          </cell>
          <cell r="C405" t="str">
            <v>H3.5*W1.8</v>
          </cell>
          <cell r="D405">
            <v>289060</v>
          </cell>
        </row>
        <row r="406">
          <cell r="A406" t="str">
            <v>동백H1.0</v>
          </cell>
          <cell r="B406" t="str">
            <v>동백</v>
          </cell>
          <cell r="C406" t="str">
            <v>H1.0*W0.2</v>
          </cell>
          <cell r="D406">
            <v>6300</v>
          </cell>
        </row>
        <row r="407">
          <cell r="A407" t="str">
            <v>동백H1.2</v>
          </cell>
          <cell r="B407" t="str">
            <v>동백</v>
          </cell>
          <cell r="C407" t="str">
            <v>H1.2*W0.4</v>
          </cell>
          <cell r="D407">
            <v>16800</v>
          </cell>
        </row>
        <row r="408">
          <cell r="A408" t="str">
            <v>동백H1.5</v>
          </cell>
          <cell r="B408" t="str">
            <v>동백</v>
          </cell>
          <cell r="C408" t="str">
            <v>H1.5*W0.6</v>
          </cell>
          <cell r="D408">
            <v>20300</v>
          </cell>
        </row>
        <row r="409">
          <cell r="A409" t="str">
            <v>동백H1.8</v>
          </cell>
          <cell r="B409" t="str">
            <v>동백</v>
          </cell>
          <cell r="C409" t="str">
            <v>H1.8*W0.8</v>
          </cell>
          <cell r="D409">
            <v>36300</v>
          </cell>
        </row>
        <row r="410">
          <cell r="A410" t="str">
            <v>겹동백H1.0</v>
          </cell>
          <cell r="B410" t="str">
            <v>겹동백</v>
          </cell>
          <cell r="C410" t="str">
            <v>H1.0*W0.2</v>
          </cell>
          <cell r="D410">
            <v>6300</v>
          </cell>
        </row>
        <row r="411">
          <cell r="A411" t="str">
            <v>겹동백H1.2</v>
          </cell>
          <cell r="B411" t="str">
            <v>겹동백</v>
          </cell>
          <cell r="C411" t="str">
            <v>H1.2*W0.4</v>
          </cell>
          <cell r="D411">
            <v>16800</v>
          </cell>
        </row>
        <row r="412">
          <cell r="A412" t="str">
            <v>겹동백H1.5</v>
          </cell>
          <cell r="B412" t="str">
            <v>겹동백</v>
          </cell>
          <cell r="C412" t="str">
            <v>H1.5*W0.6</v>
          </cell>
          <cell r="D412">
            <v>29400</v>
          </cell>
        </row>
        <row r="413">
          <cell r="A413" t="str">
            <v>둥근소W1.2</v>
          </cell>
          <cell r="B413" t="str">
            <v>둥근소나무</v>
          </cell>
          <cell r="C413" t="str">
            <v>H1.0*W1.2</v>
          </cell>
          <cell r="D413">
            <v>173000</v>
          </cell>
        </row>
        <row r="414">
          <cell r="A414" t="str">
            <v>둥근소W1.5</v>
          </cell>
          <cell r="B414" t="str">
            <v>둥근소나무</v>
          </cell>
          <cell r="C414" t="str">
            <v>H1.2*W1.5</v>
          </cell>
          <cell r="D414">
            <v>308700</v>
          </cell>
        </row>
        <row r="415">
          <cell r="A415" t="str">
            <v>둥근소W1.8</v>
          </cell>
          <cell r="B415" t="str">
            <v>둥근소나무</v>
          </cell>
          <cell r="C415" t="str">
            <v>H1.5*W1.8</v>
          </cell>
          <cell r="D415">
            <v>372960</v>
          </cell>
        </row>
        <row r="416">
          <cell r="A416" t="str">
            <v>둥근소W2.0</v>
          </cell>
          <cell r="B416" t="str">
            <v>둥근소나무</v>
          </cell>
          <cell r="C416" t="str">
            <v>H1.5*W2.0</v>
          </cell>
          <cell r="D416">
            <v>378000</v>
          </cell>
        </row>
        <row r="417">
          <cell r="A417" t="str">
            <v>둥근소W2.2</v>
          </cell>
          <cell r="B417" t="str">
            <v>둥근소나무</v>
          </cell>
          <cell r="C417" t="str">
            <v>H2.0*W2.2</v>
          </cell>
          <cell r="D417">
            <v>1662040</v>
          </cell>
        </row>
        <row r="418">
          <cell r="A418" t="str">
            <v>둥근주목W0.3</v>
          </cell>
          <cell r="B418" t="str">
            <v>둥근주목</v>
          </cell>
          <cell r="C418" t="str">
            <v>H0.3*W0.3</v>
          </cell>
          <cell r="D418">
            <v>10500</v>
          </cell>
        </row>
        <row r="419">
          <cell r="A419" t="str">
            <v>둥근주목W0.4</v>
          </cell>
          <cell r="B419" t="str">
            <v>둥근주목</v>
          </cell>
          <cell r="C419" t="str">
            <v>H0.4*W0.4</v>
          </cell>
          <cell r="D419">
            <v>16300</v>
          </cell>
        </row>
        <row r="420">
          <cell r="A420" t="str">
            <v>둥근주목W0.5</v>
          </cell>
          <cell r="B420" t="str">
            <v>둥근주목</v>
          </cell>
          <cell r="C420" t="str">
            <v>H0.5*W0.5</v>
          </cell>
          <cell r="D420">
            <v>17100</v>
          </cell>
        </row>
        <row r="421">
          <cell r="A421" t="str">
            <v>둥근주목W0.6</v>
          </cell>
          <cell r="B421" t="str">
            <v>둥근주목</v>
          </cell>
          <cell r="C421" t="str">
            <v>H0.5*W0.6</v>
          </cell>
          <cell r="D421">
            <v>35300</v>
          </cell>
        </row>
        <row r="422">
          <cell r="A422" t="str">
            <v>둥근주목W0.8</v>
          </cell>
          <cell r="B422" t="str">
            <v>둥근주목</v>
          </cell>
          <cell r="C422" t="str">
            <v>H0.6*W0.8</v>
          </cell>
          <cell r="D422">
            <v>58800</v>
          </cell>
        </row>
        <row r="423">
          <cell r="A423" t="str">
            <v>둥근주목W1.0</v>
          </cell>
          <cell r="B423" t="str">
            <v>둥근주목</v>
          </cell>
          <cell r="C423" t="str">
            <v>H1.0*W1.0</v>
          </cell>
          <cell r="D423">
            <v>63000</v>
          </cell>
        </row>
        <row r="424">
          <cell r="A424" t="str">
            <v>둥근주목W1.2</v>
          </cell>
          <cell r="B424" t="str">
            <v>둥근주목</v>
          </cell>
          <cell r="C424" t="str">
            <v>H1.0*W1.2</v>
          </cell>
          <cell r="D424">
            <v>102000</v>
          </cell>
        </row>
        <row r="425">
          <cell r="A425" t="str">
            <v>둥근주목W1.5</v>
          </cell>
          <cell r="B425" t="str">
            <v>둥근주목</v>
          </cell>
          <cell r="C425" t="str">
            <v>H1.2*W1.5</v>
          </cell>
          <cell r="D425">
            <v>588500</v>
          </cell>
        </row>
        <row r="426">
          <cell r="A426" t="str">
            <v>둥근향W0.6</v>
          </cell>
          <cell r="B426" t="str">
            <v>둥근향나무</v>
          </cell>
          <cell r="C426" t="str">
            <v>H0.4*W0.6</v>
          </cell>
          <cell r="D426">
            <v>8400</v>
          </cell>
        </row>
        <row r="427">
          <cell r="A427" t="str">
            <v>둥근향W0.9</v>
          </cell>
          <cell r="B427" t="str">
            <v>둥근향나무</v>
          </cell>
          <cell r="C427" t="str">
            <v>H0.6*W0.9</v>
          </cell>
          <cell r="D427">
            <v>17500</v>
          </cell>
        </row>
        <row r="428">
          <cell r="A428" t="str">
            <v>둥근향W1.2</v>
          </cell>
          <cell r="B428" t="str">
            <v>둥근향나무</v>
          </cell>
          <cell r="C428" t="str">
            <v>H0.6*W1.2</v>
          </cell>
          <cell r="D428">
            <v>39400</v>
          </cell>
        </row>
        <row r="429">
          <cell r="A429" t="str">
            <v>둥근향W1.5</v>
          </cell>
          <cell r="B429" t="str">
            <v>둥근향나무</v>
          </cell>
          <cell r="C429" t="str">
            <v>H0.8*W1.5</v>
          </cell>
          <cell r="D429">
            <v>82900</v>
          </cell>
        </row>
        <row r="430">
          <cell r="A430" t="str">
            <v>둥근향W1.8</v>
          </cell>
          <cell r="B430" t="str">
            <v>둥근향나무</v>
          </cell>
          <cell r="C430" t="str">
            <v>H1.2*W1.8</v>
          </cell>
          <cell r="D430">
            <v>155500</v>
          </cell>
        </row>
        <row r="431">
          <cell r="A431" t="str">
            <v>둥근향W2.0</v>
          </cell>
          <cell r="B431" t="str">
            <v>둥근향나무</v>
          </cell>
          <cell r="C431" t="str">
            <v>H1.5*W2.0</v>
          </cell>
          <cell r="D431">
            <v>169000</v>
          </cell>
        </row>
        <row r="432">
          <cell r="A432" t="str">
            <v>둥근향W2.5</v>
          </cell>
          <cell r="B432" t="str">
            <v>둥근향나무</v>
          </cell>
          <cell r="C432" t="str">
            <v>H2.0*W2.5</v>
          </cell>
          <cell r="D432">
            <v>947400</v>
          </cell>
        </row>
        <row r="433">
          <cell r="A433" t="str">
            <v>가시R4</v>
          </cell>
          <cell r="B433" t="str">
            <v>가시나무</v>
          </cell>
          <cell r="C433" t="str">
            <v>H2.0*R4</v>
          </cell>
          <cell r="D433">
            <v>26600</v>
          </cell>
        </row>
        <row r="434">
          <cell r="A434" t="str">
            <v>가시R5</v>
          </cell>
          <cell r="B434" t="str">
            <v>가시나무</v>
          </cell>
          <cell r="C434" t="str">
            <v>H2.5*R5</v>
          </cell>
          <cell r="D434">
            <v>44100</v>
          </cell>
        </row>
        <row r="435">
          <cell r="A435" t="str">
            <v>가시R6</v>
          </cell>
          <cell r="B435" t="str">
            <v>가시나무</v>
          </cell>
          <cell r="C435" t="str">
            <v>H3.5*R6</v>
          </cell>
          <cell r="D435">
            <v>74400</v>
          </cell>
        </row>
        <row r="436">
          <cell r="A436" t="str">
            <v>가시R8</v>
          </cell>
          <cell r="B436" t="str">
            <v>가시나무</v>
          </cell>
          <cell r="C436" t="str">
            <v>H4.0*R8</v>
          </cell>
          <cell r="D436">
            <v>123000</v>
          </cell>
        </row>
        <row r="437">
          <cell r="A437" t="str">
            <v>가이즈까H1.2</v>
          </cell>
          <cell r="B437" t="str">
            <v>가이즈까향</v>
          </cell>
          <cell r="C437" t="str">
            <v>H1.2*W0.4</v>
          </cell>
          <cell r="D437">
            <v>6300</v>
          </cell>
        </row>
        <row r="438">
          <cell r="A438" t="str">
            <v>가이즈까H1.5</v>
          </cell>
          <cell r="B438" t="str">
            <v>가이즈까향</v>
          </cell>
          <cell r="C438" t="str">
            <v>H1.5*W0.5</v>
          </cell>
          <cell r="D438">
            <v>9500</v>
          </cell>
        </row>
        <row r="439">
          <cell r="A439" t="str">
            <v>가이즈까H2.0W0.6</v>
          </cell>
          <cell r="B439" t="str">
            <v>가이즈까향</v>
          </cell>
          <cell r="C439" t="str">
            <v>H2.0*W0.6</v>
          </cell>
          <cell r="D439">
            <v>17900</v>
          </cell>
        </row>
        <row r="440">
          <cell r="A440" t="str">
            <v>가이즈까H2.0W0.8</v>
          </cell>
          <cell r="B440" t="str">
            <v>가이즈까향</v>
          </cell>
          <cell r="C440" t="str">
            <v>H2.0*W0.8</v>
          </cell>
          <cell r="D440">
            <v>31500</v>
          </cell>
        </row>
        <row r="441">
          <cell r="A441" t="str">
            <v>가이즈까H2.5</v>
          </cell>
          <cell r="B441" t="str">
            <v>가이즈까향</v>
          </cell>
          <cell r="C441" t="str">
            <v>H2.5*W1.0</v>
          </cell>
          <cell r="D441">
            <v>63000</v>
          </cell>
        </row>
        <row r="442">
          <cell r="A442" t="str">
            <v>가중B4</v>
          </cell>
          <cell r="B442" t="str">
            <v>가중나무</v>
          </cell>
          <cell r="C442" t="str">
            <v>H2.5*B4</v>
          </cell>
          <cell r="D442">
            <v>7300</v>
          </cell>
        </row>
        <row r="443">
          <cell r="A443" t="str">
            <v>가중B5</v>
          </cell>
          <cell r="B443" t="str">
            <v>가중나무</v>
          </cell>
          <cell r="C443" t="str">
            <v>H3.0*B5</v>
          </cell>
          <cell r="D443">
            <v>11200</v>
          </cell>
        </row>
        <row r="444">
          <cell r="A444" t="str">
            <v>가중B6</v>
          </cell>
          <cell r="B444" t="str">
            <v>가중나무</v>
          </cell>
          <cell r="C444" t="str">
            <v>H3.5*B6</v>
          </cell>
          <cell r="D444">
            <v>14900</v>
          </cell>
        </row>
        <row r="445">
          <cell r="A445" t="str">
            <v>가중B8</v>
          </cell>
          <cell r="B445" t="str">
            <v>가중나무</v>
          </cell>
          <cell r="C445" t="str">
            <v>H4.0*B8</v>
          </cell>
          <cell r="D445">
            <v>24300</v>
          </cell>
        </row>
        <row r="446">
          <cell r="A446" t="str">
            <v>가중B10</v>
          </cell>
          <cell r="B446" t="str">
            <v>가중나무</v>
          </cell>
          <cell r="C446" t="str">
            <v>H4.0*B10</v>
          </cell>
          <cell r="D446">
            <v>42700</v>
          </cell>
        </row>
        <row r="447">
          <cell r="A447" t="str">
            <v>감R5</v>
          </cell>
          <cell r="B447" t="str">
            <v>감나무</v>
          </cell>
          <cell r="C447" t="str">
            <v>H2.0*R5</v>
          </cell>
          <cell r="D447">
            <v>21700</v>
          </cell>
        </row>
        <row r="448">
          <cell r="A448" t="str">
            <v>감R6</v>
          </cell>
          <cell r="B448" t="str">
            <v>감나무</v>
          </cell>
          <cell r="C448" t="str">
            <v>H2.0*R6</v>
          </cell>
          <cell r="D448">
            <v>50400</v>
          </cell>
        </row>
        <row r="449">
          <cell r="A449" t="str">
            <v>감R7</v>
          </cell>
          <cell r="B449" t="str">
            <v>감나무</v>
          </cell>
          <cell r="C449" t="str">
            <v>H2.5*R7</v>
          </cell>
          <cell r="D449">
            <v>47500</v>
          </cell>
        </row>
        <row r="450">
          <cell r="A450" t="str">
            <v>감R8</v>
          </cell>
          <cell r="B450" t="str">
            <v>감나무</v>
          </cell>
          <cell r="C450" t="str">
            <v>H2.5*R8</v>
          </cell>
          <cell r="D450">
            <v>81900</v>
          </cell>
        </row>
        <row r="451">
          <cell r="A451" t="str">
            <v>감R10</v>
          </cell>
          <cell r="B451" t="str">
            <v>감나무</v>
          </cell>
          <cell r="C451" t="str">
            <v>H3.0*R10</v>
          </cell>
          <cell r="D451">
            <v>84000</v>
          </cell>
        </row>
        <row r="452">
          <cell r="A452" t="str">
            <v>감R12</v>
          </cell>
          <cell r="B452" t="str">
            <v>감나무</v>
          </cell>
          <cell r="C452" t="str">
            <v>H3.5*R12</v>
          </cell>
          <cell r="D452">
            <v>189000</v>
          </cell>
        </row>
        <row r="453">
          <cell r="A453" t="str">
            <v>감R15</v>
          </cell>
          <cell r="B453" t="str">
            <v>감나무</v>
          </cell>
          <cell r="C453" t="str">
            <v>H4.0*R15</v>
          </cell>
          <cell r="D453">
            <v>158000</v>
          </cell>
        </row>
        <row r="454">
          <cell r="A454" t="str">
            <v>구상H1.5</v>
          </cell>
          <cell r="B454" t="str">
            <v>구상나무</v>
          </cell>
          <cell r="C454" t="str">
            <v>H1.5*W0.5</v>
          </cell>
          <cell r="D454">
            <v>48200</v>
          </cell>
        </row>
        <row r="455">
          <cell r="A455" t="str">
            <v>구상H2.0</v>
          </cell>
          <cell r="B455" t="str">
            <v>구상나무</v>
          </cell>
          <cell r="C455" t="str">
            <v>H2.0*W0.8</v>
          </cell>
          <cell r="D455">
            <v>164700</v>
          </cell>
        </row>
        <row r="456">
          <cell r="A456" t="str">
            <v>구상H2.5</v>
          </cell>
          <cell r="B456" t="str">
            <v>구상나무</v>
          </cell>
          <cell r="C456" t="str">
            <v>H2.5*W1.0</v>
          </cell>
          <cell r="D456">
            <v>294200</v>
          </cell>
        </row>
        <row r="457">
          <cell r="A457" t="str">
            <v>구상H3.0</v>
          </cell>
          <cell r="B457" t="str">
            <v>구상나무</v>
          </cell>
          <cell r="C457" t="str">
            <v>H3.0*W1.2</v>
          </cell>
          <cell r="D457">
            <v>411900</v>
          </cell>
        </row>
        <row r="458">
          <cell r="A458" t="str">
            <v>해송W0.8</v>
          </cell>
          <cell r="B458" t="str">
            <v>해송</v>
          </cell>
          <cell r="C458" t="str">
            <v>H2.5*W0.8</v>
          </cell>
          <cell r="D458">
            <v>20800</v>
          </cell>
        </row>
        <row r="459">
          <cell r="A459" t="str">
            <v>해송W1.0</v>
          </cell>
          <cell r="B459" t="str">
            <v>해송</v>
          </cell>
          <cell r="C459" t="str">
            <v>H3.0*W1.0</v>
          </cell>
          <cell r="D459">
            <v>30200</v>
          </cell>
        </row>
        <row r="460">
          <cell r="A460" t="str">
            <v>해송R10</v>
          </cell>
          <cell r="B460" t="str">
            <v>해송</v>
          </cell>
          <cell r="C460" t="str">
            <v>H3.0*W1.2*R10</v>
          </cell>
          <cell r="D460">
            <v>326200</v>
          </cell>
        </row>
        <row r="461">
          <cell r="A461" t="str">
            <v>해송R12</v>
          </cell>
          <cell r="B461" t="str">
            <v>해송</v>
          </cell>
          <cell r="C461" t="str">
            <v>H3.5*W1.5*R12</v>
          </cell>
          <cell r="D461">
            <v>393000</v>
          </cell>
        </row>
        <row r="462">
          <cell r="A462" t="str">
            <v>해송R15</v>
          </cell>
          <cell r="B462" t="str">
            <v>해송</v>
          </cell>
          <cell r="C462" t="str">
            <v>H4.0*W2.0*R15</v>
          </cell>
          <cell r="D462">
            <v>513000</v>
          </cell>
        </row>
        <row r="463">
          <cell r="A463" t="str">
            <v>향W0.3</v>
          </cell>
          <cell r="B463" t="str">
            <v>향나무</v>
          </cell>
          <cell r="C463" t="str">
            <v>H1.0*W0.3</v>
          </cell>
          <cell r="D463">
            <v>2000</v>
          </cell>
        </row>
        <row r="464">
          <cell r="A464" t="str">
            <v>향W0.4</v>
          </cell>
          <cell r="B464" t="str">
            <v>향나무</v>
          </cell>
          <cell r="C464" t="str">
            <v>H1.2*W0.4</v>
          </cell>
          <cell r="D464">
            <v>3400</v>
          </cell>
        </row>
        <row r="465">
          <cell r="A465" t="str">
            <v>향W0.6</v>
          </cell>
          <cell r="B465" t="str">
            <v>향나무</v>
          </cell>
          <cell r="C465" t="str">
            <v>H1.5*W0.6</v>
          </cell>
          <cell r="D465">
            <v>9500</v>
          </cell>
        </row>
        <row r="466">
          <cell r="A466" t="str">
            <v>향W0.8</v>
          </cell>
          <cell r="B466" t="str">
            <v>향나무</v>
          </cell>
          <cell r="C466" t="str">
            <v>H2.0*W0.8</v>
          </cell>
          <cell r="D466">
            <v>26800</v>
          </cell>
        </row>
        <row r="467">
          <cell r="A467" t="str">
            <v>향W1.0</v>
          </cell>
          <cell r="B467" t="str">
            <v>향나무</v>
          </cell>
          <cell r="C467" t="str">
            <v>H3.0*W1.0</v>
          </cell>
          <cell r="D467">
            <v>65300</v>
          </cell>
        </row>
        <row r="468">
          <cell r="A468" t="str">
            <v>향W1.2</v>
          </cell>
          <cell r="B468" t="str">
            <v>향나무</v>
          </cell>
          <cell r="C468" t="str">
            <v>H3.0*W1.2</v>
          </cell>
          <cell r="D468">
            <v>91800</v>
          </cell>
        </row>
        <row r="469">
          <cell r="A469" t="str">
            <v>조형향W1.5</v>
          </cell>
          <cell r="B469" t="str">
            <v>조형향나무</v>
          </cell>
          <cell r="C469" t="str">
            <v>H3.5*W1.5</v>
          </cell>
          <cell r="D469">
            <v>473000</v>
          </cell>
        </row>
        <row r="470">
          <cell r="A470" t="str">
            <v>조형향W1.8</v>
          </cell>
          <cell r="B470" t="str">
            <v>조형향나무</v>
          </cell>
          <cell r="C470" t="str">
            <v>H4.0*W1.8</v>
          </cell>
          <cell r="D470">
            <v>947100</v>
          </cell>
        </row>
        <row r="471">
          <cell r="A471" t="str">
            <v>조형향W2.0</v>
          </cell>
          <cell r="B471" t="str">
            <v>조형향나무</v>
          </cell>
          <cell r="C471" t="str">
            <v>H4.0*W2.0</v>
          </cell>
          <cell r="D471">
            <v>1488300</v>
          </cell>
        </row>
        <row r="472">
          <cell r="A472" t="str">
            <v>화백H2.5</v>
          </cell>
          <cell r="B472" t="str">
            <v>화백</v>
          </cell>
          <cell r="C472" t="str">
            <v>H2.5*W1.0</v>
          </cell>
          <cell r="D472">
            <v>11400</v>
          </cell>
        </row>
        <row r="473">
          <cell r="A473" t="str">
            <v>화백H3.0</v>
          </cell>
          <cell r="B473" t="str">
            <v>화백</v>
          </cell>
          <cell r="C473" t="str">
            <v>H3.0*W1.2</v>
          </cell>
          <cell r="D473">
            <v>22000</v>
          </cell>
        </row>
        <row r="474">
          <cell r="A474" t="str">
            <v>화백H3.5</v>
          </cell>
          <cell r="B474" t="str">
            <v>화백</v>
          </cell>
          <cell r="C474" t="str">
            <v>H3.5*W1.5</v>
          </cell>
          <cell r="D474">
            <v>79000</v>
          </cell>
        </row>
        <row r="475">
          <cell r="A475" t="str">
            <v>화백H4.0</v>
          </cell>
          <cell r="B475" t="str">
            <v>화백</v>
          </cell>
          <cell r="C475" t="str">
            <v>H4.0*W1.8</v>
          </cell>
          <cell r="D475">
            <v>147000</v>
          </cell>
        </row>
        <row r="476">
          <cell r="A476" t="str">
            <v>후박R3</v>
          </cell>
          <cell r="B476" t="str">
            <v>후박나무</v>
          </cell>
          <cell r="C476" t="str">
            <v>H2.0*R3</v>
          </cell>
          <cell r="D476">
            <v>22400</v>
          </cell>
        </row>
        <row r="477">
          <cell r="A477" t="str">
            <v>후박R4</v>
          </cell>
          <cell r="B477" t="str">
            <v>후박나무</v>
          </cell>
          <cell r="C477" t="str">
            <v>H2.5*R4</v>
          </cell>
          <cell r="D477">
            <v>33800</v>
          </cell>
        </row>
        <row r="478">
          <cell r="A478" t="str">
            <v>후박R5</v>
          </cell>
          <cell r="B478" t="str">
            <v>후박나무</v>
          </cell>
          <cell r="C478" t="str">
            <v>H3.0*R5</v>
          </cell>
          <cell r="D478">
            <v>63800</v>
          </cell>
        </row>
        <row r="479">
          <cell r="A479" t="str">
            <v>히말라야시다H2.0</v>
          </cell>
          <cell r="B479" t="str">
            <v>히말라야시다</v>
          </cell>
          <cell r="C479" t="str">
            <v>H2.0*W0.8</v>
          </cell>
          <cell r="D479">
            <v>10000</v>
          </cell>
        </row>
        <row r="480">
          <cell r="A480" t="str">
            <v>히말라야시다H2.5</v>
          </cell>
          <cell r="B480" t="str">
            <v>히말라야시다</v>
          </cell>
          <cell r="C480" t="str">
            <v>H2.5*W1.0*B2</v>
          </cell>
          <cell r="D480">
            <v>23100</v>
          </cell>
        </row>
        <row r="481">
          <cell r="A481" t="str">
            <v>히말라야시다H3.0</v>
          </cell>
          <cell r="B481" t="str">
            <v>히말라야시다</v>
          </cell>
          <cell r="C481" t="str">
            <v>H3.0*W1.2*B3</v>
          </cell>
          <cell r="D481">
            <v>36400</v>
          </cell>
        </row>
        <row r="482">
          <cell r="A482" t="str">
            <v>히말라야시다H3.5</v>
          </cell>
          <cell r="B482" t="str">
            <v>히말라야시다</v>
          </cell>
          <cell r="C482" t="str">
            <v>H3.5*W1.5*B6</v>
          </cell>
          <cell r="D482">
            <v>66600</v>
          </cell>
        </row>
        <row r="483">
          <cell r="A483" t="str">
            <v>히말라야시다H4.0</v>
          </cell>
          <cell r="B483" t="str">
            <v>히말라야시다</v>
          </cell>
          <cell r="C483" t="str">
            <v>H4.0*W1.8*B8</v>
          </cell>
          <cell r="D483">
            <v>124000</v>
          </cell>
        </row>
        <row r="484">
          <cell r="A484" t="str">
            <v>히말라야시다H4.5</v>
          </cell>
          <cell r="B484" t="str">
            <v>히말라야시다</v>
          </cell>
          <cell r="C484" t="str">
            <v>H4.5*W2.0*B10</v>
          </cell>
          <cell r="D484">
            <v>312000</v>
          </cell>
        </row>
        <row r="485">
          <cell r="A485" t="str">
            <v>히말라야시다H5.0</v>
          </cell>
          <cell r="B485" t="str">
            <v>히말라야시다</v>
          </cell>
          <cell r="C485" t="str">
            <v>H5.0*W3.0*B15</v>
          </cell>
          <cell r="D485">
            <v>1074000</v>
          </cell>
        </row>
        <row r="486">
          <cell r="A486" t="str">
            <v>잣H1.0</v>
          </cell>
          <cell r="B486" t="str">
            <v>잣나무</v>
          </cell>
          <cell r="C486" t="str">
            <v>H1.0*W0.3</v>
          </cell>
          <cell r="D486">
            <v>2310</v>
          </cell>
        </row>
        <row r="487">
          <cell r="A487" t="str">
            <v>잣H1.5</v>
          </cell>
          <cell r="B487" t="str">
            <v>잣나무</v>
          </cell>
          <cell r="C487" t="str">
            <v>H1.5*W0.6</v>
          </cell>
          <cell r="D487">
            <v>6510</v>
          </cell>
        </row>
        <row r="488">
          <cell r="A488" t="str">
            <v>잣H2.0</v>
          </cell>
          <cell r="B488" t="str">
            <v>잣나무</v>
          </cell>
          <cell r="C488" t="str">
            <v>H2.0*W1.0</v>
          </cell>
          <cell r="D488">
            <v>9400</v>
          </cell>
        </row>
        <row r="489">
          <cell r="A489" t="str">
            <v>잣H2.5</v>
          </cell>
          <cell r="B489" t="str">
            <v>잣나무</v>
          </cell>
          <cell r="C489" t="str">
            <v>H2.5*W1.2</v>
          </cell>
          <cell r="D489">
            <v>13700</v>
          </cell>
        </row>
        <row r="490">
          <cell r="A490" t="str">
            <v>잣H3.0</v>
          </cell>
          <cell r="B490" t="str">
            <v>잣나무</v>
          </cell>
          <cell r="C490" t="str">
            <v>H3.0*W1.5</v>
          </cell>
          <cell r="D490">
            <v>19600</v>
          </cell>
        </row>
        <row r="491">
          <cell r="A491" t="str">
            <v>잣H3.5</v>
          </cell>
          <cell r="B491" t="str">
            <v>잣나무</v>
          </cell>
          <cell r="C491" t="str">
            <v>H3.5*W1.8</v>
          </cell>
          <cell r="D491">
            <v>64700</v>
          </cell>
        </row>
        <row r="492">
          <cell r="A492" t="str">
            <v>잣H4.0</v>
          </cell>
          <cell r="B492" t="str">
            <v>잣나무</v>
          </cell>
          <cell r="C492" t="str">
            <v>H4.0*W2.0</v>
          </cell>
          <cell r="D492">
            <v>131100</v>
          </cell>
        </row>
        <row r="493">
          <cell r="A493" t="str">
            <v>잣H5.0</v>
          </cell>
          <cell r="B493" t="str">
            <v>잣나무</v>
          </cell>
          <cell r="C493" t="str">
            <v>H5.0*W2.2</v>
          </cell>
          <cell r="D493">
            <v>200700</v>
          </cell>
        </row>
        <row r="494">
          <cell r="A494" t="str">
            <v>젓H1.5</v>
          </cell>
          <cell r="B494" t="str">
            <v>젓나무</v>
          </cell>
          <cell r="C494" t="str">
            <v>H1.5*W0.6</v>
          </cell>
          <cell r="D494">
            <v>6500</v>
          </cell>
        </row>
        <row r="495">
          <cell r="A495" t="str">
            <v>젓H2.0</v>
          </cell>
          <cell r="B495" t="str">
            <v>젓나무</v>
          </cell>
          <cell r="C495" t="str">
            <v>H2.0*W1.0</v>
          </cell>
          <cell r="D495">
            <v>27390</v>
          </cell>
        </row>
        <row r="496">
          <cell r="A496" t="str">
            <v>젓H2.0W1.2</v>
          </cell>
          <cell r="B496" t="str">
            <v>젓나무</v>
          </cell>
          <cell r="C496" t="str">
            <v>H2.0*W1.2</v>
          </cell>
          <cell r="D496">
            <v>25000</v>
          </cell>
        </row>
        <row r="497">
          <cell r="A497" t="str">
            <v>젓H2.5</v>
          </cell>
          <cell r="B497" t="str">
            <v>젓나무</v>
          </cell>
          <cell r="C497" t="str">
            <v>H2.5*W1.2</v>
          </cell>
          <cell r="D497">
            <v>29800</v>
          </cell>
        </row>
        <row r="498">
          <cell r="A498" t="str">
            <v>젓H3.0</v>
          </cell>
          <cell r="B498" t="str">
            <v>젓나무</v>
          </cell>
          <cell r="C498" t="str">
            <v>H3.0*W1.5</v>
          </cell>
          <cell r="D498">
            <v>104500</v>
          </cell>
        </row>
        <row r="499">
          <cell r="A499" t="str">
            <v>젓H3.5</v>
          </cell>
          <cell r="B499" t="str">
            <v>젓나무</v>
          </cell>
          <cell r="C499" t="str">
            <v>H3.5*W1.8</v>
          </cell>
          <cell r="D499">
            <v>137390</v>
          </cell>
        </row>
        <row r="500">
          <cell r="A500" t="str">
            <v>젓H4.0</v>
          </cell>
          <cell r="B500" t="str">
            <v>젓나무</v>
          </cell>
          <cell r="C500" t="str">
            <v>H4.0*W2.0</v>
          </cell>
          <cell r="D500">
            <v>242660</v>
          </cell>
        </row>
        <row r="501">
          <cell r="A501" t="str">
            <v>조형향W1.0</v>
          </cell>
          <cell r="B501" t="str">
            <v>조형가이즈까향</v>
          </cell>
          <cell r="C501" t="str">
            <v>H3.0*W1.0</v>
          </cell>
          <cell r="D501">
            <v>203800</v>
          </cell>
        </row>
        <row r="502">
          <cell r="A502" t="str">
            <v>조형향W1.2</v>
          </cell>
          <cell r="B502" t="str">
            <v>조형가이즈까향</v>
          </cell>
          <cell r="C502" t="str">
            <v>H3.0*W1.2</v>
          </cell>
          <cell r="D502">
            <v>407710</v>
          </cell>
        </row>
        <row r="503">
          <cell r="A503" t="str">
            <v>조형향W1.4</v>
          </cell>
          <cell r="B503" t="str">
            <v>조형가이즈까향</v>
          </cell>
          <cell r="C503" t="str">
            <v>H3.0*W1.4</v>
          </cell>
          <cell r="D503">
            <v>815430</v>
          </cell>
        </row>
        <row r="504">
          <cell r="A504" t="str">
            <v>조형향W1.6</v>
          </cell>
          <cell r="B504" t="str">
            <v>조형가이즈까향</v>
          </cell>
          <cell r="C504" t="str">
            <v>H3.5*W1.6</v>
          </cell>
          <cell r="D504">
            <v>1630860</v>
          </cell>
        </row>
        <row r="505">
          <cell r="A505" t="str">
            <v>섬잣H1.0</v>
          </cell>
          <cell r="B505" t="str">
            <v>섬잣나무</v>
          </cell>
          <cell r="C505" t="str">
            <v>H1.0*W0.5</v>
          </cell>
          <cell r="D505">
            <v>14700</v>
          </cell>
        </row>
        <row r="506">
          <cell r="A506" t="str">
            <v>섬잣H1.5</v>
          </cell>
          <cell r="B506" t="str">
            <v>섬잣나무</v>
          </cell>
          <cell r="C506" t="str">
            <v>H1.5*W0.8</v>
          </cell>
          <cell r="D506">
            <v>28100</v>
          </cell>
        </row>
        <row r="507">
          <cell r="A507" t="str">
            <v>섬잣H2.0</v>
          </cell>
          <cell r="B507" t="str">
            <v>섬잣나무</v>
          </cell>
          <cell r="C507" t="str">
            <v>H2.0*W1.0</v>
          </cell>
          <cell r="D507">
            <v>57700</v>
          </cell>
        </row>
        <row r="508">
          <cell r="A508" t="str">
            <v>조형섬잣H2.5</v>
          </cell>
          <cell r="B508" t="str">
            <v>조형섬잣</v>
          </cell>
          <cell r="C508" t="str">
            <v>H2.5*W1.2</v>
          </cell>
          <cell r="D508">
            <v>807800</v>
          </cell>
        </row>
        <row r="509">
          <cell r="A509" t="str">
            <v>조형섬잣H3.0</v>
          </cell>
          <cell r="B509" t="str">
            <v>조형섬잣</v>
          </cell>
          <cell r="C509" t="str">
            <v>H3.0*W1.5</v>
          </cell>
          <cell r="D509">
            <v>1631200</v>
          </cell>
        </row>
        <row r="510">
          <cell r="A510" t="str">
            <v>조형섬잣H3.5</v>
          </cell>
          <cell r="B510" t="str">
            <v>조형섬잣</v>
          </cell>
          <cell r="C510" t="str">
            <v>H3.5*W1.8</v>
          </cell>
          <cell r="D510">
            <v>3029600</v>
          </cell>
        </row>
        <row r="511">
          <cell r="A511" t="str">
            <v>조형소R6</v>
          </cell>
          <cell r="B511" t="str">
            <v>조형소나무</v>
          </cell>
          <cell r="C511" t="str">
            <v>H2.0*R6</v>
          </cell>
          <cell r="D511">
            <v>141200</v>
          </cell>
        </row>
        <row r="512">
          <cell r="A512" t="str">
            <v>조형소R8</v>
          </cell>
          <cell r="B512" t="str">
            <v>조형소나무</v>
          </cell>
          <cell r="C512" t="str">
            <v>H2.5*R8</v>
          </cell>
          <cell r="D512">
            <v>282500</v>
          </cell>
        </row>
        <row r="513">
          <cell r="A513" t="str">
            <v>조형소R10</v>
          </cell>
          <cell r="B513" t="str">
            <v>조형소나무</v>
          </cell>
          <cell r="C513" t="str">
            <v>H2.5*R10</v>
          </cell>
          <cell r="D513">
            <v>536600</v>
          </cell>
        </row>
        <row r="514">
          <cell r="A514" t="str">
            <v>조형소R12</v>
          </cell>
          <cell r="B514" t="str">
            <v>조형소나무</v>
          </cell>
          <cell r="C514" t="str">
            <v>H3.0*R12</v>
          </cell>
          <cell r="D514">
            <v>861500</v>
          </cell>
        </row>
        <row r="515">
          <cell r="A515" t="str">
            <v>조형소R15</v>
          </cell>
          <cell r="B515" t="str">
            <v>조형소나무</v>
          </cell>
          <cell r="C515" t="str">
            <v>H3.5*R15</v>
          </cell>
          <cell r="D515">
            <v>1299400</v>
          </cell>
        </row>
        <row r="516">
          <cell r="A516" t="str">
            <v>조형소R20</v>
          </cell>
          <cell r="B516" t="str">
            <v>조형소나무</v>
          </cell>
          <cell r="C516" t="str">
            <v>H4.0*R20</v>
          </cell>
          <cell r="D516">
            <v>1906700</v>
          </cell>
        </row>
        <row r="517">
          <cell r="A517" t="str">
            <v>조형소R25</v>
          </cell>
          <cell r="B517" t="str">
            <v>조형소나무</v>
          </cell>
          <cell r="C517" t="str">
            <v>H4.5*R25</v>
          </cell>
          <cell r="D517">
            <v>2683200</v>
          </cell>
        </row>
        <row r="518">
          <cell r="A518" t="str">
            <v>조형소R30</v>
          </cell>
          <cell r="B518" t="str">
            <v>조형소나무</v>
          </cell>
          <cell r="C518" t="str">
            <v>H5.0*R30</v>
          </cell>
          <cell r="D518">
            <v>3248400</v>
          </cell>
        </row>
        <row r="519">
          <cell r="A519" t="str">
            <v>조형향W1.5</v>
          </cell>
          <cell r="B519" t="str">
            <v>조형향나무</v>
          </cell>
          <cell r="C519" t="str">
            <v>H3.5*W1.5</v>
          </cell>
          <cell r="D519">
            <v>473000</v>
          </cell>
        </row>
        <row r="520">
          <cell r="A520" t="str">
            <v>조형향W1.8</v>
          </cell>
          <cell r="B520" t="str">
            <v>조형향나무</v>
          </cell>
          <cell r="C520" t="str">
            <v>H4.0*W1.8</v>
          </cell>
          <cell r="D520">
            <v>947100</v>
          </cell>
        </row>
        <row r="521">
          <cell r="A521" t="str">
            <v>조형향W2.0</v>
          </cell>
          <cell r="B521" t="str">
            <v>조형향나무</v>
          </cell>
          <cell r="C521" t="str">
            <v>H4.0*W2.0</v>
          </cell>
          <cell r="D521">
            <v>1488300</v>
          </cell>
        </row>
        <row r="522">
          <cell r="A522" t="str">
            <v>편백H1.5</v>
          </cell>
          <cell r="B522" t="str">
            <v>편백</v>
          </cell>
          <cell r="C522" t="str">
            <v>H1.5*W0.5</v>
          </cell>
          <cell r="D522">
            <v>1100</v>
          </cell>
        </row>
        <row r="523">
          <cell r="A523" t="str">
            <v>편백H2.0</v>
          </cell>
          <cell r="B523" t="str">
            <v>편백</v>
          </cell>
          <cell r="C523" t="str">
            <v>H2.0*W0.8</v>
          </cell>
          <cell r="D523">
            <v>3500</v>
          </cell>
        </row>
        <row r="524">
          <cell r="A524" t="str">
            <v>편백H2.5</v>
          </cell>
          <cell r="B524" t="str">
            <v>편백</v>
          </cell>
          <cell r="C524" t="str">
            <v>H2.5*W1.0</v>
          </cell>
          <cell r="D524">
            <v>11600</v>
          </cell>
        </row>
        <row r="525">
          <cell r="A525" t="str">
            <v>편백H3.0</v>
          </cell>
          <cell r="B525" t="str">
            <v>편백</v>
          </cell>
          <cell r="C525" t="str">
            <v>H3.0*W1.2</v>
          </cell>
          <cell r="D525">
            <v>43800</v>
          </cell>
        </row>
        <row r="526">
          <cell r="A526" t="str">
            <v>편백H3.5</v>
          </cell>
          <cell r="B526" t="str">
            <v>편백</v>
          </cell>
          <cell r="C526" t="str">
            <v>H3.5*W1.5</v>
          </cell>
          <cell r="D526">
            <v>79000</v>
          </cell>
        </row>
        <row r="527">
          <cell r="A527" t="str">
            <v>황금편백H2.0</v>
          </cell>
          <cell r="B527" t="str">
            <v>황금편백</v>
          </cell>
          <cell r="C527" t="str">
            <v>H2.0*W1.5</v>
          </cell>
          <cell r="D527">
            <v>28400</v>
          </cell>
        </row>
        <row r="528">
          <cell r="A528" t="str">
            <v>황금편백H3.0</v>
          </cell>
          <cell r="B528" t="str">
            <v>황금편백</v>
          </cell>
          <cell r="C528" t="str">
            <v>H3.0*W1.5</v>
          </cell>
          <cell r="D528">
            <v>34800</v>
          </cell>
        </row>
        <row r="529">
          <cell r="A529" t="str">
            <v>실편백H1.5</v>
          </cell>
          <cell r="B529" t="str">
            <v>실편백</v>
          </cell>
          <cell r="C529" t="str">
            <v>H1.5*W1.0</v>
          </cell>
          <cell r="D529">
            <v>15400</v>
          </cell>
        </row>
        <row r="530">
          <cell r="A530" t="str">
            <v>실편백H2.0</v>
          </cell>
          <cell r="B530" t="str">
            <v>실편백</v>
          </cell>
          <cell r="C530" t="str">
            <v>H2.0*W1.5</v>
          </cell>
          <cell r="D530">
            <v>67830</v>
          </cell>
        </row>
        <row r="531">
          <cell r="A531" t="str">
            <v>실편백H2.5</v>
          </cell>
          <cell r="B531" t="str">
            <v>실편백</v>
          </cell>
          <cell r="C531" t="str">
            <v>H2.5*W1.8</v>
          </cell>
          <cell r="D531">
            <v>111190</v>
          </cell>
        </row>
        <row r="532">
          <cell r="A532" t="str">
            <v>측백H1.2</v>
          </cell>
          <cell r="B532" t="str">
            <v>측백나무</v>
          </cell>
          <cell r="C532" t="str">
            <v>H1.2*W0.3</v>
          </cell>
          <cell r="D532">
            <v>1200</v>
          </cell>
        </row>
        <row r="533">
          <cell r="A533" t="str">
            <v>측백H1.5</v>
          </cell>
          <cell r="B533" t="str">
            <v>측백나무</v>
          </cell>
          <cell r="C533" t="str">
            <v>H1.5*W0.4</v>
          </cell>
          <cell r="D533">
            <v>2600</v>
          </cell>
        </row>
        <row r="534">
          <cell r="A534" t="str">
            <v>측백H2.0</v>
          </cell>
          <cell r="B534" t="str">
            <v>측백나무</v>
          </cell>
          <cell r="C534" t="str">
            <v>H2.0*W0.6</v>
          </cell>
          <cell r="D534">
            <v>3900</v>
          </cell>
        </row>
        <row r="535">
          <cell r="A535" t="str">
            <v>측백H2.5</v>
          </cell>
          <cell r="B535" t="str">
            <v>측백나무</v>
          </cell>
          <cell r="C535" t="str">
            <v>H2.5*W0.8</v>
          </cell>
          <cell r="D535">
            <v>35090</v>
          </cell>
        </row>
        <row r="536">
          <cell r="A536" t="str">
            <v>측백H3.0</v>
          </cell>
          <cell r="B536" t="str">
            <v>측백나무</v>
          </cell>
          <cell r="C536" t="str">
            <v>H3.0*W1.0</v>
          </cell>
          <cell r="D536">
            <v>59510</v>
          </cell>
        </row>
        <row r="537">
          <cell r="A537" t="str">
            <v>측백H3.5</v>
          </cell>
          <cell r="B537" t="str">
            <v>측백나무</v>
          </cell>
          <cell r="C537" t="str">
            <v>H3.5*W1.2</v>
          </cell>
          <cell r="D537">
            <v>119020</v>
          </cell>
        </row>
        <row r="538">
          <cell r="A538" t="str">
            <v>둥근측백H0.9</v>
          </cell>
          <cell r="B538" t="str">
            <v>둥근측백나무</v>
          </cell>
          <cell r="C538" t="str">
            <v>H0.9*W0.5</v>
          </cell>
          <cell r="D538">
            <v>2700</v>
          </cell>
        </row>
        <row r="539">
          <cell r="A539" t="str">
            <v>둥근측백H1.2</v>
          </cell>
          <cell r="B539" t="str">
            <v>둥근측백나무</v>
          </cell>
          <cell r="C539" t="str">
            <v>H1.2*W0.7</v>
          </cell>
          <cell r="D539">
            <v>12300</v>
          </cell>
        </row>
        <row r="540">
          <cell r="A540" t="str">
            <v>둥근측백H1.5</v>
          </cell>
          <cell r="B540" t="str">
            <v>둥근측백나무</v>
          </cell>
          <cell r="C540" t="str">
            <v>H1.5*W0.9</v>
          </cell>
          <cell r="D540">
            <v>16000</v>
          </cell>
        </row>
        <row r="541">
          <cell r="A541" t="str">
            <v>서양측백H1.2</v>
          </cell>
          <cell r="B541" t="str">
            <v>서양측백</v>
          </cell>
          <cell r="C541" t="str">
            <v>H1.2*W0.4</v>
          </cell>
          <cell r="D541">
            <v>7300</v>
          </cell>
        </row>
        <row r="542">
          <cell r="A542" t="str">
            <v>서양측백H1.5</v>
          </cell>
          <cell r="B542" t="str">
            <v>서양측백</v>
          </cell>
          <cell r="C542" t="str">
            <v>H1.5*W0.5</v>
          </cell>
          <cell r="D542">
            <v>10800</v>
          </cell>
        </row>
        <row r="543">
          <cell r="A543" t="str">
            <v>서양측백H2.0</v>
          </cell>
          <cell r="B543" t="str">
            <v>서양측백</v>
          </cell>
          <cell r="C543" t="str">
            <v>H2.0*W0.6</v>
          </cell>
          <cell r="D543">
            <v>19600</v>
          </cell>
        </row>
        <row r="544">
          <cell r="A544" t="str">
            <v>서양측백H2.5</v>
          </cell>
          <cell r="B544" t="str">
            <v>서양측백</v>
          </cell>
          <cell r="C544" t="str">
            <v>H2.5*W0.8</v>
          </cell>
          <cell r="D544">
            <v>23000</v>
          </cell>
        </row>
        <row r="545">
          <cell r="A545" t="str">
            <v>서양측백H3.0</v>
          </cell>
          <cell r="B545" t="str">
            <v>서양측백</v>
          </cell>
          <cell r="C545" t="str">
            <v>H3.0*W1.0</v>
          </cell>
          <cell r="D545">
            <v>54300</v>
          </cell>
        </row>
        <row r="546">
          <cell r="A546" t="str">
            <v>서양측백H3.5</v>
          </cell>
          <cell r="B546" t="str">
            <v>서양측백</v>
          </cell>
          <cell r="C546" t="str">
            <v>H3.5*W1.2</v>
          </cell>
          <cell r="D546">
            <v>170000</v>
          </cell>
        </row>
        <row r="547">
          <cell r="A547" t="str">
            <v>주목H1.0</v>
          </cell>
          <cell r="B547" t="str">
            <v>주목</v>
          </cell>
          <cell r="C547" t="str">
            <v>H1.0*W0.6</v>
          </cell>
          <cell r="D547">
            <v>56800</v>
          </cell>
        </row>
        <row r="548">
          <cell r="A548" t="str">
            <v>주목H1.5</v>
          </cell>
          <cell r="B548" t="str">
            <v>주목</v>
          </cell>
          <cell r="C548" t="str">
            <v>H1.5*W0.8</v>
          </cell>
          <cell r="D548">
            <v>154000</v>
          </cell>
        </row>
        <row r="549">
          <cell r="A549" t="str">
            <v>주목H2.0</v>
          </cell>
          <cell r="B549" t="str">
            <v>주목</v>
          </cell>
          <cell r="C549" t="str">
            <v>H2.0*W1.0</v>
          </cell>
          <cell r="D549">
            <v>210000</v>
          </cell>
        </row>
        <row r="550">
          <cell r="A550" t="str">
            <v>주목H2.5</v>
          </cell>
          <cell r="B550" t="str">
            <v>주목</v>
          </cell>
          <cell r="C550" t="str">
            <v>H2.5*W1.5</v>
          </cell>
          <cell r="D550">
            <v>880000</v>
          </cell>
        </row>
        <row r="551">
          <cell r="A551" t="str">
            <v>주목H3.0</v>
          </cell>
          <cell r="B551" t="str">
            <v>주목</v>
          </cell>
          <cell r="C551" t="str">
            <v>H3.0*W2.0</v>
          </cell>
          <cell r="D551">
            <v>1430000</v>
          </cell>
        </row>
        <row r="552">
          <cell r="A552" t="str">
            <v>소R10</v>
          </cell>
          <cell r="B552" t="str">
            <v>소나무</v>
          </cell>
          <cell r="C552" t="str">
            <v>H3.0*W1.5*R10</v>
          </cell>
          <cell r="D552">
            <v>195000</v>
          </cell>
        </row>
        <row r="553">
          <cell r="A553" t="str">
            <v>소R15</v>
          </cell>
          <cell r="B553" t="str">
            <v>소나무</v>
          </cell>
          <cell r="C553" t="str">
            <v>H4.0*W2.0*R15</v>
          </cell>
          <cell r="D553">
            <v>319000</v>
          </cell>
        </row>
        <row r="554">
          <cell r="A554" t="str">
            <v>소R20</v>
          </cell>
          <cell r="B554" t="str">
            <v>소나무</v>
          </cell>
          <cell r="C554" t="str">
            <v>H5.0*W2.5*R20</v>
          </cell>
          <cell r="D554">
            <v>465000</v>
          </cell>
        </row>
        <row r="555">
          <cell r="A555" t="str">
            <v>스트잣H2.0</v>
          </cell>
          <cell r="B555" t="str">
            <v>스트로브잣나무</v>
          </cell>
          <cell r="C555" t="str">
            <v>H2.0*W1.0</v>
          </cell>
          <cell r="D555">
            <v>17600</v>
          </cell>
        </row>
        <row r="556">
          <cell r="A556" t="str">
            <v>스트잣H2.5</v>
          </cell>
          <cell r="B556" t="str">
            <v>스트로브잣나무</v>
          </cell>
          <cell r="C556" t="str">
            <v>H2.5*W1.2</v>
          </cell>
          <cell r="D556">
            <v>25800</v>
          </cell>
        </row>
        <row r="557">
          <cell r="A557" t="str">
            <v>스트잣H3.0</v>
          </cell>
          <cell r="B557" t="str">
            <v>스트로브잣나무</v>
          </cell>
          <cell r="C557" t="str">
            <v>H3.0*W1.5</v>
          </cell>
          <cell r="D557">
            <v>36400</v>
          </cell>
        </row>
        <row r="558">
          <cell r="A558" t="str">
            <v>스트잣H4.0</v>
          </cell>
          <cell r="B558" t="str">
            <v>스트로브잣나무</v>
          </cell>
          <cell r="C558" t="str">
            <v>H4.0*W1.8</v>
          </cell>
          <cell r="D558">
            <v>124000</v>
          </cell>
        </row>
        <row r="559">
          <cell r="A559" t="str">
            <v>스트잣H5.0</v>
          </cell>
          <cell r="B559" t="str">
            <v>스트로브잣나무</v>
          </cell>
          <cell r="C559" t="str">
            <v>H5.0*W2.0</v>
          </cell>
          <cell r="D559">
            <v>235000</v>
          </cell>
        </row>
        <row r="560">
          <cell r="A560" t="str">
            <v>태산목H1.5</v>
          </cell>
          <cell r="B560" t="str">
            <v>태산목</v>
          </cell>
          <cell r="C560" t="str">
            <v>H1.5*W0.5</v>
          </cell>
          <cell r="D560">
            <v>33700</v>
          </cell>
        </row>
        <row r="561">
          <cell r="A561" t="str">
            <v>태산목H2.0</v>
          </cell>
          <cell r="B561" t="str">
            <v>태산목</v>
          </cell>
          <cell r="C561" t="str">
            <v>H2.0*W1.0</v>
          </cell>
          <cell r="D561">
            <v>77700</v>
          </cell>
        </row>
        <row r="562">
          <cell r="A562" t="str">
            <v>태산목H2.5</v>
          </cell>
          <cell r="B562" t="str">
            <v>태산목</v>
          </cell>
          <cell r="C562" t="str">
            <v>H2.5*W1.2</v>
          </cell>
          <cell r="D562">
            <v>109000</v>
          </cell>
        </row>
        <row r="563">
          <cell r="A563" t="str">
            <v>앵두W0.6</v>
          </cell>
          <cell r="B563" t="str">
            <v>앵두나무</v>
          </cell>
          <cell r="C563" t="str">
            <v>H1.2*W0.6</v>
          </cell>
          <cell r="D563">
            <v>11700</v>
          </cell>
        </row>
        <row r="564">
          <cell r="A564" t="str">
            <v>앵두W0.8</v>
          </cell>
          <cell r="B564" t="str">
            <v>앵두나무</v>
          </cell>
          <cell r="C564" t="str">
            <v>H1.5*W0.8</v>
          </cell>
          <cell r="D564">
            <v>7535</v>
          </cell>
        </row>
        <row r="565">
          <cell r="A565" t="str">
            <v>앵두W1.2</v>
          </cell>
          <cell r="B565" t="str">
            <v>앵두나무</v>
          </cell>
          <cell r="C565" t="str">
            <v>H1.8*W1.2</v>
          </cell>
          <cell r="D565">
            <v>9365</v>
          </cell>
        </row>
        <row r="566">
          <cell r="A566" t="str">
            <v>영산홍W0.3</v>
          </cell>
          <cell r="B566" t="str">
            <v>영산홍</v>
          </cell>
          <cell r="C566" t="str">
            <v>H0.3*W0.3</v>
          </cell>
          <cell r="D566">
            <v>1000</v>
          </cell>
        </row>
        <row r="567">
          <cell r="A567" t="str">
            <v>영산홍W0.4</v>
          </cell>
          <cell r="B567" t="str">
            <v>영산홍</v>
          </cell>
          <cell r="C567" t="str">
            <v>H0.3*W0.4</v>
          </cell>
          <cell r="D567">
            <v>1800</v>
          </cell>
        </row>
        <row r="568">
          <cell r="A568" t="str">
            <v>영산홍W0.5</v>
          </cell>
          <cell r="B568" t="str">
            <v>영산홍</v>
          </cell>
          <cell r="C568" t="str">
            <v>H0.4*W0.5</v>
          </cell>
          <cell r="D568">
            <v>3400</v>
          </cell>
        </row>
        <row r="569">
          <cell r="A569" t="str">
            <v>영산홍W0.6</v>
          </cell>
          <cell r="B569" t="str">
            <v>영산홍</v>
          </cell>
          <cell r="C569" t="str">
            <v>H0.5*W0.6</v>
          </cell>
          <cell r="D569">
            <v>5000</v>
          </cell>
        </row>
        <row r="570">
          <cell r="A570" t="str">
            <v>영산홍W0.8</v>
          </cell>
          <cell r="B570" t="str">
            <v>영산홍</v>
          </cell>
          <cell r="C570" t="str">
            <v>H0.5*W0.8</v>
          </cell>
          <cell r="D570">
            <v>18480</v>
          </cell>
        </row>
        <row r="571">
          <cell r="A571" t="str">
            <v>영산홍W1.0</v>
          </cell>
          <cell r="B571" t="str">
            <v>영산홍</v>
          </cell>
          <cell r="C571" t="str">
            <v>H0.8*W1.0</v>
          </cell>
          <cell r="D571">
            <v>43150</v>
          </cell>
        </row>
        <row r="572">
          <cell r="A572" t="str">
            <v>옥향W0.4</v>
          </cell>
          <cell r="B572" t="str">
            <v>옥향</v>
          </cell>
          <cell r="C572" t="str">
            <v>H0.3*W0.4</v>
          </cell>
          <cell r="D572">
            <v>7600</v>
          </cell>
        </row>
        <row r="573">
          <cell r="A573" t="str">
            <v>옥향W0.5</v>
          </cell>
          <cell r="B573" t="str">
            <v>옥향</v>
          </cell>
          <cell r="C573" t="str">
            <v>H0.3*W0.5</v>
          </cell>
          <cell r="D573">
            <v>8300</v>
          </cell>
        </row>
        <row r="574">
          <cell r="A574" t="str">
            <v>옥향W0.6</v>
          </cell>
          <cell r="B574" t="str">
            <v>옥향</v>
          </cell>
          <cell r="C574" t="str">
            <v>H0.4*W0.6</v>
          </cell>
          <cell r="D574">
            <v>18300</v>
          </cell>
        </row>
        <row r="575">
          <cell r="A575" t="str">
            <v>옥향W0.8</v>
          </cell>
          <cell r="B575" t="str">
            <v>옥향</v>
          </cell>
          <cell r="C575" t="str">
            <v>H0.5*W0.8</v>
          </cell>
          <cell r="D575">
            <v>20000</v>
          </cell>
        </row>
        <row r="576">
          <cell r="A576" t="str">
            <v>옥향W1.0</v>
          </cell>
          <cell r="B576" t="str">
            <v>옥향</v>
          </cell>
          <cell r="C576" t="str">
            <v>H0.5*W1.0</v>
          </cell>
          <cell r="D576">
            <v>29800</v>
          </cell>
        </row>
        <row r="577">
          <cell r="A577" t="str">
            <v>옥향W1.2</v>
          </cell>
          <cell r="B577" t="str">
            <v>옥향</v>
          </cell>
          <cell r="C577" t="str">
            <v>H0.8*W1.2</v>
          </cell>
          <cell r="D577">
            <v>91800</v>
          </cell>
        </row>
        <row r="578">
          <cell r="A578" t="str">
            <v>단풍철쭉W0.1</v>
          </cell>
          <cell r="B578" t="str">
            <v>단풍철쭉</v>
          </cell>
          <cell r="C578" t="str">
            <v>H0.3*W0.1</v>
          </cell>
          <cell r="D578">
            <v>1800</v>
          </cell>
        </row>
        <row r="579">
          <cell r="A579" t="str">
            <v>단풍철쭉W0.15</v>
          </cell>
          <cell r="B579" t="str">
            <v>단풍철쭉</v>
          </cell>
          <cell r="C579" t="str">
            <v>H0.4*W0.15</v>
          </cell>
          <cell r="D579">
            <v>2500</v>
          </cell>
        </row>
        <row r="580">
          <cell r="A580" t="str">
            <v>단풍철쭉W0.2</v>
          </cell>
          <cell r="B580" t="str">
            <v>단풍철쭉</v>
          </cell>
          <cell r="C580" t="str">
            <v>H0.4*W0.2</v>
          </cell>
          <cell r="D580">
            <v>3500</v>
          </cell>
        </row>
        <row r="581">
          <cell r="A581" t="str">
            <v>황철쭉W0.3</v>
          </cell>
          <cell r="B581" t="str">
            <v>황철쭉</v>
          </cell>
          <cell r="C581" t="str">
            <v>H0.3*W0.3</v>
          </cell>
          <cell r="D581">
            <v>1100</v>
          </cell>
        </row>
        <row r="582">
          <cell r="A582" t="str">
            <v>황철쭉W0.4</v>
          </cell>
          <cell r="B582" t="str">
            <v>황철쭉</v>
          </cell>
          <cell r="C582" t="str">
            <v>H0.4*W0.4</v>
          </cell>
          <cell r="D582">
            <v>1200</v>
          </cell>
        </row>
        <row r="583">
          <cell r="A583" t="str">
            <v>황철쭉W0.5</v>
          </cell>
          <cell r="B583" t="str">
            <v>황철쭉</v>
          </cell>
          <cell r="C583" t="str">
            <v>H0.5*W0.5</v>
          </cell>
          <cell r="D583">
            <v>2800</v>
          </cell>
        </row>
        <row r="584">
          <cell r="A584" t="str">
            <v>황철쭉W0.6</v>
          </cell>
          <cell r="B584" t="str">
            <v>황철쭉</v>
          </cell>
          <cell r="C584" t="str">
            <v>H0.6*W0.6</v>
          </cell>
          <cell r="D584">
            <v>5600</v>
          </cell>
        </row>
        <row r="585">
          <cell r="A585" t="str">
            <v>박태기W0.3</v>
          </cell>
          <cell r="B585" t="str">
            <v>박태기</v>
          </cell>
          <cell r="C585" t="str">
            <v>H1.0*W0.3</v>
          </cell>
          <cell r="D585">
            <v>3800</v>
          </cell>
        </row>
        <row r="586">
          <cell r="A586" t="str">
            <v>박태기W0.5</v>
          </cell>
          <cell r="B586" t="str">
            <v>박태기</v>
          </cell>
          <cell r="C586" t="str">
            <v>H1.2*W0.5</v>
          </cell>
          <cell r="D586">
            <v>4300</v>
          </cell>
        </row>
        <row r="587">
          <cell r="A587" t="str">
            <v>박태기W0.6</v>
          </cell>
          <cell r="B587" t="str">
            <v>박태기</v>
          </cell>
          <cell r="C587" t="str">
            <v>H1.5*W0.6</v>
          </cell>
          <cell r="D587">
            <v>4100</v>
          </cell>
        </row>
        <row r="588">
          <cell r="A588" t="str">
            <v>박태기W0.8</v>
          </cell>
          <cell r="B588" t="str">
            <v>박태기</v>
          </cell>
          <cell r="C588" t="str">
            <v>H1.8*W0.8</v>
          </cell>
          <cell r="D588">
            <v>7300</v>
          </cell>
        </row>
        <row r="589">
          <cell r="A589" t="str">
            <v>백철쭉W0.3</v>
          </cell>
          <cell r="B589" t="str">
            <v>백철쭉</v>
          </cell>
          <cell r="C589" t="str">
            <v>H0.3*W0.3</v>
          </cell>
          <cell r="D589">
            <v>2420</v>
          </cell>
        </row>
        <row r="590">
          <cell r="A590" t="str">
            <v>백철쭉W0.4</v>
          </cell>
          <cell r="B590" t="str">
            <v>백철쭉</v>
          </cell>
          <cell r="C590" t="str">
            <v>H0.3*W0.4</v>
          </cell>
          <cell r="D590">
            <v>2000</v>
          </cell>
        </row>
        <row r="591">
          <cell r="A591" t="str">
            <v>백철쭉W0.5</v>
          </cell>
          <cell r="B591" t="str">
            <v>백철쭉</v>
          </cell>
          <cell r="C591" t="str">
            <v>H0.4*W0.5</v>
          </cell>
          <cell r="D591">
            <v>3600</v>
          </cell>
        </row>
        <row r="592">
          <cell r="A592" t="str">
            <v>백철쭉W0.6</v>
          </cell>
          <cell r="B592" t="str">
            <v>백철쭉</v>
          </cell>
          <cell r="C592" t="str">
            <v>H0.5*W0.6</v>
          </cell>
          <cell r="D592">
            <v>9020</v>
          </cell>
        </row>
        <row r="593">
          <cell r="A593" t="str">
            <v>백철쭉W0.8</v>
          </cell>
          <cell r="B593" t="str">
            <v>백철쭉</v>
          </cell>
          <cell r="C593" t="str">
            <v>H0.6*W0.8</v>
          </cell>
          <cell r="D593">
            <v>22000</v>
          </cell>
        </row>
        <row r="594">
          <cell r="A594" t="str">
            <v>병꽃3지</v>
          </cell>
          <cell r="B594" t="str">
            <v>병꽃나무</v>
          </cell>
          <cell r="C594" t="str">
            <v>H1.0*W0.4*3가지</v>
          </cell>
          <cell r="D594">
            <v>1100</v>
          </cell>
        </row>
        <row r="595">
          <cell r="A595" t="str">
            <v>병꽃5지</v>
          </cell>
          <cell r="B595" t="str">
            <v>병꽃나무</v>
          </cell>
          <cell r="C595" t="str">
            <v>H1.2*W0.6*5가지</v>
          </cell>
          <cell r="D595">
            <v>2300</v>
          </cell>
        </row>
        <row r="596">
          <cell r="A596" t="str">
            <v>병꽃7지</v>
          </cell>
          <cell r="B596" t="str">
            <v>병꽃나무</v>
          </cell>
          <cell r="C596" t="str">
            <v>H1.2*W0.8*7가지</v>
          </cell>
          <cell r="D596">
            <v>5600</v>
          </cell>
        </row>
        <row r="597">
          <cell r="A597" t="str">
            <v>불두화w0.6</v>
          </cell>
          <cell r="B597" t="str">
            <v>불두화</v>
          </cell>
          <cell r="C597" t="str">
            <v>H1.0*W0.6</v>
          </cell>
          <cell r="D597">
            <v>6700</v>
          </cell>
        </row>
        <row r="598">
          <cell r="A598" t="str">
            <v>불두화w0.8</v>
          </cell>
          <cell r="B598" t="str">
            <v>불두화</v>
          </cell>
          <cell r="C598" t="str">
            <v>H1.2*W0.8</v>
          </cell>
          <cell r="D598">
            <v>7500</v>
          </cell>
        </row>
        <row r="599">
          <cell r="A599" t="str">
            <v>불두화w1.0</v>
          </cell>
          <cell r="B599" t="str">
            <v>불두화</v>
          </cell>
          <cell r="C599" t="str">
            <v>H1.5*W1.0</v>
          </cell>
          <cell r="D599">
            <v>7900</v>
          </cell>
        </row>
        <row r="600">
          <cell r="A600" t="str">
            <v>불두화w1.2</v>
          </cell>
          <cell r="B600" t="str">
            <v>불두화</v>
          </cell>
          <cell r="C600" t="str">
            <v>H1.8*W1.2</v>
          </cell>
          <cell r="D600">
            <v>14200</v>
          </cell>
        </row>
        <row r="601">
          <cell r="A601" t="str">
            <v>치자W0.3</v>
          </cell>
          <cell r="B601" t="str">
            <v>치자나무</v>
          </cell>
          <cell r="C601" t="str">
            <v>H0.5*W0.3</v>
          </cell>
          <cell r="D601">
            <v>7500</v>
          </cell>
        </row>
        <row r="602">
          <cell r="A602" t="str">
            <v>치자W0.5</v>
          </cell>
          <cell r="B602" t="str">
            <v>치자나무</v>
          </cell>
          <cell r="C602" t="str">
            <v>H0.8*W0.5</v>
          </cell>
          <cell r="D602">
            <v>9000</v>
          </cell>
        </row>
        <row r="603">
          <cell r="A603" t="str">
            <v>치자W0.6</v>
          </cell>
          <cell r="B603" t="str">
            <v>치자나무</v>
          </cell>
          <cell r="C603" t="str">
            <v>H1.0*W0.6</v>
          </cell>
          <cell r="D603">
            <v>11200</v>
          </cell>
        </row>
        <row r="604">
          <cell r="A604" t="str">
            <v>돈W0.4</v>
          </cell>
          <cell r="B604" t="str">
            <v>돈나무</v>
          </cell>
          <cell r="C604" t="str">
            <v>H0.5*W0.4</v>
          </cell>
          <cell r="D604">
            <v>12500</v>
          </cell>
        </row>
        <row r="605">
          <cell r="A605" t="str">
            <v>돈W0.5</v>
          </cell>
          <cell r="B605" t="str">
            <v>돈나무</v>
          </cell>
          <cell r="C605" t="str">
            <v>H0.8*W0.5</v>
          </cell>
          <cell r="D605">
            <v>23600</v>
          </cell>
        </row>
        <row r="606">
          <cell r="A606" t="str">
            <v>돈W0.7</v>
          </cell>
          <cell r="B606" t="str">
            <v>돈나무</v>
          </cell>
          <cell r="C606" t="str">
            <v>H1.0*W0.7</v>
          </cell>
          <cell r="D606">
            <v>43800</v>
          </cell>
        </row>
        <row r="607">
          <cell r="A607" t="str">
            <v>돈W1.0</v>
          </cell>
          <cell r="B607" t="str">
            <v>돈나무</v>
          </cell>
          <cell r="C607" t="str">
            <v>H1.2*W1.0</v>
          </cell>
          <cell r="D607">
            <v>81100</v>
          </cell>
        </row>
        <row r="608">
          <cell r="A608" t="str">
            <v>눈주목W0.3</v>
          </cell>
          <cell r="B608" t="str">
            <v>눈주목</v>
          </cell>
          <cell r="C608" t="str">
            <v>H0.3*W0.3</v>
          </cell>
          <cell r="D608">
            <v>10500</v>
          </cell>
        </row>
        <row r="609">
          <cell r="A609" t="str">
            <v>눈주목W0.4</v>
          </cell>
          <cell r="B609" t="str">
            <v>눈주목</v>
          </cell>
          <cell r="C609" t="str">
            <v>H0.4*W0.4</v>
          </cell>
          <cell r="D609">
            <v>16300</v>
          </cell>
        </row>
        <row r="610">
          <cell r="A610" t="str">
            <v>눈주목W0.5</v>
          </cell>
          <cell r="B610" t="str">
            <v>눈주목</v>
          </cell>
          <cell r="C610" t="str">
            <v>H0.5*W0.5</v>
          </cell>
          <cell r="D610">
            <v>17100</v>
          </cell>
        </row>
        <row r="611">
          <cell r="A611" t="str">
            <v>눈주목W0.6</v>
          </cell>
          <cell r="B611" t="str">
            <v>눈주목</v>
          </cell>
          <cell r="C611" t="str">
            <v>H0.5*W0.6</v>
          </cell>
          <cell r="D611">
            <v>35300</v>
          </cell>
        </row>
        <row r="612">
          <cell r="A612" t="str">
            <v>둥근일광W0.5</v>
          </cell>
          <cell r="B612" t="str">
            <v>둥근일광편백</v>
          </cell>
          <cell r="C612" t="str">
            <v>H0.4*W0.5</v>
          </cell>
          <cell r="D612">
            <v>11000</v>
          </cell>
        </row>
        <row r="613">
          <cell r="A613" t="str">
            <v>둥근일광W0.7</v>
          </cell>
          <cell r="B613" t="str">
            <v>둥근일광편백</v>
          </cell>
          <cell r="C613" t="str">
            <v>H0.5*W0.7</v>
          </cell>
          <cell r="D613">
            <v>23500</v>
          </cell>
        </row>
        <row r="614">
          <cell r="A614" t="str">
            <v>둥근일광W0.9</v>
          </cell>
          <cell r="B614" t="str">
            <v>둥근일광편백</v>
          </cell>
          <cell r="C614" t="str">
            <v>H0.5*W0.9</v>
          </cell>
          <cell r="D614">
            <v>36700</v>
          </cell>
        </row>
        <row r="615">
          <cell r="A615" t="str">
            <v>개나리3지</v>
          </cell>
          <cell r="B615" t="str">
            <v>개나리</v>
          </cell>
          <cell r="C615" t="str">
            <v>H1.0*W0.4*3가지</v>
          </cell>
          <cell r="D615">
            <v>540</v>
          </cell>
        </row>
        <row r="616">
          <cell r="A616" t="str">
            <v>개나리5지</v>
          </cell>
          <cell r="B616" t="str">
            <v>개나리</v>
          </cell>
          <cell r="C616" t="str">
            <v>H1.2*W0.6*5가지</v>
          </cell>
          <cell r="D616">
            <v>1100</v>
          </cell>
        </row>
        <row r="617">
          <cell r="A617" t="str">
            <v>개나리7지</v>
          </cell>
          <cell r="B617" t="str">
            <v>개나리</v>
          </cell>
          <cell r="C617" t="str">
            <v>H1.2*W0.8*7가지</v>
          </cell>
          <cell r="D617">
            <v>1500</v>
          </cell>
        </row>
        <row r="618">
          <cell r="A618" t="str">
            <v>개나리9지</v>
          </cell>
          <cell r="B618" t="str">
            <v>개나리</v>
          </cell>
          <cell r="C618" t="str">
            <v>H1.2*W1.2*9가지</v>
          </cell>
          <cell r="D618">
            <v>3500</v>
          </cell>
        </row>
        <row r="619">
          <cell r="A619" t="str">
            <v>개나리12지</v>
          </cell>
          <cell r="B619" t="str">
            <v>개나리</v>
          </cell>
          <cell r="C619" t="str">
            <v>H1.5*W1.5*12가지</v>
          </cell>
          <cell r="D619">
            <v>4100</v>
          </cell>
        </row>
        <row r="620">
          <cell r="A620" t="str">
            <v>겹철쭉W0.4</v>
          </cell>
          <cell r="B620" t="str">
            <v>겹철쭉</v>
          </cell>
          <cell r="C620" t="str">
            <v>H0.3*W0.4</v>
          </cell>
          <cell r="D620">
            <v>4070</v>
          </cell>
        </row>
        <row r="621">
          <cell r="A621" t="str">
            <v>겹철쭉W0.6</v>
          </cell>
          <cell r="B621" t="str">
            <v>겹철쭉</v>
          </cell>
          <cell r="C621" t="str">
            <v>H0.5*W0.6</v>
          </cell>
          <cell r="D621">
            <v>5000</v>
          </cell>
        </row>
        <row r="622">
          <cell r="A622" t="str">
            <v>겹철쭉W0.8</v>
          </cell>
          <cell r="B622" t="str">
            <v>겹철쭉</v>
          </cell>
          <cell r="C622" t="str">
            <v>H0.6*W0.8</v>
          </cell>
          <cell r="D622">
            <v>10000</v>
          </cell>
        </row>
        <row r="623">
          <cell r="A623" t="str">
            <v>겹철쭉W1.0</v>
          </cell>
          <cell r="B623" t="str">
            <v>겹철쭉</v>
          </cell>
          <cell r="C623" t="str">
            <v>H0.8*W1.0</v>
          </cell>
          <cell r="D623">
            <v>23300</v>
          </cell>
        </row>
        <row r="624">
          <cell r="A624" t="str">
            <v>겹철쭉W1.2</v>
          </cell>
          <cell r="B624" t="str">
            <v>겹철쭉</v>
          </cell>
          <cell r="C624" t="str">
            <v>H0.8*W1.2</v>
          </cell>
          <cell r="D624">
            <v>45400</v>
          </cell>
        </row>
        <row r="625">
          <cell r="A625" t="str">
            <v>겹산철쭉W0.3</v>
          </cell>
          <cell r="B625" t="str">
            <v>겹산철쭉</v>
          </cell>
          <cell r="C625" t="str">
            <v>H0.3*W0.3</v>
          </cell>
          <cell r="D625">
            <v>2500</v>
          </cell>
        </row>
        <row r="626">
          <cell r="A626" t="str">
            <v>겹산철쭉W0.4</v>
          </cell>
          <cell r="B626" t="str">
            <v>겹산철쭉</v>
          </cell>
          <cell r="C626" t="str">
            <v>H0.3*W0.4</v>
          </cell>
          <cell r="D626">
            <v>4000</v>
          </cell>
        </row>
        <row r="627">
          <cell r="A627" t="str">
            <v>겹산철쭉W0.6</v>
          </cell>
          <cell r="B627" t="str">
            <v>겹산철쭉</v>
          </cell>
          <cell r="C627" t="str">
            <v>H0.4*W0.6</v>
          </cell>
          <cell r="D627">
            <v>6000</v>
          </cell>
        </row>
        <row r="628">
          <cell r="A628" t="str">
            <v>겹산철쭉W0.8</v>
          </cell>
          <cell r="B628" t="str">
            <v>겹산철쭉</v>
          </cell>
          <cell r="C628" t="str">
            <v>H0.4*W0.8</v>
          </cell>
          <cell r="D628">
            <v>12000</v>
          </cell>
        </row>
        <row r="629">
          <cell r="A629" t="str">
            <v>꽝꽝W0.4</v>
          </cell>
          <cell r="B629" t="str">
            <v>꽝꽝나무</v>
          </cell>
          <cell r="C629" t="str">
            <v>H0.3*W0.4</v>
          </cell>
          <cell r="D629">
            <v>13300</v>
          </cell>
        </row>
        <row r="630">
          <cell r="A630" t="str">
            <v>꽝꽝W0.6</v>
          </cell>
          <cell r="B630" t="str">
            <v>꽝꽝나무</v>
          </cell>
          <cell r="C630" t="str">
            <v>H0.4*W0.6</v>
          </cell>
          <cell r="D630">
            <v>18800</v>
          </cell>
        </row>
        <row r="631">
          <cell r="A631" t="str">
            <v>꽝꽝W0.8</v>
          </cell>
          <cell r="B631" t="str">
            <v>꽝꽝나무</v>
          </cell>
          <cell r="C631" t="str">
            <v>H0.5*W0.8</v>
          </cell>
          <cell r="D631">
            <v>30000</v>
          </cell>
        </row>
        <row r="632">
          <cell r="A632" t="str">
            <v>꽝꽝W1.0</v>
          </cell>
          <cell r="B632" t="str">
            <v>꽝꽝나무</v>
          </cell>
          <cell r="C632" t="str">
            <v>H0.6*W1.0</v>
          </cell>
          <cell r="D632">
            <v>43300</v>
          </cell>
        </row>
        <row r="633">
          <cell r="A633" t="str">
            <v>해당화2지</v>
          </cell>
          <cell r="B633" t="str">
            <v>해당화</v>
          </cell>
          <cell r="C633" t="str">
            <v>H0.8*W0.2*2가지</v>
          </cell>
          <cell r="D633">
            <v>5900</v>
          </cell>
        </row>
        <row r="634">
          <cell r="A634" t="str">
            <v>해당화3지</v>
          </cell>
          <cell r="B634" t="str">
            <v>해당화</v>
          </cell>
          <cell r="C634" t="str">
            <v>H1.0*W0.3*3가지</v>
          </cell>
          <cell r="D634">
            <v>9900</v>
          </cell>
        </row>
        <row r="635">
          <cell r="A635" t="str">
            <v>황매화2지</v>
          </cell>
          <cell r="B635" t="str">
            <v>황매화</v>
          </cell>
          <cell r="C635" t="str">
            <v>H1.0*W0.6*2가지</v>
          </cell>
          <cell r="D635">
            <v>3000</v>
          </cell>
        </row>
        <row r="636">
          <cell r="A636" t="str">
            <v>황매화4지</v>
          </cell>
          <cell r="B636" t="str">
            <v>황매화</v>
          </cell>
          <cell r="C636" t="str">
            <v>H1.2*W0.8*4가지</v>
          </cell>
          <cell r="D636">
            <v>5600</v>
          </cell>
        </row>
        <row r="637">
          <cell r="A637" t="str">
            <v>협죽도W0.3</v>
          </cell>
          <cell r="B637" t="str">
            <v>협죽도</v>
          </cell>
          <cell r="C637" t="str">
            <v>H0.8*W0.3</v>
          </cell>
          <cell r="D637">
            <v>4300</v>
          </cell>
        </row>
        <row r="638">
          <cell r="A638" t="str">
            <v>협죽도W0.4</v>
          </cell>
          <cell r="B638" t="str">
            <v>협죽도</v>
          </cell>
          <cell r="C638" t="str">
            <v>H1.0*W0.4</v>
          </cell>
          <cell r="D638">
            <v>5800</v>
          </cell>
        </row>
        <row r="639">
          <cell r="A639" t="str">
            <v>협죽도W0.5</v>
          </cell>
          <cell r="B639" t="str">
            <v>협죽도</v>
          </cell>
          <cell r="C639" t="str">
            <v>H1.2*W0.5</v>
          </cell>
          <cell r="D639">
            <v>9800</v>
          </cell>
        </row>
        <row r="640">
          <cell r="A640" t="str">
            <v>회양목W0.15</v>
          </cell>
          <cell r="B640" t="str">
            <v>회양목</v>
          </cell>
          <cell r="C640" t="str">
            <v>H0.15*W0.15</v>
          </cell>
          <cell r="D640">
            <v>900</v>
          </cell>
        </row>
        <row r="641">
          <cell r="A641" t="str">
            <v>회양목W0.3</v>
          </cell>
          <cell r="B641" t="str">
            <v>회양목</v>
          </cell>
          <cell r="C641" t="str">
            <v>H0.3*W0.3</v>
          </cell>
          <cell r="D641">
            <v>2700</v>
          </cell>
        </row>
        <row r="642">
          <cell r="A642" t="str">
            <v>회양목W0.4</v>
          </cell>
          <cell r="B642" t="str">
            <v>회양목</v>
          </cell>
          <cell r="C642" t="str">
            <v>H0.3*W0.4</v>
          </cell>
          <cell r="D642">
            <v>6400</v>
          </cell>
        </row>
        <row r="643">
          <cell r="A643" t="str">
            <v>회양목W0.5</v>
          </cell>
          <cell r="B643" t="str">
            <v>회양목</v>
          </cell>
          <cell r="C643" t="str">
            <v>H0.4*W0.5</v>
          </cell>
          <cell r="D643">
            <v>6500</v>
          </cell>
        </row>
        <row r="644">
          <cell r="A644" t="str">
            <v>회양목W0.6</v>
          </cell>
          <cell r="B644" t="str">
            <v>회양목</v>
          </cell>
          <cell r="C644" t="str">
            <v>H0.4*W0.6</v>
          </cell>
          <cell r="D644">
            <v>12100</v>
          </cell>
        </row>
        <row r="645">
          <cell r="A645" t="str">
            <v>회양목W0.8</v>
          </cell>
          <cell r="B645" t="str">
            <v>회양목</v>
          </cell>
          <cell r="C645" t="str">
            <v>H0.5*W0.8</v>
          </cell>
          <cell r="D645">
            <v>22500</v>
          </cell>
        </row>
        <row r="646">
          <cell r="A646" t="str">
            <v>회양목W1.0</v>
          </cell>
          <cell r="B646" t="str">
            <v>회양목</v>
          </cell>
          <cell r="C646" t="str">
            <v>H0.6*W1.0</v>
          </cell>
          <cell r="D646">
            <v>40000</v>
          </cell>
        </row>
        <row r="647">
          <cell r="A647" t="str">
            <v>회양목W1.2</v>
          </cell>
          <cell r="B647" t="str">
            <v>회양목</v>
          </cell>
          <cell r="C647" t="str">
            <v>H0.8*W1.2</v>
          </cell>
          <cell r="D647">
            <v>155600</v>
          </cell>
        </row>
        <row r="648">
          <cell r="A648" t="str">
            <v>흰말채W0.4</v>
          </cell>
          <cell r="B648" t="str">
            <v>흰말채나무</v>
          </cell>
          <cell r="C648" t="str">
            <v>H1.0*W0.4</v>
          </cell>
          <cell r="D648">
            <v>1400</v>
          </cell>
        </row>
        <row r="649">
          <cell r="A649" t="str">
            <v>흰말채W0.6</v>
          </cell>
          <cell r="B649" t="str">
            <v>흰말채나무</v>
          </cell>
          <cell r="C649" t="str">
            <v>H1.2*W0.6</v>
          </cell>
          <cell r="D649">
            <v>3000</v>
          </cell>
        </row>
        <row r="650">
          <cell r="A650" t="str">
            <v>흰말채W0.8</v>
          </cell>
          <cell r="B650" t="str">
            <v>흰말채나무</v>
          </cell>
          <cell r="C650" t="str">
            <v>H1.5*W0.8</v>
          </cell>
          <cell r="D650">
            <v>7000</v>
          </cell>
        </row>
        <row r="651">
          <cell r="A651" t="str">
            <v>화살W0.4</v>
          </cell>
          <cell r="B651" t="str">
            <v>화살나무</v>
          </cell>
          <cell r="C651" t="str">
            <v>H1.0*W0.4</v>
          </cell>
          <cell r="D651">
            <v>6300</v>
          </cell>
        </row>
        <row r="652">
          <cell r="A652" t="str">
            <v>화살W0.6</v>
          </cell>
          <cell r="B652" t="str">
            <v>화살나무</v>
          </cell>
          <cell r="C652" t="str">
            <v>H1.0*W0.6</v>
          </cell>
          <cell r="D652">
            <v>16700</v>
          </cell>
        </row>
        <row r="653">
          <cell r="A653" t="str">
            <v>화살W0.8</v>
          </cell>
          <cell r="B653" t="str">
            <v>화살나무</v>
          </cell>
          <cell r="C653" t="str">
            <v>H1.0*W0.8</v>
          </cell>
          <cell r="D653">
            <v>20700</v>
          </cell>
        </row>
        <row r="654">
          <cell r="A654" t="str">
            <v>화살W1.0</v>
          </cell>
          <cell r="B654" t="str">
            <v>화살나무</v>
          </cell>
          <cell r="C654" t="str">
            <v>H1.2*W1.0</v>
          </cell>
          <cell r="D654">
            <v>30900</v>
          </cell>
        </row>
        <row r="655">
          <cell r="A655" t="str">
            <v>화살W1.2</v>
          </cell>
          <cell r="B655" t="str">
            <v>화살나무</v>
          </cell>
          <cell r="C655" t="str">
            <v>H1.8*W1.2</v>
          </cell>
          <cell r="D655">
            <v>66000</v>
          </cell>
        </row>
        <row r="656">
          <cell r="A656" t="str">
            <v>황벽R4</v>
          </cell>
          <cell r="B656" t="str">
            <v>황벽나무</v>
          </cell>
          <cell r="C656" t="str">
            <v>H2.5*R4</v>
          </cell>
          <cell r="D656">
            <v>25800</v>
          </cell>
        </row>
        <row r="657">
          <cell r="A657" t="str">
            <v>황벽R6</v>
          </cell>
          <cell r="B657" t="str">
            <v>황벽나무</v>
          </cell>
          <cell r="C657" t="str">
            <v>H3.0*R6</v>
          </cell>
          <cell r="D657">
            <v>47000</v>
          </cell>
        </row>
        <row r="658">
          <cell r="A658" t="str">
            <v>황벽R8</v>
          </cell>
          <cell r="B658" t="str">
            <v>황벽나무</v>
          </cell>
          <cell r="C658" t="str">
            <v>H3.5*R8</v>
          </cell>
          <cell r="D658">
            <v>88200</v>
          </cell>
        </row>
        <row r="659">
          <cell r="A659" t="str">
            <v>황벽R10</v>
          </cell>
          <cell r="B659" t="str">
            <v>황벽나무</v>
          </cell>
          <cell r="C659" t="str">
            <v>H4.0*R10</v>
          </cell>
          <cell r="D659">
            <v>235400</v>
          </cell>
        </row>
        <row r="660">
          <cell r="A660" t="str">
            <v>자산홍0.30.3</v>
          </cell>
          <cell r="B660" t="str">
            <v>자산홍</v>
          </cell>
          <cell r="C660" t="str">
            <v>H0.3*W0.3</v>
          </cell>
          <cell r="D660">
            <v>1940</v>
          </cell>
        </row>
        <row r="661">
          <cell r="A661" t="str">
            <v>자산홍0.40.3</v>
          </cell>
          <cell r="B661" t="str">
            <v>자산홍</v>
          </cell>
          <cell r="C661" t="str">
            <v>H0.4*W0.3</v>
          </cell>
          <cell r="D661">
            <v>1300</v>
          </cell>
        </row>
        <row r="662">
          <cell r="A662" t="str">
            <v>자산홍0.40.4</v>
          </cell>
          <cell r="B662" t="str">
            <v>자산홍</v>
          </cell>
          <cell r="C662" t="str">
            <v>H0.4*W0.4</v>
          </cell>
          <cell r="D662">
            <v>2390</v>
          </cell>
        </row>
        <row r="663">
          <cell r="A663" t="str">
            <v>자산홍0.40.5</v>
          </cell>
          <cell r="B663" t="str">
            <v>자산홍</v>
          </cell>
          <cell r="C663" t="str">
            <v>H0.4*W0.5</v>
          </cell>
          <cell r="D663">
            <v>5060</v>
          </cell>
        </row>
        <row r="664">
          <cell r="A664" t="str">
            <v>자산홍0.50.4</v>
          </cell>
          <cell r="B664" t="str">
            <v>자산홍</v>
          </cell>
          <cell r="C664" t="str">
            <v>H0.5*W0.4</v>
          </cell>
          <cell r="D664">
            <v>2300</v>
          </cell>
        </row>
        <row r="665">
          <cell r="A665" t="str">
            <v>자산홍0.50.6</v>
          </cell>
          <cell r="B665" t="str">
            <v>자산홍</v>
          </cell>
          <cell r="C665" t="str">
            <v>H0.5*W0.6</v>
          </cell>
          <cell r="D665">
            <v>7700</v>
          </cell>
        </row>
        <row r="666">
          <cell r="A666" t="str">
            <v>자산홍0.50.8</v>
          </cell>
          <cell r="B666" t="str">
            <v>자산홍</v>
          </cell>
          <cell r="C666" t="str">
            <v>H0.5*W0.8</v>
          </cell>
          <cell r="D666">
            <v>11550</v>
          </cell>
        </row>
        <row r="667">
          <cell r="A667" t="str">
            <v>자산홍0.60.8</v>
          </cell>
          <cell r="B667" t="str">
            <v>자산홍</v>
          </cell>
          <cell r="C667" t="str">
            <v>H0.6*W0.8</v>
          </cell>
          <cell r="D667">
            <v>8300</v>
          </cell>
        </row>
        <row r="668">
          <cell r="A668" t="str">
            <v>조팝W0.3</v>
          </cell>
          <cell r="B668" t="str">
            <v>조팝나무</v>
          </cell>
          <cell r="C668" t="str">
            <v>H0.5*W0.3</v>
          </cell>
          <cell r="D668">
            <v>1000</v>
          </cell>
        </row>
        <row r="669">
          <cell r="A669" t="str">
            <v>조팝W0.4</v>
          </cell>
          <cell r="B669" t="str">
            <v>조팝나무</v>
          </cell>
          <cell r="C669" t="str">
            <v>H0.8*W0.4</v>
          </cell>
          <cell r="D669">
            <v>2000</v>
          </cell>
        </row>
        <row r="670">
          <cell r="A670" t="str">
            <v>조팝W0.5</v>
          </cell>
          <cell r="B670" t="str">
            <v>조팝나무</v>
          </cell>
          <cell r="C670" t="str">
            <v>H1.0*W0.5</v>
          </cell>
          <cell r="D670">
            <v>3500</v>
          </cell>
        </row>
        <row r="671">
          <cell r="A671" t="str">
            <v>둥근조팝W0.4</v>
          </cell>
          <cell r="B671" t="str">
            <v>둥근조팝나무</v>
          </cell>
          <cell r="C671" t="str">
            <v>H0.4*W0.4</v>
          </cell>
          <cell r="D671">
            <v>3200</v>
          </cell>
        </row>
        <row r="672">
          <cell r="A672" t="str">
            <v>둥근조팝W0.5</v>
          </cell>
          <cell r="B672" t="str">
            <v>둥근조팝나무</v>
          </cell>
          <cell r="C672" t="str">
            <v>H0.4*W0.5</v>
          </cell>
          <cell r="D672">
            <v>5200</v>
          </cell>
        </row>
        <row r="673">
          <cell r="A673" t="str">
            <v>둥근조팝W0.6</v>
          </cell>
          <cell r="B673" t="str">
            <v>둥근조팝나무</v>
          </cell>
          <cell r="C673" t="str">
            <v>H0.5*W0.6</v>
          </cell>
          <cell r="D673">
            <v>9700</v>
          </cell>
        </row>
        <row r="674">
          <cell r="A674" t="str">
            <v>좀작살W0.3</v>
          </cell>
          <cell r="B674" t="str">
            <v>좀작살</v>
          </cell>
          <cell r="C674" t="str">
            <v>H1.0*W0.3</v>
          </cell>
          <cell r="D674">
            <v>2500</v>
          </cell>
        </row>
        <row r="675">
          <cell r="A675" t="str">
            <v>좀작살W0.4</v>
          </cell>
          <cell r="B675" t="str">
            <v>좀작살</v>
          </cell>
          <cell r="C675" t="str">
            <v>H1.2*W0.4</v>
          </cell>
          <cell r="D675">
            <v>2100</v>
          </cell>
        </row>
        <row r="676">
          <cell r="A676" t="str">
            <v>좀작살W0.6</v>
          </cell>
          <cell r="B676" t="str">
            <v>좀작살</v>
          </cell>
          <cell r="C676" t="str">
            <v>H1.5*W0.6</v>
          </cell>
          <cell r="D676">
            <v>5200</v>
          </cell>
        </row>
        <row r="677">
          <cell r="A677" t="str">
            <v>좀작살W0.8</v>
          </cell>
          <cell r="B677" t="str">
            <v>좀작살</v>
          </cell>
          <cell r="C677" t="str">
            <v>H1.8*W0.8</v>
          </cell>
          <cell r="D677">
            <v>12000</v>
          </cell>
        </row>
        <row r="678">
          <cell r="A678" t="str">
            <v>쥐똥1.00.3</v>
          </cell>
          <cell r="B678" t="str">
            <v>쥐똥나무</v>
          </cell>
          <cell r="C678" t="str">
            <v>H1.0*W0.3</v>
          </cell>
          <cell r="D678">
            <v>760</v>
          </cell>
        </row>
        <row r="679">
          <cell r="A679" t="str">
            <v>쥐똥1.20.3</v>
          </cell>
          <cell r="B679" t="str">
            <v>쥐똥나무</v>
          </cell>
          <cell r="C679" t="str">
            <v>H1.2*W0.3</v>
          </cell>
          <cell r="D679">
            <v>940</v>
          </cell>
        </row>
        <row r="680">
          <cell r="A680" t="str">
            <v>쥐똥W0.4</v>
          </cell>
          <cell r="B680" t="str">
            <v>쥐똥나무</v>
          </cell>
          <cell r="C680" t="str">
            <v>H1.5*W0.4</v>
          </cell>
          <cell r="D680">
            <v>2730</v>
          </cell>
        </row>
        <row r="681">
          <cell r="A681" t="str">
            <v>진달래W0.3</v>
          </cell>
          <cell r="B681" t="str">
            <v>진달래</v>
          </cell>
          <cell r="C681" t="str">
            <v>H0.3*W0.3</v>
          </cell>
          <cell r="D681">
            <v>530</v>
          </cell>
        </row>
        <row r="682">
          <cell r="A682" t="str">
            <v>진달래W0.4</v>
          </cell>
          <cell r="B682" t="str">
            <v>진달래</v>
          </cell>
          <cell r="C682" t="str">
            <v>H0.4*W0.4</v>
          </cell>
          <cell r="D682">
            <v>1200</v>
          </cell>
        </row>
        <row r="683">
          <cell r="A683" t="str">
            <v>진달래W0.5</v>
          </cell>
          <cell r="B683" t="str">
            <v>진달래</v>
          </cell>
          <cell r="C683" t="str">
            <v>H0.5*W0.5</v>
          </cell>
          <cell r="D683">
            <v>1900</v>
          </cell>
        </row>
        <row r="684">
          <cell r="A684" t="str">
            <v>진달래W0.6</v>
          </cell>
          <cell r="B684" t="str">
            <v>진달래</v>
          </cell>
          <cell r="C684" t="str">
            <v>H0.5*W0.6</v>
          </cell>
          <cell r="D684">
            <v>6300</v>
          </cell>
        </row>
        <row r="685">
          <cell r="A685" t="str">
            <v>진달래W0.8</v>
          </cell>
          <cell r="B685" t="str">
            <v>진달래</v>
          </cell>
          <cell r="C685" t="str">
            <v>H0.6*W0.8</v>
          </cell>
          <cell r="D685">
            <v>10800</v>
          </cell>
        </row>
        <row r="686">
          <cell r="A686" t="str">
            <v>말발W0.3</v>
          </cell>
          <cell r="B686" t="str">
            <v>말발도리</v>
          </cell>
          <cell r="C686" t="str">
            <v>H1.0*W0.3</v>
          </cell>
          <cell r="D686">
            <v>1300</v>
          </cell>
        </row>
        <row r="687">
          <cell r="A687" t="str">
            <v>말발W0.4</v>
          </cell>
          <cell r="B687" t="str">
            <v>말발도리</v>
          </cell>
          <cell r="C687" t="str">
            <v>H1.2*W0.4</v>
          </cell>
          <cell r="D687">
            <v>2000</v>
          </cell>
        </row>
        <row r="688">
          <cell r="A688" t="str">
            <v>말발W0.6</v>
          </cell>
          <cell r="B688" t="str">
            <v>말발도리</v>
          </cell>
          <cell r="C688" t="str">
            <v>H1.5*W0.6</v>
          </cell>
          <cell r="D688">
            <v>3900</v>
          </cell>
        </row>
        <row r="689">
          <cell r="A689" t="str">
            <v>매자W0.3</v>
          </cell>
          <cell r="B689" t="str">
            <v>매자나무</v>
          </cell>
          <cell r="C689" t="str">
            <v>H0.4*W0.3</v>
          </cell>
          <cell r="D689">
            <v>3670</v>
          </cell>
        </row>
        <row r="690">
          <cell r="A690" t="str">
            <v>매자W0.5</v>
          </cell>
          <cell r="B690" t="str">
            <v>매자나무</v>
          </cell>
          <cell r="C690" t="str">
            <v>H0.5*W0.5</v>
          </cell>
          <cell r="D690">
            <v>8820</v>
          </cell>
        </row>
        <row r="691">
          <cell r="A691" t="str">
            <v>매자W0.6</v>
          </cell>
          <cell r="B691" t="str">
            <v>매자나무</v>
          </cell>
          <cell r="C691" t="str">
            <v>H0.6*W0.6</v>
          </cell>
          <cell r="D691">
            <v>11760</v>
          </cell>
        </row>
        <row r="692">
          <cell r="A692" t="str">
            <v>매자W0.4</v>
          </cell>
          <cell r="B692" t="str">
            <v>매자나무</v>
          </cell>
          <cell r="C692" t="str">
            <v>H0.8*W0.4</v>
          </cell>
          <cell r="D692">
            <v>2400</v>
          </cell>
        </row>
        <row r="693">
          <cell r="A693" t="str">
            <v>명자W0.4</v>
          </cell>
          <cell r="B693" t="str">
            <v>명자나무</v>
          </cell>
          <cell r="C693" t="str">
            <v>H0.6*W0.4</v>
          </cell>
          <cell r="D693">
            <v>1300</v>
          </cell>
        </row>
        <row r="694">
          <cell r="A694" t="str">
            <v>명자W0.5</v>
          </cell>
          <cell r="B694" t="str">
            <v>명자나무</v>
          </cell>
          <cell r="C694" t="str">
            <v>H0.8*W0.5</v>
          </cell>
          <cell r="D694">
            <v>2600</v>
          </cell>
        </row>
        <row r="695">
          <cell r="A695" t="str">
            <v>명자W0.6</v>
          </cell>
          <cell r="B695" t="str">
            <v>명자나무</v>
          </cell>
          <cell r="C695" t="str">
            <v>H1.0*W0.6</v>
          </cell>
          <cell r="D695">
            <v>4200</v>
          </cell>
        </row>
        <row r="696">
          <cell r="A696" t="str">
            <v>명자W0.8</v>
          </cell>
          <cell r="B696" t="str">
            <v>명자나무</v>
          </cell>
          <cell r="C696" t="str">
            <v>H1.2*W0.8</v>
          </cell>
          <cell r="D696">
            <v>10500</v>
          </cell>
        </row>
        <row r="697">
          <cell r="A697" t="str">
            <v>목서W0.6</v>
          </cell>
          <cell r="B697" t="str">
            <v>목서</v>
          </cell>
          <cell r="C697" t="str">
            <v>H1.5*W0.6</v>
          </cell>
          <cell r="D697">
            <v>47700</v>
          </cell>
        </row>
        <row r="698">
          <cell r="A698" t="str">
            <v>목서W1.2</v>
          </cell>
          <cell r="B698" t="str">
            <v>목서</v>
          </cell>
          <cell r="C698" t="str">
            <v>H2.0*W1.2</v>
          </cell>
          <cell r="D698">
            <v>70600</v>
          </cell>
        </row>
        <row r="699">
          <cell r="A699" t="str">
            <v>목서W1.5</v>
          </cell>
          <cell r="B699" t="str">
            <v>목서</v>
          </cell>
          <cell r="C699" t="str">
            <v>H2.5*W1.5</v>
          </cell>
          <cell r="D699">
            <v>154700</v>
          </cell>
        </row>
        <row r="700">
          <cell r="A700" t="str">
            <v>목수국W0.6</v>
          </cell>
          <cell r="B700" t="str">
            <v>목수국</v>
          </cell>
          <cell r="C700" t="str">
            <v>H1.0*W0.6</v>
          </cell>
          <cell r="D700">
            <v>9500</v>
          </cell>
        </row>
        <row r="701">
          <cell r="A701" t="str">
            <v>목수국W0.8</v>
          </cell>
          <cell r="B701" t="str">
            <v>목수국</v>
          </cell>
          <cell r="C701" t="str">
            <v>H1.2*W0.8</v>
          </cell>
          <cell r="D701">
            <v>16000</v>
          </cell>
        </row>
        <row r="702">
          <cell r="A702" t="str">
            <v>목수국W1.0</v>
          </cell>
          <cell r="B702" t="str">
            <v>목수국</v>
          </cell>
          <cell r="C702" t="str">
            <v>H1.5*W1.0</v>
          </cell>
          <cell r="D702">
            <v>26400</v>
          </cell>
        </row>
        <row r="703">
          <cell r="A703" t="str">
            <v>무궁화W0.3</v>
          </cell>
          <cell r="B703" t="str">
            <v>무궁화</v>
          </cell>
          <cell r="C703" t="str">
            <v>H1.0*W0.3</v>
          </cell>
          <cell r="D703">
            <v>550</v>
          </cell>
        </row>
        <row r="704">
          <cell r="A704" t="str">
            <v>무궁화W0.4</v>
          </cell>
          <cell r="B704" t="str">
            <v>무궁화</v>
          </cell>
          <cell r="C704" t="str">
            <v>H1.5*W0.4</v>
          </cell>
          <cell r="D704">
            <v>1200</v>
          </cell>
        </row>
        <row r="705">
          <cell r="A705" t="str">
            <v>무궁화W0.5</v>
          </cell>
          <cell r="B705" t="str">
            <v>무궁화</v>
          </cell>
          <cell r="C705" t="str">
            <v>H1.8*W0.5</v>
          </cell>
          <cell r="D705">
            <v>2100</v>
          </cell>
        </row>
        <row r="706">
          <cell r="A706" t="str">
            <v>무궁화W0.6</v>
          </cell>
          <cell r="B706" t="str">
            <v>무궁화</v>
          </cell>
          <cell r="C706" t="str">
            <v>H2.0*W0.6</v>
          </cell>
          <cell r="D706">
            <v>5200</v>
          </cell>
        </row>
        <row r="707">
          <cell r="A707" t="str">
            <v>미선3지</v>
          </cell>
          <cell r="B707" t="str">
            <v>미선나무</v>
          </cell>
          <cell r="C707" t="str">
            <v>H0.8*3가지</v>
          </cell>
          <cell r="D707">
            <v>4000</v>
          </cell>
        </row>
        <row r="708">
          <cell r="A708" t="str">
            <v>미선4지</v>
          </cell>
          <cell r="B708" t="str">
            <v>미선나무</v>
          </cell>
          <cell r="C708" t="str">
            <v>H1.2*4가지</v>
          </cell>
          <cell r="D708">
            <v>8200</v>
          </cell>
        </row>
        <row r="709">
          <cell r="A709" t="str">
            <v>낙상홍W0.4</v>
          </cell>
          <cell r="B709" t="str">
            <v>낙상홍</v>
          </cell>
          <cell r="C709" t="str">
            <v>H1.0*W0.4</v>
          </cell>
          <cell r="D709">
            <v>5800</v>
          </cell>
        </row>
        <row r="710">
          <cell r="A710" t="str">
            <v>낙상홍W0.6</v>
          </cell>
          <cell r="B710" t="str">
            <v>낙상홍</v>
          </cell>
          <cell r="C710" t="str">
            <v>H1.5*W0.6</v>
          </cell>
          <cell r="D710">
            <v>12700</v>
          </cell>
        </row>
        <row r="711">
          <cell r="A711" t="str">
            <v>낙상홍W0.8</v>
          </cell>
          <cell r="B711" t="str">
            <v>낙상홍</v>
          </cell>
          <cell r="C711" t="str">
            <v>H1.8*W0.8</v>
          </cell>
          <cell r="D711">
            <v>29500</v>
          </cell>
        </row>
        <row r="712">
          <cell r="A712" t="str">
            <v>낙상홍W1.0</v>
          </cell>
          <cell r="B712" t="str">
            <v>낙상홍</v>
          </cell>
          <cell r="C712" t="str">
            <v>H2.0*W1.0</v>
          </cell>
          <cell r="D712">
            <v>51900</v>
          </cell>
        </row>
        <row r="713">
          <cell r="A713" t="str">
            <v>낙상홍W1.5</v>
          </cell>
          <cell r="B713" t="str">
            <v>낙상홍</v>
          </cell>
          <cell r="C713" t="str">
            <v>H2.5*W1.5</v>
          </cell>
          <cell r="D713">
            <v>91500</v>
          </cell>
        </row>
        <row r="714">
          <cell r="A714" t="str">
            <v>눈향L0.6</v>
          </cell>
          <cell r="B714" t="str">
            <v>눈향</v>
          </cell>
          <cell r="C714" t="str">
            <v>H0.2*W0.3*L0.6</v>
          </cell>
          <cell r="D714">
            <v>4500</v>
          </cell>
        </row>
        <row r="715">
          <cell r="A715" t="str">
            <v>눈향L0.8</v>
          </cell>
          <cell r="B715" t="str">
            <v>눈향</v>
          </cell>
          <cell r="C715" t="str">
            <v>H0.3*W0.4*L0.8</v>
          </cell>
          <cell r="D715">
            <v>7200</v>
          </cell>
        </row>
        <row r="716">
          <cell r="A716" t="str">
            <v>눈향L0.9</v>
          </cell>
          <cell r="B716" t="str">
            <v>눈향</v>
          </cell>
          <cell r="C716" t="str">
            <v>H0.3*W0.4*L0.9</v>
          </cell>
          <cell r="D716">
            <v>8600</v>
          </cell>
        </row>
        <row r="717">
          <cell r="A717" t="str">
            <v>눈향L1.0</v>
          </cell>
          <cell r="B717" t="str">
            <v>눈향</v>
          </cell>
          <cell r="C717" t="str">
            <v>H0.3*W0.6*L1.0</v>
          </cell>
          <cell r="D717">
            <v>12200</v>
          </cell>
        </row>
        <row r="718">
          <cell r="A718" t="str">
            <v>눈향L1.4</v>
          </cell>
          <cell r="B718" t="str">
            <v>눈향</v>
          </cell>
          <cell r="C718" t="str">
            <v>H0.4*W0.8*L1.4</v>
          </cell>
          <cell r="D718">
            <v>28900</v>
          </cell>
        </row>
        <row r="719">
          <cell r="A719" t="str">
            <v>눈향L2.0</v>
          </cell>
          <cell r="B719" t="str">
            <v>눈향</v>
          </cell>
          <cell r="C719" t="str">
            <v>H0.5*W1.5*L2.0</v>
          </cell>
          <cell r="D719">
            <v>164700</v>
          </cell>
        </row>
        <row r="720">
          <cell r="A720" t="str">
            <v>미국눈향W0.1</v>
          </cell>
          <cell r="B720" t="str">
            <v>미국눈향</v>
          </cell>
          <cell r="C720" t="str">
            <v>H0.1*W0.1*L0.3</v>
          </cell>
          <cell r="D720">
            <v>5000</v>
          </cell>
        </row>
        <row r="721">
          <cell r="A721" t="str">
            <v>미국눈향W0.15</v>
          </cell>
          <cell r="B721" t="str">
            <v>미국눈향</v>
          </cell>
          <cell r="C721" t="str">
            <v>H0.1*W0.15*L0.5</v>
          </cell>
          <cell r="D721">
            <v>8000</v>
          </cell>
        </row>
        <row r="722">
          <cell r="A722" t="str">
            <v>미국눈향W0.2</v>
          </cell>
          <cell r="B722" t="str">
            <v>미국눈향</v>
          </cell>
          <cell r="C722" t="str">
            <v>H0.1*W0.2*L0.8</v>
          </cell>
          <cell r="D722">
            <v>12000</v>
          </cell>
        </row>
        <row r="723">
          <cell r="A723" t="str">
            <v>옥매화W0.6</v>
          </cell>
          <cell r="B723" t="str">
            <v>옥매화</v>
          </cell>
          <cell r="C723" t="str">
            <v>H1.0*W0.6</v>
          </cell>
          <cell r="D723">
            <v>5700</v>
          </cell>
        </row>
        <row r="724">
          <cell r="A724" t="str">
            <v>옥매화W0.8</v>
          </cell>
          <cell r="B724" t="str">
            <v>옥매화</v>
          </cell>
          <cell r="C724" t="str">
            <v>H1.2*W0.8</v>
          </cell>
          <cell r="D724">
            <v>28200</v>
          </cell>
        </row>
        <row r="725">
          <cell r="A725" t="str">
            <v>고광3지</v>
          </cell>
          <cell r="B725" t="str">
            <v>고광나무</v>
          </cell>
          <cell r="C725" t="str">
            <v>H1.0*3가지</v>
          </cell>
          <cell r="D725">
            <v>2200</v>
          </cell>
        </row>
        <row r="726">
          <cell r="A726" t="str">
            <v>고광5지</v>
          </cell>
          <cell r="B726" t="str">
            <v>고광나무</v>
          </cell>
          <cell r="C726" t="str">
            <v>H1.2*5가지</v>
          </cell>
          <cell r="D726">
            <v>3900</v>
          </cell>
        </row>
        <row r="727">
          <cell r="A727" t="str">
            <v>개쉬땅W0.4</v>
          </cell>
          <cell r="B727" t="str">
            <v>개쉬땅나무</v>
          </cell>
          <cell r="C727" t="str">
            <v>H1.2*W0.4</v>
          </cell>
          <cell r="D727">
            <v>5300</v>
          </cell>
        </row>
        <row r="728">
          <cell r="A728" t="str">
            <v>개쉬땅W0.5</v>
          </cell>
          <cell r="B728" t="str">
            <v>개쉬땅나무</v>
          </cell>
          <cell r="C728" t="str">
            <v>H1.5*W0.5</v>
          </cell>
          <cell r="D728">
            <v>8200</v>
          </cell>
        </row>
        <row r="729">
          <cell r="A729" t="str">
            <v>개쉬땅W0.6</v>
          </cell>
          <cell r="B729" t="str">
            <v>개쉬땅나무</v>
          </cell>
          <cell r="C729" t="str">
            <v>H1.5*W0.6</v>
          </cell>
          <cell r="D729">
            <v>10300</v>
          </cell>
        </row>
        <row r="730">
          <cell r="A730" t="str">
            <v>개야광W0.3</v>
          </cell>
          <cell r="B730" t="str">
            <v>개야광나무</v>
          </cell>
          <cell r="C730" t="str">
            <v>H0.2*W0.3</v>
          </cell>
          <cell r="D730">
            <v>3500</v>
          </cell>
        </row>
        <row r="731">
          <cell r="A731" t="str">
            <v>개야광W0.4</v>
          </cell>
          <cell r="B731" t="str">
            <v>개야광나무</v>
          </cell>
          <cell r="C731" t="str">
            <v>H0.3*W0.4</v>
          </cell>
          <cell r="D731">
            <v>6200</v>
          </cell>
        </row>
        <row r="732">
          <cell r="A732" t="str">
            <v>개야광W0.8</v>
          </cell>
          <cell r="B732" t="str">
            <v>개야광나무</v>
          </cell>
          <cell r="C732" t="str">
            <v>H0.4*W0.8</v>
          </cell>
          <cell r="D732">
            <v>10000</v>
          </cell>
        </row>
        <row r="733">
          <cell r="A733" t="str">
            <v>눈섬개야광W0.4</v>
          </cell>
          <cell r="B733" t="str">
            <v>눈섬개야광</v>
          </cell>
          <cell r="C733" t="str">
            <v>H0.1*W0.4</v>
          </cell>
          <cell r="D733">
            <v>3500</v>
          </cell>
        </row>
        <row r="734">
          <cell r="A734" t="str">
            <v>눈섬개야광W0.6</v>
          </cell>
          <cell r="B734" t="str">
            <v>눈섬개야광</v>
          </cell>
          <cell r="C734" t="str">
            <v>H0.2*W0.6</v>
          </cell>
          <cell r="D734">
            <v>5000</v>
          </cell>
        </row>
        <row r="735">
          <cell r="A735" t="str">
            <v>눈섬개야광W0.8</v>
          </cell>
          <cell r="B735" t="str">
            <v>눈섬개야광</v>
          </cell>
          <cell r="C735" t="str">
            <v>H0.3*W0.8</v>
          </cell>
          <cell r="D735">
            <v>8000</v>
          </cell>
        </row>
        <row r="736">
          <cell r="A736" t="str">
            <v>광나무H1.0</v>
          </cell>
          <cell r="B736" t="str">
            <v>광나무</v>
          </cell>
          <cell r="C736" t="str">
            <v>H1.0*W0.3</v>
          </cell>
          <cell r="D736">
            <v>2100</v>
          </cell>
        </row>
        <row r="737">
          <cell r="A737" t="str">
            <v>광나무H1.2</v>
          </cell>
          <cell r="B737" t="str">
            <v>광나무</v>
          </cell>
          <cell r="C737" t="str">
            <v>H1.2*W0.3</v>
          </cell>
          <cell r="D737">
            <v>2300</v>
          </cell>
        </row>
        <row r="738">
          <cell r="A738" t="str">
            <v>광나무H1.5</v>
          </cell>
          <cell r="B738" t="str">
            <v>광나무</v>
          </cell>
          <cell r="C738" t="str">
            <v>H1.5*W0.6</v>
          </cell>
          <cell r="D738">
            <v>5700</v>
          </cell>
        </row>
        <row r="739">
          <cell r="A739" t="str">
            <v>갯버들H0.5</v>
          </cell>
          <cell r="B739" t="str">
            <v>갯버들</v>
          </cell>
          <cell r="C739" t="str">
            <v>H0.5</v>
          </cell>
          <cell r="D739">
            <v>2500</v>
          </cell>
        </row>
        <row r="740">
          <cell r="A740" t="str">
            <v>갯버들H1.0</v>
          </cell>
          <cell r="B740" t="str">
            <v>갯버들</v>
          </cell>
          <cell r="C740" t="str">
            <v>H1.0</v>
          </cell>
          <cell r="D740">
            <v>4000</v>
          </cell>
        </row>
        <row r="741">
          <cell r="A741" t="str">
            <v>갯버들W0.4</v>
          </cell>
          <cell r="B741" t="str">
            <v>갯버들</v>
          </cell>
          <cell r="C741" t="str">
            <v>H1.2*W0.4</v>
          </cell>
          <cell r="D741">
            <v>8000</v>
          </cell>
        </row>
        <row r="742">
          <cell r="A742" t="str">
            <v>갯버들W0.6</v>
          </cell>
          <cell r="B742" t="str">
            <v>갯버들</v>
          </cell>
          <cell r="C742" t="str">
            <v>H1.5*W0.6</v>
          </cell>
          <cell r="D742">
            <v>15000</v>
          </cell>
        </row>
        <row r="743">
          <cell r="A743" t="str">
            <v>갯버들W1.0</v>
          </cell>
          <cell r="B743" t="str">
            <v>갯버들</v>
          </cell>
          <cell r="C743" t="str">
            <v>H1.8*W1.0</v>
          </cell>
          <cell r="D743">
            <v>30000</v>
          </cell>
        </row>
        <row r="744">
          <cell r="A744" t="str">
            <v>팔손이W0.5</v>
          </cell>
          <cell r="B744" t="str">
            <v>팔손이나무</v>
          </cell>
          <cell r="C744" t="str">
            <v>H0.7*W0.5</v>
          </cell>
          <cell r="D744">
            <v>13900</v>
          </cell>
        </row>
        <row r="745">
          <cell r="A745" t="str">
            <v>팔손이W0.8</v>
          </cell>
          <cell r="B745" t="str">
            <v>팔손이나무</v>
          </cell>
          <cell r="C745" t="str">
            <v>H0.9*W0.8</v>
          </cell>
          <cell r="D745">
            <v>24800</v>
          </cell>
        </row>
        <row r="746">
          <cell r="A746" t="str">
            <v>팔손이W1.0</v>
          </cell>
          <cell r="B746" t="str">
            <v>팔손이나무</v>
          </cell>
          <cell r="C746" t="str">
            <v>H1.2*W1.0</v>
          </cell>
          <cell r="D746">
            <v>44100</v>
          </cell>
        </row>
        <row r="747">
          <cell r="A747" t="str">
            <v>피라칸사스H1.0</v>
          </cell>
          <cell r="B747" t="str">
            <v>피라칸사스</v>
          </cell>
          <cell r="C747" t="str">
            <v>H1.0*W0.3</v>
          </cell>
          <cell r="D747">
            <v>2900</v>
          </cell>
        </row>
        <row r="748">
          <cell r="A748" t="str">
            <v>피라칸사스W0.5</v>
          </cell>
          <cell r="B748" t="str">
            <v>피라칸사스</v>
          </cell>
          <cell r="C748" t="str">
            <v>H1.5*W0.5</v>
          </cell>
          <cell r="D748">
            <v>14000</v>
          </cell>
        </row>
        <row r="749">
          <cell r="A749" t="str">
            <v>사철W0.3*H0.5</v>
          </cell>
          <cell r="B749" t="str">
            <v>사철나무</v>
          </cell>
          <cell r="C749" t="str">
            <v>H0.5*W0.3</v>
          </cell>
          <cell r="D749">
            <v>2070</v>
          </cell>
        </row>
        <row r="750">
          <cell r="A750" t="str">
            <v>사철W0.3*H1.0</v>
          </cell>
          <cell r="B750" t="str">
            <v>사철나무</v>
          </cell>
          <cell r="C750" t="str">
            <v>H1.0*W0.3</v>
          </cell>
          <cell r="D750">
            <v>1100</v>
          </cell>
        </row>
        <row r="751">
          <cell r="A751" t="str">
            <v>사철W0.4</v>
          </cell>
          <cell r="B751" t="str">
            <v>사철나무</v>
          </cell>
          <cell r="C751" t="str">
            <v>H1.2*W0.4</v>
          </cell>
          <cell r="D751">
            <v>2200</v>
          </cell>
        </row>
        <row r="752">
          <cell r="A752" t="str">
            <v>사철W0.5</v>
          </cell>
          <cell r="B752" t="str">
            <v>사철나무</v>
          </cell>
          <cell r="C752" t="str">
            <v>H1.5*W0.5</v>
          </cell>
          <cell r="D752">
            <v>6600</v>
          </cell>
        </row>
        <row r="753">
          <cell r="A753" t="str">
            <v>사철W0.6</v>
          </cell>
          <cell r="B753" t="str">
            <v>사철나무</v>
          </cell>
          <cell r="C753" t="str">
            <v>H1.8*W0.6</v>
          </cell>
          <cell r="D753">
            <v>6300</v>
          </cell>
        </row>
        <row r="754">
          <cell r="A754" t="str">
            <v>사철W0.8</v>
          </cell>
          <cell r="B754" t="str">
            <v>사철나무</v>
          </cell>
          <cell r="C754" t="str">
            <v>H2.0*W0.8</v>
          </cell>
          <cell r="D754">
            <v>10400</v>
          </cell>
        </row>
        <row r="755">
          <cell r="A755" t="str">
            <v>둥근사철W1.2</v>
          </cell>
          <cell r="B755" t="str">
            <v>사철나무</v>
          </cell>
          <cell r="C755" t="str">
            <v>H1.2*W1.2</v>
          </cell>
          <cell r="D755">
            <v>106590</v>
          </cell>
        </row>
        <row r="756">
          <cell r="A756" t="str">
            <v>둥근사철W1.5</v>
          </cell>
          <cell r="B756" t="str">
            <v>사철나무</v>
          </cell>
          <cell r="C756" t="str">
            <v>H1.5*W1.5</v>
          </cell>
          <cell r="D756">
            <v>161040</v>
          </cell>
        </row>
        <row r="757">
          <cell r="A757" t="str">
            <v>산수국W0.4</v>
          </cell>
          <cell r="B757" t="str">
            <v>산수국</v>
          </cell>
          <cell r="C757" t="str">
            <v>H0.3*W0.4</v>
          </cell>
          <cell r="D757">
            <v>8000</v>
          </cell>
        </row>
        <row r="758">
          <cell r="A758" t="str">
            <v>산수국W0.6</v>
          </cell>
          <cell r="B758" t="str">
            <v>산수국</v>
          </cell>
          <cell r="C758" t="str">
            <v>H0.4*W0.6</v>
          </cell>
          <cell r="D758">
            <v>12000</v>
          </cell>
        </row>
        <row r="759">
          <cell r="A759" t="str">
            <v>산철쭉W0.3</v>
          </cell>
          <cell r="B759" t="str">
            <v>산철쭉</v>
          </cell>
          <cell r="C759" t="str">
            <v>H0.4*W0.3</v>
          </cell>
          <cell r="D759">
            <v>1500</v>
          </cell>
        </row>
        <row r="760">
          <cell r="A760" t="str">
            <v>산철쭉W0.4</v>
          </cell>
          <cell r="B760" t="str">
            <v>산철쭉</v>
          </cell>
          <cell r="C760" t="str">
            <v>H0.5*W0.4</v>
          </cell>
          <cell r="D760">
            <v>2700</v>
          </cell>
        </row>
        <row r="761">
          <cell r="A761" t="str">
            <v>산철쭉W0.5</v>
          </cell>
          <cell r="B761" t="str">
            <v>산철쭉</v>
          </cell>
          <cell r="C761" t="str">
            <v>H0.5*W0.5</v>
          </cell>
          <cell r="D761">
            <v>4000</v>
          </cell>
        </row>
        <row r="762">
          <cell r="A762" t="str">
            <v>산철쭉W0.5H0.6</v>
          </cell>
          <cell r="B762" t="str">
            <v>산철쭉</v>
          </cell>
          <cell r="C762" t="str">
            <v>H0.6*W0.5</v>
          </cell>
          <cell r="D762">
            <v>3200</v>
          </cell>
        </row>
        <row r="763">
          <cell r="A763" t="str">
            <v>수수꽃다리W0.5</v>
          </cell>
          <cell r="B763" t="str">
            <v>수수꽃다리</v>
          </cell>
          <cell r="C763" t="str">
            <v>H1.2*W0.5</v>
          </cell>
          <cell r="D763">
            <v>2700</v>
          </cell>
        </row>
        <row r="764">
          <cell r="A764" t="str">
            <v>수수꽃다리W0.6</v>
          </cell>
          <cell r="B764" t="str">
            <v>수수꽃다리</v>
          </cell>
          <cell r="C764" t="str">
            <v>H1.5*W0.6</v>
          </cell>
          <cell r="D764">
            <v>5800</v>
          </cell>
        </row>
        <row r="765">
          <cell r="A765" t="str">
            <v>수수꽃다리W0.8</v>
          </cell>
          <cell r="B765" t="str">
            <v>수수꽃다리</v>
          </cell>
          <cell r="C765" t="str">
            <v>H1.8*W0.8</v>
          </cell>
          <cell r="D765">
            <v>12100</v>
          </cell>
        </row>
        <row r="766">
          <cell r="A766" t="str">
            <v>수수꽃다리W1.0</v>
          </cell>
          <cell r="B766" t="str">
            <v>수수꽃다리</v>
          </cell>
          <cell r="C766" t="str">
            <v>H2.0*W1.0</v>
          </cell>
          <cell r="D766">
            <v>17400</v>
          </cell>
        </row>
        <row r="767">
          <cell r="A767" t="str">
            <v>수수꽃다리W1.5</v>
          </cell>
          <cell r="B767" t="str">
            <v>수수꽃다리</v>
          </cell>
          <cell r="C767" t="str">
            <v>H2.5*W1.5</v>
          </cell>
          <cell r="D767">
            <v>28500</v>
          </cell>
        </row>
        <row r="768">
          <cell r="A768" t="str">
            <v>수수꽃다리W2.0</v>
          </cell>
          <cell r="B768" t="str">
            <v>수수꽃다리</v>
          </cell>
          <cell r="C768" t="str">
            <v>H2.5*W2.0*R5</v>
          </cell>
          <cell r="D768">
            <v>233000</v>
          </cell>
        </row>
        <row r="769">
          <cell r="A769" t="str">
            <v>아로니아W0.2</v>
          </cell>
          <cell r="B769" t="str">
            <v>아로니아</v>
          </cell>
          <cell r="C769" t="str">
            <v>H0.6*W0.2</v>
          </cell>
          <cell r="D769">
            <v>3000</v>
          </cell>
        </row>
        <row r="770">
          <cell r="A770" t="str">
            <v>아로니아W0.3</v>
          </cell>
          <cell r="B770" t="str">
            <v>아로니아</v>
          </cell>
          <cell r="C770" t="str">
            <v>H1.0*W0.3</v>
          </cell>
          <cell r="D770">
            <v>6500</v>
          </cell>
        </row>
        <row r="771">
          <cell r="A771" t="str">
            <v>아로니아W0.4</v>
          </cell>
          <cell r="B771" t="str">
            <v>아로니아</v>
          </cell>
          <cell r="C771" t="str">
            <v>H1.2*W0.4</v>
          </cell>
          <cell r="D771">
            <v>12000</v>
          </cell>
        </row>
        <row r="772">
          <cell r="A772" t="str">
            <v>호랑가시W0.3</v>
          </cell>
          <cell r="B772" t="str">
            <v>호랑가시나무</v>
          </cell>
          <cell r="C772" t="str">
            <v>H1.0*W0.3</v>
          </cell>
          <cell r="D772">
            <v>9600</v>
          </cell>
        </row>
        <row r="773">
          <cell r="A773" t="str">
            <v>호랑가시W0.4</v>
          </cell>
          <cell r="B773" t="str">
            <v>호랑가시나무</v>
          </cell>
          <cell r="C773" t="str">
            <v>H1.2*W0.4</v>
          </cell>
          <cell r="D773">
            <v>15200</v>
          </cell>
        </row>
        <row r="774">
          <cell r="A774" t="str">
            <v>호랑가시W0.6</v>
          </cell>
          <cell r="B774" t="str">
            <v>호랑가시나무</v>
          </cell>
          <cell r="C774" t="str">
            <v>H1.5*W0.6</v>
          </cell>
          <cell r="D774">
            <v>35100</v>
          </cell>
        </row>
        <row r="775">
          <cell r="A775" t="str">
            <v>실란W0.3</v>
          </cell>
          <cell r="B775" t="str">
            <v>실란</v>
          </cell>
          <cell r="C775" t="str">
            <v>H0.3*W0.3</v>
          </cell>
          <cell r="D775">
            <v>3000</v>
          </cell>
        </row>
        <row r="776">
          <cell r="A776" t="str">
            <v>실란W0.5</v>
          </cell>
          <cell r="B776" t="str">
            <v>실란</v>
          </cell>
          <cell r="C776" t="str">
            <v>H0.5*W0.5</v>
          </cell>
          <cell r="D776">
            <v>3000</v>
          </cell>
        </row>
        <row r="777">
          <cell r="A777" t="str">
            <v>담쟁이L0.3</v>
          </cell>
          <cell r="B777" t="str">
            <v>담쟁이</v>
          </cell>
          <cell r="C777" t="str">
            <v>L=0.3</v>
          </cell>
          <cell r="D777">
            <v>600</v>
          </cell>
        </row>
        <row r="778">
          <cell r="A778" t="str">
            <v>미국담쟁이L0.3</v>
          </cell>
          <cell r="B778" t="str">
            <v>미국담쟁이</v>
          </cell>
          <cell r="C778" t="str">
            <v>L=0.3</v>
          </cell>
        </row>
        <row r="779">
          <cell r="A779" t="str">
            <v>덩굴장미3지</v>
          </cell>
          <cell r="B779" t="str">
            <v>덩굴장미</v>
          </cell>
          <cell r="C779" t="str">
            <v>H1.0*3가지</v>
          </cell>
        </row>
        <row r="780">
          <cell r="A780" t="str">
            <v>덩굴장미4지</v>
          </cell>
          <cell r="B780" t="str">
            <v>덩굴장미</v>
          </cell>
          <cell r="C780" t="str">
            <v>H1.2*4가지</v>
          </cell>
        </row>
        <row r="781">
          <cell r="A781" t="str">
            <v>덩굴장미5지</v>
          </cell>
          <cell r="B781" t="str">
            <v>덩굴장미</v>
          </cell>
          <cell r="C781" t="str">
            <v>H1.5*5가지</v>
          </cell>
        </row>
        <row r="782">
          <cell r="A782" t="str">
            <v>만리화3지</v>
          </cell>
          <cell r="B782" t="str">
            <v>만리화</v>
          </cell>
          <cell r="C782" t="str">
            <v>H1.0*W0.3*3가지</v>
          </cell>
          <cell r="D782">
            <v>1200</v>
          </cell>
        </row>
        <row r="783">
          <cell r="A783" t="str">
            <v>만리화5지</v>
          </cell>
          <cell r="B783" t="str">
            <v>만리화</v>
          </cell>
          <cell r="C783" t="str">
            <v>H1.2*W0.4*5가지</v>
          </cell>
          <cell r="D783">
            <v>1700</v>
          </cell>
        </row>
        <row r="784">
          <cell r="A784" t="str">
            <v>만리화7지</v>
          </cell>
          <cell r="B784" t="str">
            <v>만리화</v>
          </cell>
          <cell r="C784" t="str">
            <v>H1.5*W0.6*7가지</v>
          </cell>
          <cell r="D784">
            <v>3000</v>
          </cell>
        </row>
        <row r="785">
          <cell r="A785" t="str">
            <v>모란5지</v>
          </cell>
          <cell r="B785" t="str">
            <v>모란</v>
          </cell>
          <cell r="C785" t="str">
            <v>H0.6*5가지</v>
          </cell>
          <cell r="D785">
            <v>5600</v>
          </cell>
        </row>
        <row r="786">
          <cell r="A786" t="str">
            <v>모란6지</v>
          </cell>
          <cell r="B786" t="str">
            <v>모란</v>
          </cell>
          <cell r="C786" t="str">
            <v>H0.8*6가지</v>
          </cell>
          <cell r="D786">
            <v>17200</v>
          </cell>
        </row>
        <row r="787">
          <cell r="A787" t="str">
            <v>부용3</v>
          </cell>
          <cell r="B787" t="str">
            <v>부용</v>
          </cell>
          <cell r="C787" t="str">
            <v>H1.0*3분얼</v>
          </cell>
          <cell r="D787">
            <v>2300</v>
          </cell>
        </row>
        <row r="788">
          <cell r="A788" t="str">
            <v>부용5</v>
          </cell>
          <cell r="B788" t="str">
            <v>부용</v>
          </cell>
          <cell r="C788" t="str">
            <v>H1.2*5분얼</v>
          </cell>
          <cell r="D788">
            <v>5200</v>
          </cell>
        </row>
        <row r="789">
          <cell r="A789" t="str">
            <v>부용7</v>
          </cell>
          <cell r="B789" t="str">
            <v>부용</v>
          </cell>
          <cell r="C789" t="str">
            <v>7분얼</v>
          </cell>
          <cell r="D789">
            <v>7700</v>
          </cell>
        </row>
        <row r="790">
          <cell r="A790" t="str">
            <v>작약4-5</v>
          </cell>
          <cell r="B790" t="str">
            <v>작약</v>
          </cell>
          <cell r="C790" t="str">
            <v>4-5분얼</v>
          </cell>
        </row>
        <row r="791">
          <cell r="A791" t="str">
            <v>장미2지</v>
          </cell>
          <cell r="B791" t="str">
            <v>장미</v>
          </cell>
          <cell r="C791" t="str">
            <v>3년생*2가지</v>
          </cell>
          <cell r="D791">
            <v>1500</v>
          </cell>
        </row>
        <row r="792">
          <cell r="A792" t="str">
            <v>장미3지</v>
          </cell>
          <cell r="B792" t="str">
            <v>장미</v>
          </cell>
          <cell r="C792" t="str">
            <v>4년생*3가지</v>
          </cell>
          <cell r="D792">
            <v>2400</v>
          </cell>
        </row>
        <row r="793">
          <cell r="A793" t="str">
            <v>장미4지</v>
          </cell>
          <cell r="B793" t="str">
            <v>장미</v>
          </cell>
          <cell r="C793" t="str">
            <v>5년생*4가지</v>
          </cell>
          <cell r="D793">
            <v>4300</v>
          </cell>
        </row>
        <row r="794">
          <cell r="A794" t="str">
            <v>꽃창포2-3</v>
          </cell>
          <cell r="B794" t="str">
            <v>꽃창포</v>
          </cell>
          <cell r="C794" t="str">
            <v>2-3분얼</v>
          </cell>
          <cell r="D794">
            <v>2300</v>
          </cell>
        </row>
        <row r="795">
          <cell r="A795" t="str">
            <v>꽃창포4-5</v>
          </cell>
          <cell r="B795" t="str">
            <v>꽃창포</v>
          </cell>
          <cell r="C795" t="str">
            <v>4-5분얼</v>
          </cell>
          <cell r="D795">
            <v>4000</v>
          </cell>
        </row>
        <row r="796">
          <cell r="A796" t="str">
            <v>맥문동3-4</v>
          </cell>
          <cell r="B796" t="str">
            <v>맥문동</v>
          </cell>
          <cell r="C796" t="str">
            <v>3-4분얼</v>
          </cell>
          <cell r="D796">
            <v>350</v>
          </cell>
        </row>
        <row r="797">
          <cell r="A797" t="str">
            <v>맥문동3-5</v>
          </cell>
          <cell r="B797" t="str">
            <v>맥문동</v>
          </cell>
          <cell r="C797" t="str">
            <v>3-5분얼</v>
          </cell>
          <cell r="D797">
            <v>350</v>
          </cell>
        </row>
        <row r="798">
          <cell r="A798" t="str">
            <v>맥문동7-10</v>
          </cell>
          <cell r="B798" t="str">
            <v>맥문동</v>
          </cell>
          <cell r="C798" t="str">
            <v>7-10분얼</v>
          </cell>
          <cell r="D798">
            <v>770</v>
          </cell>
        </row>
        <row r="799">
          <cell r="A799" t="str">
            <v>붓드레이아3-4</v>
          </cell>
          <cell r="B799" t="str">
            <v>붓드레이아</v>
          </cell>
          <cell r="C799" t="str">
            <v>3-4분얼</v>
          </cell>
          <cell r="D799">
            <v>1500</v>
          </cell>
        </row>
        <row r="800">
          <cell r="A800" t="str">
            <v>붓드레이아5-6</v>
          </cell>
          <cell r="B800" t="str">
            <v>붓드레이아</v>
          </cell>
          <cell r="C800" t="str">
            <v>5-6분얼</v>
          </cell>
          <cell r="D800">
            <v>2300</v>
          </cell>
        </row>
        <row r="801">
          <cell r="A801" t="str">
            <v>비비추2-3</v>
          </cell>
          <cell r="B801" t="str">
            <v>비비추</v>
          </cell>
          <cell r="C801" t="str">
            <v>2-3분얼</v>
          </cell>
          <cell r="D801">
            <v>1500</v>
          </cell>
        </row>
        <row r="802">
          <cell r="A802" t="str">
            <v>비비추4-5</v>
          </cell>
          <cell r="B802" t="str">
            <v>비비추</v>
          </cell>
          <cell r="C802" t="str">
            <v>4-5분얼</v>
          </cell>
          <cell r="D802">
            <v>2900</v>
          </cell>
        </row>
        <row r="803">
          <cell r="A803" t="str">
            <v>수국3</v>
          </cell>
          <cell r="B803" t="str">
            <v>수국</v>
          </cell>
          <cell r="C803" t="str">
            <v>3촉</v>
          </cell>
          <cell r="D803">
            <v>3000</v>
          </cell>
        </row>
        <row r="804">
          <cell r="A804" t="str">
            <v>수국5</v>
          </cell>
          <cell r="B804" t="str">
            <v>수국</v>
          </cell>
          <cell r="C804" t="str">
            <v>5촉</v>
          </cell>
          <cell r="D804">
            <v>7000</v>
          </cell>
        </row>
        <row r="805">
          <cell r="A805" t="str">
            <v>수국7</v>
          </cell>
          <cell r="B805" t="str">
            <v>수국</v>
          </cell>
          <cell r="C805" t="str">
            <v>7촉</v>
          </cell>
          <cell r="D805">
            <v>15000</v>
          </cell>
        </row>
        <row r="806">
          <cell r="A806" t="str">
            <v>옥잠화2-3</v>
          </cell>
          <cell r="B806" t="str">
            <v>옥잠화</v>
          </cell>
          <cell r="C806" t="str">
            <v>2-3분얼</v>
          </cell>
          <cell r="D806">
            <v>2500</v>
          </cell>
        </row>
        <row r="807">
          <cell r="A807" t="str">
            <v>옥잠화4-5</v>
          </cell>
          <cell r="B807" t="str">
            <v>옥잠화</v>
          </cell>
          <cell r="C807" t="str">
            <v>4-5분얼</v>
          </cell>
          <cell r="D807">
            <v>4000</v>
          </cell>
        </row>
        <row r="808">
          <cell r="A808" t="str">
            <v>유카W0.4</v>
          </cell>
          <cell r="B808" t="str">
            <v>유카</v>
          </cell>
          <cell r="C808" t="str">
            <v>H0.6*W0.4</v>
          </cell>
          <cell r="D808">
            <v>10000</v>
          </cell>
        </row>
        <row r="809">
          <cell r="A809" t="str">
            <v>유카W0.5</v>
          </cell>
          <cell r="B809" t="str">
            <v>유카</v>
          </cell>
          <cell r="C809" t="str">
            <v>H1.0*W0.5</v>
          </cell>
          <cell r="D809">
            <v>16300</v>
          </cell>
        </row>
        <row r="810">
          <cell r="A810" t="str">
            <v>평떼</v>
          </cell>
          <cell r="B810" t="str">
            <v>잔디(평떼)</v>
          </cell>
          <cell r="C810" t="str">
            <v>H0.3*W0.3*0.03</v>
          </cell>
          <cell r="D810">
            <v>2640</v>
          </cell>
        </row>
        <row r="811">
          <cell r="A811" t="str">
            <v>줄떼</v>
          </cell>
          <cell r="B811" t="str">
            <v>잔디(줄떼)</v>
          </cell>
          <cell r="C811" t="str">
            <v>H0.3*W0.3</v>
          </cell>
          <cell r="D811">
            <v>1540</v>
          </cell>
        </row>
        <row r="812">
          <cell r="A812" t="str">
            <v>조릿대W0.2</v>
          </cell>
          <cell r="B812" t="str">
            <v>조릿대</v>
          </cell>
          <cell r="C812" t="str">
            <v>H0.4*W0.2</v>
          </cell>
          <cell r="D812">
            <v>2100</v>
          </cell>
        </row>
        <row r="813">
          <cell r="A813" t="str">
            <v>조릿대W0.3</v>
          </cell>
          <cell r="B813" t="str">
            <v>조릿대</v>
          </cell>
          <cell r="C813" t="str">
            <v>H0.6*W0.3</v>
          </cell>
          <cell r="D813">
            <v>3100</v>
          </cell>
        </row>
        <row r="814">
          <cell r="A814" t="str">
            <v>칡</v>
          </cell>
          <cell r="B814" t="str">
            <v>칡</v>
          </cell>
          <cell r="C814" t="str">
            <v>수간길이0.3</v>
          </cell>
          <cell r="D814">
            <v>1400</v>
          </cell>
        </row>
        <row r="815">
          <cell r="A815" t="str">
            <v>후록스2-3</v>
          </cell>
          <cell r="B815" t="str">
            <v>후록스</v>
          </cell>
          <cell r="C815" t="str">
            <v>2-3분얼</v>
          </cell>
          <cell r="D815">
            <v>1200</v>
          </cell>
        </row>
        <row r="816">
          <cell r="A816" t="str">
            <v>후록스4-5</v>
          </cell>
          <cell r="B816" t="str">
            <v>후록스</v>
          </cell>
          <cell r="C816" t="str">
            <v>4-5분얼</v>
          </cell>
          <cell r="D816">
            <v>1700</v>
          </cell>
        </row>
        <row r="817">
          <cell r="A817" t="str">
            <v>수선화</v>
          </cell>
          <cell r="B817" t="str">
            <v>수선화</v>
          </cell>
          <cell r="C817" t="str">
            <v>개화구</v>
          </cell>
        </row>
        <row r="818">
          <cell r="A818" t="str">
            <v>지주목대</v>
          </cell>
          <cell r="B818" t="str">
            <v>지주목</v>
          </cell>
          <cell r="C818" t="str">
            <v>대나무</v>
          </cell>
        </row>
        <row r="819">
          <cell r="A819" t="str">
            <v>지주목사각</v>
          </cell>
          <cell r="B819" t="str">
            <v>지주목</v>
          </cell>
          <cell r="C819" t="str">
            <v>사각</v>
          </cell>
        </row>
        <row r="820">
          <cell r="A820" t="str">
            <v>지주목삼발이대</v>
          </cell>
          <cell r="B820" t="str">
            <v>지주목</v>
          </cell>
          <cell r="C820" t="str">
            <v>삼발이 대형</v>
          </cell>
        </row>
        <row r="821">
          <cell r="A821" t="str">
            <v>지주목삼발이소</v>
          </cell>
          <cell r="B821" t="str">
            <v>지주목</v>
          </cell>
          <cell r="C821" t="str">
            <v>삼발이 소형</v>
          </cell>
        </row>
        <row r="822">
          <cell r="A822" t="str">
            <v>지주이각</v>
          </cell>
          <cell r="B822" t="str">
            <v>지주목</v>
          </cell>
          <cell r="C822" t="str">
            <v>이각</v>
          </cell>
        </row>
        <row r="823">
          <cell r="A823" t="str">
            <v>경관석대</v>
          </cell>
          <cell r="B823" t="str">
            <v>경관석</v>
          </cell>
          <cell r="C823" t="str">
            <v>100x90x60</v>
          </cell>
        </row>
        <row r="824">
          <cell r="A824" t="str">
            <v>경관석소</v>
          </cell>
          <cell r="B824" t="str">
            <v>경관석</v>
          </cell>
          <cell r="C824" t="str">
            <v>40x60x50</v>
          </cell>
        </row>
        <row r="825">
          <cell r="A825" t="str">
            <v>수목보호홀1.2</v>
          </cell>
          <cell r="B825" t="str">
            <v>수목보호홀덮개</v>
          </cell>
          <cell r="C825" t="str">
            <v>1.2*1.2</v>
          </cell>
        </row>
        <row r="826">
          <cell r="A826" t="str">
            <v>부숙톱밥퇴비</v>
          </cell>
          <cell r="B826" t="str">
            <v>부숙톱밥퇴비</v>
          </cell>
          <cell r="C826" t="str">
            <v>-</v>
          </cell>
        </row>
        <row r="827">
          <cell r="A827" t="str">
            <v>등R2</v>
          </cell>
          <cell r="B827" t="str">
            <v>등나무</v>
          </cell>
          <cell r="C827" t="str">
            <v>L2.0*R2</v>
          </cell>
          <cell r="D827">
            <v>6600</v>
          </cell>
        </row>
        <row r="828">
          <cell r="A828" t="str">
            <v>등R4</v>
          </cell>
          <cell r="B828" t="str">
            <v>등나무</v>
          </cell>
          <cell r="C828" t="str">
            <v>L2.5*R4</v>
          </cell>
          <cell r="D828">
            <v>24600</v>
          </cell>
        </row>
        <row r="829">
          <cell r="A829" t="str">
            <v>등R6</v>
          </cell>
          <cell r="B829" t="str">
            <v>등나무</v>
          </cell>
          <cell r="C829" t="str">
            <v>L3.0*R6</v>
          </cell>
          <cell r="D829">
            <v>62400</v>
          </cell>
        </row>
        <row r="830">
          <cell r="A830" t="str">
            <v>등R8</v>
          </cell>
          <cell r="B830" t="str">
            <v>등나무</v>
          </cell>
          <cell r="C830" t="str">
            <v>L4.0*R8</v>
          </cell>
          <cell r="D830">
            <v>112000</v>
          </cell>
        </row>
        <row r="831">
          <cell r="A831" t="str">
            <v>붉은인동4</v>
          </cell>
          <cell r="B831" t="str">
            <v>붉은인동</v>
          </cell>
          <cell r="C831" t="str">
            <v>4치(L=30CM)</v>
          </cell>
        </row>
        <row r="832">
          <cell r="A832" t="str">
            <v>붉은인동6</v>
          </cell>
          <cell r="B832" t="str">
            <v>붉은인동</v>
          </cell>
          <cell r="C832" t="str">
            <v>6치(L=50CM이상)</v>
          </cell>
        </row>
        <row r="833">
          <cell r="A833" t="str">
            <v>영춘화6POT</v>
          </cell>
          <cell r="B833" t="str">
            <v>영춘화</v>
          </cell>
          <cell r="C833" t="str">
            <v>6" POT</v>
          </cell>
        </row>
        <row r="834">
          <cell r="A834" t="str">
            <v>영춘화5치</v>
          </cell>
          <cell r="B834" t="str">
            <v>영춘화</v>
          </cell>
          <cell r="C834" t="str">
            <v>5치(0.5*0.2, 3가지)</v>
          </cell>
        </row>
        <row r="835">
          <cell r="A835" t="str">
            <v>영춘화7치</v>
          </cell>
          <cell r="B835" t="str">
            <v>영춘화</v>
          </cell>
          <cell r="C835" t="str">
            <v>7치(0.5*0.3,5가지이상)</v>
          </cell>
        </row>
        <row r="836">
          <cell r="A836" t="str">
            <v>상사화</v>
          </cell>
          <cell r="B836" t="str">
            <v>상사화</v>
          </cell>
          <cell r="C836" t="str">
            <v>개화구</v>
          </cell>
        </row>
        <row r="837">
          <cell r="A837" t="str">
            <v>아주가3</v>
          </cell>
          <cell r="B837" t="str">
            <v>아주가</v>
          </cell>
          <cell r="C837" t="str">
            <v>3치(1-2분얼)</v>
          </cell>
        </row>
        <row r="838">
          <cell r="A838" t="str">
            <v>아주가4</v>
          </cell>
          <cell r="B838" t="str">
            <v>아주가</v>
          </cell>
          <cell r="C838" t="str">
            <v>4치(2-3분얼)</v>
          </cell>
        </row>
        <row r="839">
          <cell r="A839" t="str">
            <v>원추리4-5</v>
          </cell>
          <cell r="B839" t="str">
            <v>원추리</v>
          </cell>
          <cell r="C839" t="str">
            <v>4-5분얼</v>
          </cell>
        </row>
        <row r="840">
          <cell r="A840" t="str">
            <v>원추리2-3</v>
          </cell>
          <cell r="B840" t="str">
            <v>원추리</v>
          </cell>
          <cell r="C840" t="str">
            <v>2-3분얼</v>
          </cell>
        </row>
        <row r="841">
          <cell r="A841" t="str">
            <v>원추리각시</v>
          </cell>
          <cell r="B841" t="str">
            <v>원추러(각시)</v>
          </cell>
          <cell r="C841" t="str">
            <v>4-5분얼</v>
          </cell>
        </row>
        <row r="842">
          <cell r="A842" t="str">
            <v>원추리왕</v>
          </cell>
          <cell r="B842" t="str">
            <v>원추리(왕)</v>
          </cell>
          <cell r="C842" t="str">
            <v>2-3분얼</v>
          </cell>
        </row>
        <row r="843">
          <cell r="A843" t="str">
            <v>원추리애기</v>
          </cell>
          <cell r="B843" t="str">
            <v>원추리(애기)</v>
          </cell>
          <cell r="C843" t="str">
            <v>2-3분얼</v>
          </cell>
        </row>
        <row r="844">
          <cell r="A844" t="str">
            <v>산국</v>
          </cell>
          <cell r="B844" t="str">
            <v>산국</v>
          </cell>
          <cell r="C844" t="str">
            <v>W0.15</v>
          </cell>
        </row>
        <row r="845">
          <cell r="A845" t="str">
            <v>감국2-3</v>
          </cell>
          <cell r="B845" t="str">
            <v>감국(산국)</v>
          </cell>
          <cell r="C845" t="str">
            <v>2-3분얼</v>
          </cell>
        </row>
        <row r="846">
          <cell r="A846" t="str">
            <v>감국3</v>
          </cell>
          <cell r="B846" t="str">
            <v>감국(산국)</v>
          </cell>
          <cell r="C846" t="str">
            <v>3치(1-2분얼)</v>
          </cell>
        </row>
        <row r="847">
          <cell r="A847" t="str">
            <v>감국4</v>
          </cell>
          <cell r="B847" t="str">
            <v>감국(산국)</v>
          </cell>
          <cell r="C847" t="str">
            <v>4치(3-5분얼)</v>
          </cell>
        </row>
        <row r="848">
          <cell r="A848" t="str">
            <v>감국5</v>
          </cell>
          <cell r="B848" t="str">
            <v>감국(산국)</v>
          </cell>
          <cell r="C848" t="str">
            <v>6치(7-10분얼)</v>
          </cell>
        </row>
        <row r="849">
          <cell r="A849" t="str">
            <v>구절초3</v>
          </cell>
          <cell r="B849" t="str">
            <v>구절초</v>
          </cell>
          <cell r="C849" t="str">
            <v>3치(1-3분얼)</v>
          </cell>
        </row>
        <row r="850">
          <cell r="A850" t="str">
            <v>구절초4</v>
          </cell>
          <cell r="B850" t="str">
            <v>구절초</v>
          </cell>
          <cell r="C850" t="str">
            <v>4치(2-5분얼)</v>
          </cell>
        </row>
        <row r="851">
          <cell r="A851" t="str">
            <v>구절초원</v>
          </cell>
          <cell r="B851" t="str">
            <v>구절초</v>
          </cell>
          <cell r="C851" t="str">
            <v>원포기(10-15분얼)</v>
          </cell>
        </row>
        <row r="852">
          <cell r="A852" t="str">
            <v>나리</v>
          </cell>
          <cell r="B852" t="str">
            <v>나리</v>
          </cell>
          <cell r="C852" t="str">
            <v>개화구</v>
          </cell>
        </row>
        <row r="853">
          <cell r="A853" t="str">
            <v>줄사철L0.6</v>
          </cell>
          <cell r="B853" t="str">
            <v>줄사철</v>
          </cell>
          <cell r="C853" t="str">
            <v>L=0.6</v>
          </cell>
          <cell r="D853">
            <v>2500</v>
          </cell>
        </row>
        <row r="854">
          <cell r="A854" t="str">
            <v>줄사철L1.0</v>
          </cell>
          <cell r="B854" t="str">
            <v>줄사철</v>
          </cell>
          <cell r="C854" t="str">
            <v>L=1.0M</v>
          </cell>
          <cell r="D854">
            <v>4000</v>
          </cell>
        </row>
        <row r="855">
          <cell r="A855" t="str">
            <v>오죽</v>
          </cell>
          <cell r="B855" t="str">
            <v>오죽</v>
          </cell>
          <cell r="C855" t="str">
            <v>10치</v>
          </cell>
        </row>
        <row r="856">
          <cell r="A856" t="str">
            <v>바위취3</v>
          </cell>
          <cell r="B856" t="str">
            <v>바위취</v>
          </cell>
          <cell r="C856" t="str">
            <v>3치(1-2분얼)</v>
          </cell>
        </row>
        <row r="857">
          <cell r="A857" t="str">
            <v>바위취4</v>
          </cell>
          <cell r="B857" t="str">
            <v>바위취</v>
          </cell>
          <cell r="C857" t="str">
            <v>4치(2-3분얼)</v>
          </cell>
        </row>
        <row r="858">
          <cell r="A858" t="str">
            <v>관중5</v>
          </cell>
          <cell r="B858" t="str">
            <v>관중</v>
          </cell>
          <cell r="C858" t="str">
            <v>5치(0.3*0.2)</v>
          </cell>
        </row>
        <row r="859">
          <cell r="A859" t="str">
            <v>관중7</v>
          </cell>
          <cell r="B859" t="str">
            <v>관중</v>
          </cell>
          <cell r="C859" t="str">
            <v>7치(0.4*0.3)</v>
          </cell>
        </row>
        <row r="860">
          <cell r="A860" t="str">
            <v>관중9</v>
          </cell>
          <cell r="B860" t="str">
            <v>관중</v>
          </cell>
          <cell r="C860" t="str">
            <v>9치(0.5*0.3)이상</v>
          </cell>
        </row>
        <row r="861">
          <cell r="A861" t="str">
            <v>왜란3</v>
          </cell>
          <cell r="B861" t="str">
            <v>왜란</v>
          </cell>
          <cell r="C861" t="str">
            <v>3치(7-10분얼)</v>
          </cell>
        </row>
        <row r="862">
          <cell r="A862" t="str">
            <v>복수초1-2</v>
          </cell>
          <cell r="B862" t="str">
            <v>복수초</v>
          </cell>
          <cell r="C862" t="str">
            <v>1-2분얼</v>
          </cell>
        </row>
        <row r="863">
          <cell r="A863" t="str">
            <v>복수초5</v>
          </cell>
          <cell r="B863" t="str">
            <v>복수초</v>
          </cell>
          <cell r="C863" t="str">
            <v>5치(2-3분얼)</v>
          </cell>
        </row>
        <row r="864">
          <cell r="A864" t="str">
            <v>노루오줌4</v>
          </cell>
          <cell r="B864" t="str">
            <v>노루오줌</v>
          </cell>
          <cell r="C864" t="str">
            <v>4치(2-3분얼)</v>
          </cell>
        </row>
        <row r="865">
          <cell r="A865" t="str">
            <v>노루오줌5</v>
          </cell>
          <cell r="B865" t="str">
            <v>노루오줌</v>
          </cell>
          <cell r="C865" t="str">
            <v>5치(3-5분얼)</v>
          </cell>
        </row>
        <row r="866">
          <cell r="A866" t="str">
            <v>노루오줌원</v>
          </cell>
          <cell r="B866" t="str">
            <v>노루오줌</v>
          </cell>
          <cell r="C866" t="str">
            <v>원포기(5-10분얼)</v>
          </cell>
        </row>
        <row r="867">
          <cell r="A867" t="str">
            <v>패랭이4</v>
          </cell>
          <cell r="B867" t="str">
            <v>패랭이</v>
          </cell>
          <cell r="C867" t="str">
            <v>4치(3-4분얼)</v>
          </cell>
        </row>
        <row r="868">
          <cell r="A868" t="str">
            <v>패랭이술3</v>
          </cell>
          <cell r="B868" t="str">
            <v>패랭이(술)</v>
          </cell>
          <cell r="C868" t="str">
            <v>3치(4-5분얼)</v>
          </cell>
        </row>
        <row r="869">
          <cell r="A869" t="str">
            <v>패랭이술4</v>
          </cell>
          <cell r="B869" t="str">
            <v>패랭이(술)</v>
          </cell>
          <cell r="C869" t="str">
            <v>4치(7-10분얼)</v>
          </cell>
        </row>
        <row r="870">
          <cell r="A870" t="str">
            <v>패랭이상록3</v>
          </cell>
          <cell r="B870" t="str">
            <v>패랭이(상록)</v>
          </cell>
          <cell r="C870" t="str">
            <v>3치(4-5분얼)</v>
          </cell>
        </row>
        <row r="871">
          <cell r="A871" t="str">
            <v>패랭이상록4</v>
          </cell>
          <cell r="B871" t="str">
            <v>패랭이(상록)</v>
          </cell>
          <cell r="C871" t="str">
            <v>4치(7-10분얼)</v>
          </cell>
        </row>
        <row r="872">
          <cell r="A872" t="str">
            <v>수호초4</v>
          </cell>
          <cell r="B872" t="str">
            <v>수호초</v>
          </cell>
          <cell r="C872" t="str">
            <v>4치(3-5분얼)</v>
          </cell>
        </row>
        <row r="873">
          <cell r="A873" t="str">
            <v>바위떡풀3</v>
          </cell>
          <cell r="B873" t="str">
            <v>바위떡풀</v>
          </cell>
          <cell r="C873" t="str">
            <v>3치(1-2분얼)</v>
          </cell>
        </row>
        <row r="874">
          <cell r="A874" t="str">
            <v>바위떡풀4</v>
          </cell>
          <cell r="B874" t="str">
            <v>바위떡풀</v>
          </cell>
          <cell r="C874" t="str">
            <v>4치(2-3분얼)</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분석표"/>
      <sheetName val="기준FACTOR"/>
      <sheetName val="입찰품의서(10K)"/>
      <sheetName val="입찰품의서(20K)"/>
      <sheetName val="금액 집계표(10K)"/>
      <sheetName val="금액 집계표(20K)"/>
      <sheetName val="현장 관리비"/>
      <sheetName val="상세 내역"/>
      <sheetName val="가설공사비"/>
      <sheetName val="입찰조건"/>
      <sheetName val="실행(을10k)"/>
      <sheetName val="실행(을20k)"/>
      <sheetName val="성도갑(10k)"/>
      <sheetName val="성도갑(20k)"/>
      <sheetName val="SUM(10K)"/>
      <sheetName val="SUM(20K)"/>
      <sheetName val="BULK내역(성도)"/>
      <sheetName val="PGAS내역(성도,10K)"/>
      <sheetName val="PGAS내역(성도,20K)"/>
      <sheetName val="여백1"/>
      <sheetName val="B1"/>
      <sheetName val="B2"/>
      <sheetName val="B3"/>
      <sheetName val="B4"/>
      <sheetName val="B4-1.1"/>
      <sheetName val="B4-1.2"/>
      <sheetName val="B4-2.1"/>
      <sheetName val="B4-2.2"/>
      <sheetName val="B5"/>
      <sheetName val="B6"/>
      <sheetName val="여백2"/>
      <sheetName val="P1"/>
      <sheetName val="P2"/>
      <sheetName val="P3"/>
      <sheetName val="P3-A"/>
      <sheetName val="P3-B"/>
      <sheetName val="P4"/>
      <sheetName val="P5"/>
      <sheetName val="FACTOR"/>
      <sheetName val="수목데이타 "/>
    </sheetNames>
    <sheetDataSet>
      <sheetData sheetId="0" refreshError="1"/>
      <sheetData sheetId="1" refreshError="1">
        <row r="6">
          <cell r="C6">
            <v>1270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예산서"/>
      <sheetName val="명세서"/>
      <sheetName val="자료입력"/>
      <sheetName val="별표총괄"/>
      <sheetName val="설계명세서"/>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철거산출근거"/>
      <sheetName val="단가조사"/>
    </sheetNames>
    <sheetDataSet>
      <sheetData sheetId="0" refreshError="1"/>
      <sheetData sheetId="1" refreshError="1"/>
      <sheetData sheetId="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95801(Cron Roof Type)"/>
      <sheetName val="TK-95701(Open Roof Type)"/>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도급양식"/>
      <sheetName val="표지"/>
      <sheetName val="기준FACTOR"/>
      <sheetName val="공사비내역서"/>
      <sheetName val="할증 "/>
      <sheetName val="PIPING"/>
      <sheetName val="인건비"/>
      <sheetName val="공정별"/>
      <sheetName val="갑지(추정)"/>
      <sheetName val="1차 내역서"/>
      <sheetName val="일위대가표"/>
      <sheetName val="ACE-N2공정별 예실대비 총괄표"/>
      <sheetName val="예산총괄"/>
      <sheetName val="bs"/>
      <sheetName val="공장3월 종합"/>
      <sheetName val="base"/>
      <sheetName val="뜃맟뭁돽띿맟?-BLDG"/>
      <sheetName val="EXPAN-1"/>
      <sheetName val="자재별"/>
      <sheetName val="FACTOR"/>
      <sheetName val="연결관암거"/>
      <sheetName val="일위목록-기"/>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갑지"/>
      <sheetName val="원가계산"/>
      <sheetName val="순공사집계표"/>
      <sheetName val="건축공사"/>
      <sheetName val="전기공사"/>
      <sheetName val="설비공사"/>
      <sheetName val="부대공사"/>
      <sheetName val="내역1"/>
    </sheetNames>
    <sheetDataSet>
      <sheetData sheetId="0" refreshError="1"/>
      <sheetData sheetId="1"/>
      <sheetData sheetId="2"/>
      <sheetData sheetId="3"/>
      <sheetData sheetId="4"/>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ty검토"/>
      <sheetName val="MATERIAL"/>
      <sheetName val="WORK SCOPE"/>
      <sheetName val="REQUIREMENT"/>
      <sheetName val="갑지 "/>
      <sheetName val="내역서"/>
      <sheetName val="할증"/>
      <sheetName val="실행(갑)"/>
      <sheetName val="실행(을)"/>
      <sheetName val="지수"/>
      <sheetName val="FACTOR"/>
      <sheetName val="Sheet5"/>
      <sheetName val="단가표"/>
      <sheetName val="Y-WORK"/>
      <sheetName val="환율change"/>
      <sheetName val="견적서성도"/>
      <sheetName val="FAB별"/>
      <sheetName val="H.P견적(참조)"/>
      <sheetName val="기준FACTOR"/>
      <sheetName val="unit 4"/>
      <sheetName val="간접비계산"/>
      <sheetName val="단가"/>
      <sheetName val="참조"/>
      <sheetName val="코드"/>
      <sheetName val="노임"/>
      <sheetName val="4차원가계산서"/>
      <sheetName val="도급양식"/>
      <sheetName val="Xunit"/>
      <sheetName val="최종전사PL"/>
      <sheetName val="PIPING"/>
      <sheetName val="식재수량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내역"/>
      <sheetName val="BID"/>
      <sheetName val="수목데이타 "/>
      <sheetName val="2.대외공문"/>
      <sheetName val="DATE"/>
      <sheetName val="단가산출"/>
      <sheetName val="간접"/>
      <sheetName val="단가"/>
      <sheetName val="원남울진낙찰내역(99.4.13 부산청)"/>
      <sheetName val="⑻동원인원산출서⑧"/>
      <sheetName val="실행내역서 "/>
      <sheetName val="집계표"/>
      <sheetName val="산근"/>
      <sheetName val="2000년1차"/>
      <sheetName val="증감내역서"/>
      <sheetName val="Sheet1"/>
      <sheetName val="전기"/>
      <sheetName val="입찰안"/>
      <sheetName val="s"/>
      <sheetName val="현황산출서"/>
      <sheetName val="수량산출"/>
      <sheetName val="내역서"/>
      <sheetName val="구의33고"/>
      <sheetName val="일위대가(가설)"/>
      <sheetName val="자료입력"/>
      <sheetName val="준공변경요약서(4차1회)"/>
      <sheetName val="원가계산서 (전체변경)"/>
      <sheetName val="갑지(추정)"/>
      <sheetName val="산출내역서"/>
      <sheetName val="입력"/>
      <sheetName val="98수문일위"/>
      <sheetName val="토목내역"/>
      <sheetName val="설계내역서"/>
      <sheetName val="45,46"/>
      <sheetName val="마산월령동골조물량변경"/>
      <sheetName val="2.건축"/>
      <sheetName val="개요"/>
      <sheetName val="터파기및재료"/>
      <sheetName val="화설내"/>
      <sheetName val="산출내역서집계표"/>
      <sheetName val="골조시행"/>
      <sheetName val="MOKDONG(1)"/>
      <sheetName val="포천송우교회_CheckList"/>
      <sheetName val="유림골조"/>
      <sheetName val="소방사항"/>
      <sheetName val="APT"/>
      <sheetName val="실행"/>
      <sheetName val="데리네이타현황"/>
      <sheetName val="날개벽수량표"/>
      <sheetName val="수주현황2월"/>
      <sheetName val="Total"/>
      <sheetName val="식재가격"/>
      <sheetName val="식재총괄"/>
      <sheetName val="갑지"/>
      <sheetName val="준검 내역서"/>
      <sheetName val="코드표"/>
      <sheetName val="#REF"/>
      <sheetName val="기초단가"/>
      <sheetName val="EACT10"/>
      <sheetName val="3BL공동구 수량"/>
      <sheetName val="건축공사"/>
      <sheetName val="결과조달"/>
      <sheetName val="각형맨홀"/>
      <sheetName val="비교1"/>
      <sheetName val="소비자가"/>
      <sheetName val="노임"/>
      <sheetName val="Sheet1 (2)"/>
      <sheetName val="C-노임단가"/>
      <sheetName val="코드"/>
      <sheetName val="Sheet4"/>
      <sheetName val="내역서 (2)"/>
      <sheetName val="일위대가표"/>
      <sheetName val="신대방33(적용)"/>
      <sheetName val="실행(ALT1)"/>
      <sheetName val="돈암사업"/>
      <sheetName val="울산자동제어"/>
      <sheetName val="교통대책내역"/>
      <sheetName val="콘크리트타설집계표"/>
      <sheetName val="아파트-가설"/>
      <sheetName val="견적산출"/>
      <sheetName val="보안등"/>
      <sheetName val="N賃率-職"/>
      <sheetName val="인사자료총집계"/>
      <sheetName val="대비"/>
      <sheetName val="기계내역"/>
      <sheetName val="본부장"/>
      <sheetName val="설-원가"/>
      <sheetName val="원가"/>
      <sheetName val="총괄내역서"/>
      <sheetName val="가로등내역서"/>
      <sheetName val="화전내"/>
      <sheetName val="자재"/>
      <sheetName val="물가기준년"/>
      <sheetName val="장비기준"/>
      <sheetName val="CTEMCOST"/>
      <sheetName val="노임이"/>
      <sheetName val="기초코드"/>
      <sheetName val="PAINT"/>
      <sheetName val="시중노임"/>
      <sheetName val="차액보증"/>
      <sheetName val="설계예산서"/>
      <sheetName val="단가조사서"/>
      <sheetName val="배수설비"/>
      <sheetName val="노임단가"/>
      <sheetName val="내구품질향상1"/>
      <sheetName val="출장거리"/>
      <sheetName val="수량집계"/>
      <sheetName val="개산공사비"/>
      <sheetName val="내역(중앙)"/>
      <sheetName val="내역(창신)"/>
      <sheetName val="맨홀수량"/>
      <sheetName val="빗물받이(910-510-410)"/>
      <sheetName val="본공사"/>
      <sheetName val="단면치수"/>
      <sheetName val="가계부"/>
      <sheetName val="제품목록"/>
      <sheetName val="매입매출관리"/>
      <sheetName val="일위대가"/>
      <sheetName val="일위대가목차"/>
      <sheetName val="부하계산서"/>
      <sheetName val="개소별수량산출"/>
      <sheetName val="을지"/>
      <sheetName val="단"/>
      <sheetName val="시운전연료"/>
      <sheetName val="신우"/>
      <sheetName val="라이닝보강"/>
      <sheetName val="현장별계약현황('98.10.31)"/>
      <sheetName val="Sheet3"/>
      <sheetName val="인건비"/>
      <sheetName val="집계"/>
      <sheetName val="신공항A-9(원가수정)"/>
      <sheetName val="원가 (2)"/>
      <sheetName val="A-4"/>
      <sheetName val="토목주소"/>
      <sheetName val="Sheet6"/>
      <sheetName val="70%"/>
      <sheetName val="9GNG운반"/>
      <sheetName val="8.식재일위"/>
      <sheetName val="B시설가격"/>
      <sheetName val="조경"/>
      <sheetName val="FAB별"/>
      <sheetName val="물량"/>
      <sheetName val="대창(장성)"/>
      <sheetName val="견적의뢰"/>
      <sheetName val="총집계표"/>
      <sheetName val="정보"/>
      <sheetName val="실행(표지,갑,을)"/>
      <sheetName val="예총"/>
      <sheetName val="공비대비"/>
      <sheetName val="일위대가(1)"/>
      <sheetName val="공사개요"/>
      <sheetName val="금융비용"/>
      <sheetName val="견적을지"/>
      <sheetName val="확산동"/>
      <sheetName val="1차 내역서"/>
      <sheetName val="잡철물"/>
      <sheetName val="견적서"/>
      <sheetName val="냉천부속동"/>
      <sheetName val="건축(을)"/>
      <sheetName val="음료실행"/>
      <sheetName val="유형분류"/>
      <sheetName val="시화점실행"/>
      <sheetName val="기안"/>
      <sheetName val="시스템구분"/>
      <sheetName val="배관길이"/>
      <sheetName val="자재단가표"/>
      <sheetName val="신공"/>
      <sheetName val="단가표"/>
      <sheetName val="전기실-1"/>
      <sheetName val="INDEX"/>
      <sheetName val="정산ISSUE(T)"/>
      <sheetName val="프랜트면허"/>
      <sheetName val="CONCRETE"/>
      <sheetName val="덕전리"/>
      <sheetName val="동구분"/>
      <sheetName val="1.설계조건"/>
      <sheetName val="수토공단위당"/>
      <sheetName val="내역서(총)"/>
      <sheetName val="내역서(ebs)"/>
      <sheetName val="조명시설"/>
      <sheetName val="예산명세서"/>
      <sheetName val="건축내역서"/>
      <sheetName val="전체"/>
      <sheetName val="공통가설"/>
      <sheetName val="조도계산서 (도서)"/>
      <sheetName val="노원열병합  건축공사기성내역서"/>
      <sheetName val="전기일위대가"/>
      <sheetName val="토목"/>
      <sheetName val="설명서 "/>
      <sheetName val="토공"/>
      <sheetName val="간접비계산"/>
      <sheetName val="4차원가계산서"/>
      <sheetName val="마산방향"/>
      <sheetName val="진주방향"/>
      <sheetName val="인건비 "/>
      <sheetName val="기초일위"/>
      <sheetName val="시설일위"/>
      <sheetName val="조명일위"/>
      <sheetName val="공종별"/>
      <sheetName val="일위_파일"/>
      <sheetName val="현장관리비"/>
      <sheetName val="실행내역"/>
      <sheetName val="CC16-내역서"/>
      <sheetName val="Ekog10"/>
      <sheetName val="일위목록"/>
      <sheetName val="여과지동"/>
      <sheetName val="기초자료"/>
      <sheetName val="수리결과"/>
      <sheetName val="TABLE DB"/>
      <sheetName val="쌍용 data base"/>
      <sheetName val="연부97-1"/>
      <sheetName val="3월"/>
      <sheetName val="원남울진낙찰내역(99_4_13_부산청)"/>
      <sheetName val="2_건축"/>
      <sheetName val="학생내역"/>
      <sheetName val="변전실재분리"/>
      <sheetName val="소야공정계획표"/>
      <sheetName val="수정금지"/>
      <sheetName val="공사"/>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대림경상68억"/>
      <sheetName val="일위대가"/>
      <sheetName val="공문"/>
      <sheetName val="집계표"/>
      <sheetName val="#REF"/>
      <sheetName val="FAX"/>
      <sheetName val="실행철강하도"/>
      <sheetName val="내역"/>
      <sheetName val="물량표"/>
      <sheetName val="인천제철"/>
      <sheetName val="한강운반비"/>
      <sheetName val="규격"/>
      <sheetName val="DATE"/>
      <sheetName val="강교(Sub)"/>
      <sheetName val="일반토공견적"/>
      <sheetName val="노임"/>
      <sheetName val="구미4단2"/>
      <sheetName val="구조물공"/>
      <sheetName val="부대공"/>
      <sheetName val="배수공"/>
      <sheetName val="토공"/>
      <sheetName val="포장공"/>
      <sheetName val="월별생산"/>
      <sheetName val="일위대가(1)"/>
      <sheetName val="예산대비"/>
      <sheetName val="준검 내역서"/>
      <sheetName val="보험료"/>
      <sheetName val="갑지"/>
      <sheetName val="3.공통공사대비"/>
      <sheetName val="단가조사"/>
      <sheetName val="조명시설"/>
      <sheetName val="터파기및재료"/>
      <sheetName val="입력"/>
      <sheetName val="부전지"/>
      <sheetName val="청천내"/>
      <sheetName val="데이타"/>
      <sheetName val="해외(원화)"/>
      <sheetName val="수량산출"/>
      <sheetName val="연습"/>
      <sheetName val="원가서"/>
      <sheetName val="기초단가"/>
      <sheetName val="인건비 "/>
      <sheetName val="마산월령동골조물량변경"/>
      <sheetName val="인사자료총집계"/>
      <sheetName val="단가"/>
      <sheetName val="일위"/>
      <sheetName val="기본단가"/>
      <sheetName val="9GNG운반"/>
      <sheetName val="APT"/>
      <sheetName val="주안3차A-A"/>
      <sheetName val="갑지(추정)"/>
      <sheetName val="기안"/>
      <sheetName val="N賃率-職"/>
      <sheetName val="내역서"/>
      <sheetName val="데리네이타현황"/>
      <sheetName val="_REF"/>
      <sheetName val="Apt내역"/>
      <sheetName val="Sheet4"/>
      <sheetName val="소방사항"/>
      <sheetName val="G.R300경비"/>
      <sheetName val="DHEQSUPT"/>
      <sheetName val="시화점실행"/>
      <sheetName val="BQ(실행)"/>
      <sheetName val="중기경유지급대장"/>
      <sheetName val="원가"/>
      <sheetName val="중기사용료"/>
      <sheetName val="표지"/>
      <sheetName val="구의33고"/>
      <sheetName val="I一般比"/>
      <sheetName val="비교1"/>
      <sheetName val="진천방향"/>
      <sheetName val="Total"/>
      <sheetName val="총괄"/>
      <sheetName val="골조시행"/>
      <sheetName val="유림골조"/>
      <sheetName val="비용"/>
      <sheetName val="입찰안"/>
      <sheetName val="단가산출"/>
      <sheetName val="98수문일위"/>
      <sheetName val="자재"/>
      <sheetName val="Sheet1"/>
      <sheetName val="제잡비"/>
      <sheetName val="9-1차이내역"/>
      <sheetName val="database"/>
      <sheetName val="영동(D)"/>
      <sheetName val="실행(1)"/>
      <sheetName val="현장경상비"/>
      <sheetName val="건축내역서 (경제상무실)"/>
      <sheetName val="SUMMARY"/>
      <sheetName val="PAINT"/>
      <sheetName val="매립"/>
      <sheetName val="대치판정"/>
      <sheetName val="Sheet6"/>
      <sheetName val="산근"/>
      <sheetName val="EACT10"/>
      <sheetName val="CAL"/>
      <sheetName val="s"/>
      <sheetName val="산출내역서집계표"/>
      <sheetName val="FAB별"/>
      <sheetName val="실행내역서 "/>
      <sheetName val="예총"/>
      <sheetName val="설계내역서"/>
      <sheetName val="내역_FILE"/>
      <sheetName val="Salary(해외)"/>
      <sheetName val="연돌일위집계"/>
      <sheetName val="(A)내역서"/>
      <sheetName val="금액내역서"/>
      <sheetName val="출력X"/>
      <sheetName val="건축공사"/>
      <sheetName val="가. 2006년 사업계획서"/>
      <sheetName val="집행현황"/>
      <sheetName val="통합보할공정표"/>
      <sheetName val="기본DATA"/>
      <sheetName val="내역서적용"/>
      <sheetName val="기본자료"/>
      <sheetName val="시운전연료"/>
      <sheetName val="유림총괄"/>
      <sheetName val="편입용지조서"/>
      <sheetName val="bid"/>
      <sheetName val="MIJIBI"/>
      <sheetName val="부대tu"/>
      <sheetName val="inputdata"/>
      <sheetName val="도급원가"/>
      <sheetName val="관로공표지"/>
      <sheetName val="콘크리트타설집계표"/>
      <sheetName val="MOTOR"/>
      <sheetName val="XL4Poppy"/>
      <sheetName val="배수내역"/>
      <sheetName val="전기단가조사서"/>
      <sheetName val="노임이"/>
      <sheetName val="집계"/>
      <sheetName val="공사"/>
      <sheetName val="토목(대안)"/>
      <sheetName val="인제내역"/>
      <sheetName val="목포전화국"/>
      <sheetName val="면적"/>
      <sheetName val="입찰"/>
      <sheetName val="현경"/>
      <sheetName val="노임단가"/>
      <sheetName val="2000년1차"/>
      <sheetName val="배관배선 단가조사"/>
      <sheetName val="일위대가집계"/>
      <sheetName val="***********************00"/>
      <sheetName val="설비견적"/>
      <sheetName val="확약서"/>
      <sheetName val="설계예산서"/>
      <sheetName val="설비"/>
      <sheetName val="P1"/>
      <sheetName val="매매"/>
      <sheetName val="전신"/>
      <sheetName val="A-4"/>
      <sheetName val="연결임시"/>
      <sheetName val="손익차9월2"/>
      <sheetName val="신대방33(적용)"/>
      <sheetName val="일위대가-01"/>
      <sheetName val="목재동바리"/>
      <sheetName val="COPING"/>
      <sheetName val="설계명세"/>
      <sheetName val="개산공사비"/>
      <sheetName val="건축내역"/>
      <sheetName val="해평견적"/>
      <sheetName val="덕전리"/>
      <sheetName val="증감내역서"/>
      <sheetName val="내역서(교량)전체"/>
      <sheetName val="96보완계획7.12"/>
      <sheetName val="기계경비(시간당)"/>
      <sheetName val="램머"/>
      <sheetName val="98NS-N"/>
      <sheetName val="전기"/>
      <sheetName val="건축"/>
      <sheetName val="사토(신천경유)"/>
      <sheetName val="개요"/>
      <sheetName val="건설성적"/>
      <sheetName val="내역서단가산출용"/>
      <sheetName val="자금청구"/>
      <sheetName val="건공요율"/>
      <sheetName val="부대입찰"/>
      <sheetName val="적격점수"/>
      <sheetName val="자재인력"/>
      <sheetName val="입찰조건"/>
      <sheetName val="조건표"/>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대비"/>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죽원1교"/>
      <sheetName val="토적표"/>
      <sheetName val="정부노임단가"/>
      <sheetName val="청주(철골발주의뢰서)"/>
      <sheetName val="정렬"/>
      <sheetName val="분전함신설"/>
      <sheetName val="접지1종"/>
      <sheetName val="전선 및 전선관"/>
      <sheetName val="일위대가목록"/>
      <sheetName val="공조기"/>
      <sheetName val="총괄표"/>
      <sheetName val="수목데이타 "/>
      <sheetName val="식재"/>
      <sheetName val="시설물"/>
      <sheetName val="식재출력용"/>
      <sheetName val="유지관리"/>
      <sheetName val="기본설계기준"/>
      <sheetName val="실행간접비용"/>
      <sheetName val="신우"/>
      <sheetName val="음료실행"/>
      <sheetName val="수량산출내역1115"/>
      <sheetName val="식재인부"/>
      <sheetName val="위치조서"/>
      <sheetName val="산출내역서"/>
      <sheetName val="품목납기"/>
      <sheetName val="계획고"/>
      <sheetName val="배수관공"/>
      <sheetName val="사다리"/>
      <sheetName val="data"/>
      <sheetName val="단양 00 아파트-세부내역"/>
      <sheetName val="토목내역"/>
      <sheetName val="CON'C"/>
      <sheetName val="공사비산출내역"/>
      <sheetName val="기둥(원형)"/>
      <sheetName val="기초공"/>
      <sheetName val="품의서"/>
      <sheetName val="공통가설공사"/>
      <sheetName val="재집"/>
      <sheetName val="직재"/>
      <sheetName val="70%"/>
      <sheetName val="10월"/>
      <sheetName val="일위대가표"/>
      <sheetName val="일위목록"/>
      <sheetName val="Macro1"/>
      <sheetName val="일위대가(가설)"/>
      <sheetName val="실행"/>
      <sheetName val="가로등내역서"/>
      <sheetName val="작성"/>
      <sheetName val="일위_파일"/>
      <sheetName val="노무비"/>
      <sheetName val="6PILE  (돌출)"/>
      <sheetName val="단가산출서"/>
      <sheetName val="장비사양"/>
      <sheetName val="식재일위대가"/>
      <sheetName val="토목주소"/>
      <sheetName val="프랜트면허"/>
      <sheetName val="Sheet1 (2)"/>
      <sheetName val="전기BOX내역서"/>
      <sheetName val="가도공"/>
      <sheetName val="코드표"/>
      <sheetName val="설계"/>
      <sheetName val="기자재비"/>
      <sheetName val="Mc1"/>
      <sheetName val="2.냉난방설비공사"/>
      <sheetName val="단가비교표"/>
      <sheetName val="패널"/>
      <sheetName val="1차 내역서"/>
      <sheetName val="교각1"/>
      <sheetName val="대목"/>
      <sheetName val="단가표 (2)"/>
      <sheetName val="물가시세"/>
      <sheetName val="Sheet2"/>
      <sheetName val="단위중량"/>
      <sheetName val="적용건축"/>
      <sheetName val="단가표"/>
      <sheetName val="설계변경총괄표(계산식)"/>
      <sheetName val="A3.공사비 검토"/>
      <sheetName val="C3.토목_옹벽"/>
      <sheetName val="3.건축(현장안)"/>
      <sheetName val="의왕내역"/>
      <sheetName val="관급자재"/>
      <sheetName val="단"/>
      <sheetName val="수정시산표"/>
      <sheetName val="매출채권 및 담보비율 변동"/>
      <sheetName val="설계예시"/>
      <sheetName val="완성차 미수금"/>
      <sheetName val="인건-측정"/>
      <sheetName val="전기변내역"/>
      <sheetName val="갑지(요약)"/>
      <sheetName val="현장관리비"/>
      <sheetName val="INPUT"/>
      <sheetName val="기초코드"/>
      <sheetName val="내역서2안"/>
      <sheetName val="지급자재"/>
      <sheetName val="2.대외공문"/>
      <sheetName val="HP1AMLIST"/>
      <sheetName val="JUCKEYK"/>
      <sheetName val="분양가"/>
      <sheetName val="대가단최종"/>
      <sheetName val="분양금할인"/>
      <sheetName val="부대내역"/>
      <sheetName val="ML"/>
      <sheetName val="업무분장"/>
      <sheetName val="실행대비"/>
      <sheetName val="일위대가목차"/>
      <sheetName val="강북라우터"/>
      <sheetName val="콤보박스와 리스트박스의 연결"/>
      <sheetName val="이토변실(A3-LINE)"/>
      <sheetName val="식재가격"/>
      <sheetName val="식재총괄"/>
      <sheetName val="물가자료"/>
      <sheetName val="교통대책내역"/>
      <sheetName val="목차 및 표지"/>
      <sheetName val="1기성검사원"/>
      <sheetName val="기성검사원"/>
      <sheetName val="2기성산출범위요약서"/>
      <sheetName val="견적서"/>
      <sheetName val="4-10"/>
      <sheetName val="일위대가(출입)"/>
      <sheetName val="토사(PE)"/>
      <sheetName val="공사비집계"/>
      <sheetName val="설계예산2"/>
      <sheetName val="Sheet3"/>
      <sheetName val="덤프트럭계수"/>
      <sheetName val="공정코드"/>
      <sheetName val="내역(토목2)11-7"/>
      <sheetName val="설계서을"/>
      <sheetName val="BOX수량"/>
      <sheetName val="용산1(해보)"/>
      <sheetName val="공사개요"/>
      <sheetName val="노원열병합  건축공사기성내역서"/>
      <sheetName val="세부내역"/>
      <sheetName val="입출재고현황 (2)"/>
      <sheetName val="TEL"/>
      <sheetName val="8공구투찰내역서"/>
      <sheetName val="Customer Databas"/>
      <sheetName val="design criteria"/>
      <sheetName val="working load at the btm ft."/>
      <sheetName val="plan&amp;section of foundation"/>
      <sheetName val="member design"/>
      <sheetName val="공사내역"/>
      <sheetName val="1.우편집중내역서"/>
      <sheetName val="공사비예산서(토목분)"/>
      <sheetName val="단가조건"/>
      <sheetName val="1.설계조건"/>
      <sheetName val="수량산출서"/>
      <sheetName val="danga"/>
      <sheetName val="ilch"/>
      <sheetName val="Y-WORK"/>
      <sheetName val="을"/>
      <sheetName val="98지급계획"/>
      <sheetName val="설계명세서"/>
      <sheetName val="1단계"/>
      <sheetName val="내역(입찰)"/>
      <sheetName val="RAHMEN"/>
      <sheetName val="type-F"/>
      <sheetName val="날개벽(좌,우=45도,75도)"/>
      <sheetName val="부대대비"/>
      <sheetName val="냉연집계"/>
      <sheetName val="영업.일"/>
      <sheetName val="산출기준(파견전산실)"/>
      <sheetName val="본부소개"/>
      <sheetName val="예산변경사항"/>
      <sheetName val="경비2내역"/>
      <sheetName val="단위중기"/>
      <sheetName val="2000.05"/>
      <sheetName val="hvac내역서(제어동)"/>
      <sheetName val="BOQ건축"/>
      <sheetName val="M1"/>
      <sheetName val="설계조건"/>
      <sheetName val="단면검토"/>
      <sheetName val="BSD (2)"/>
      <sheetName val="BSD _2_"/>
      <sheetName val="soil bearing check"/>
      <sheetName val="품종별-이름"/>
      <sheetName val="기계내역"/>
      <sheetName val="물가"/>
      <sheetName val="Budget 2004(DW)"/>
      <sheetName val="첨"/>
      <sheetName val="설비내역서"/>
      <sheetName val="건축내역서"/>
      <sheetName val="전기내역서"/>
      <sheetName val="PROJECT BRIEF(EX.NEW)"/>
      <sheetName val="예산M12A"/>
      <sheetName val="재무가정"/>
      <sheetName val="말뚝물량"/>
      <sheetName val="협조전"/>
      <sheetName val="정보매체A동"/>
      <sheetName val="ITB COST"/>
      <sheetName val="내역서(총)"/>
      <sheetName val="현장"/>
      <sheetName val="6.OUTPUT"/>
      <sheetName val="전기일위대가"/>
      <sheetName val="말뚝지지력산정"/>
      <sheetName val="계약내역서"/>
      <sheetName val="출력표"/>
      <sheetName val="단면가정"/>
      <sheetName val="Proposal"/>
      <sheetName val="I.설계조건"/>
      <sheetName val="보도경계블럭"/>
      <sheetName val="CAPVC"/>
      <sheetName val="단면 (2)"/>
      <sheetName val="combi(wall)"/>
      <sheetName val="1련박스"/>
      <sheetName val="날개벽"/>
      <sheetName val="대로근거"/>
      <sheetName val="중로근거"/>
      <sheetName val="첨부파일"/>
      <sheetName val="가격조사서"/>
      <sheetName val="현금"/>
      <sheetName val="건축원가계산서"/>
      <sheetName val="BREAKDOWN(철거설치)"/>
      <sheetName val="UNIT"/>
      <sheetName val="공틀공사"/>
      <sheetName val="퇴비산출근거"/>
      <sheetName val="99노임기준"/>
      <sheetName val="2002상반기노임기준"/>
      <sheetName val="분류작업"/>
      <sheetName val="분석"/>
      <sheetName val="설계예산"/>
      <sheetName val="하도급기성_(2)"/>
      <sheetName val="하도급단가산출_(2)"/>
      <sheetName val="입출재고현황_(2)"/>
      <sheetName val="EKOG10건축"/>
      <sheetName val="시멘트"/>
      <sheetName val="전체"/>
      <sheetName val="조명율표"/>
      <sheetName val="공사개요설명서"/>
      <sheetName val="사용성검토"/>
      <sheetName val="결과조달"/>
      <sheetName val="CODE"/>
      <sheetName val="안정검토"/>
      <sheetName val="공통(20-91)"/>
      <sheetName val="토공(완충)"/>
      <sheetName val="기계"/>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토목"/>
      <sheetName val="옹벽"/>
      <sheetName val="8.PILE  (돌출)"/>
      <sheetName val="입력값"/>
      <sheetName val="간선계산"/>
      <sheetName val="공통가설"/>
      <sheetName val="부재예실"/>
      <sheetName val="SUMMARY(S)"/>
      <sheetName val="대대터널 설계서"/>
      <sheetName val="내역표지"/>
      <sheetName val="담장산출"/>
      <sheetName val="PUMP"/>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TB-내역서"/>
      <sheetName val="자재단가비교표"/>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보온자재단가표"/>
      <sheetName val="조경"/>
      <sheetName val="Front"/>
      <sheetName val="wall"/>
      <sheetName val="DESCRIPTION"/>
      <sheetName val="6호기"/>
      <sheetName val="예산M5A"/>
      <sheetName val="VENDOR LIST"/>
      <sheetName val="공통비"/>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인건비"/>
      <sheetName val="소비자가"/>
      <sheetName val="dtxl"/>
      <sheetName val="FB25JN"/>
      <sheetName val=" 견적서"/>
      <sheetName val="기성내역서표지"/>
      <sheetName val="바.한일양산"/>
      <sheetName val="요율"/>
      <sheetName val="소방"/>
      <sheetName val="산출"/>
      <sheetName val="기초일위"/>
      <sheetName val="시설일위"/>
      <sheetName val="조명일위"/>
      <sheetName val="A"/>
      <sheetName val="투찰금액"/>
      <sheetName val="J"/>
      <sheetName val="진행 DATA (2)"/>
      <sheetName val="부표총괄"/>
      <sheetName val="7단가"/>
      <sheetName val="Module1"/>
      <sheetName val="내역서(ebs)"/>
      <sheetName val="CTEMCOST"/>
      <sheetName val="월별손익"/>
      <sheetName val="TEMP2"/>
      <sheetName val="전기공사"/>
      <sheetName val="변경내역을"/>
      <sheetName val="암거"/>
      <sheetName val="건축-물가변동"/>
      <sheetName val="맨홀수량"/>
      <sheetName val="공통부대비"/>
      <sheetName val="신축(단위)"/>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원가계산서(남측)"/>
      <sheetName val="총물량"/>
      <sheetName val="Ⅴ-2.공종별내역"/>
      <sheetName val="보할최종(준공)only"/>
      <sheetName val="제잡비계산"/>
      <sheetName val="견적"/>
      <sheetName val="s.v"/>
      <sheetName val="골프장예산"/>
      <sheetName val="Sheet5"/>
      <sheetName val="플랜트 설치"/>
      <sheetName val="설비단가표"/>
      <sheetName val="TYPE-A"/>
      <sheetName val="원가계산(2)"/>
      <sheetName val="원가계산"/>
      <sheetName val="집수A"/>
      <sheetName val="집수정(600-700)"/>
      <sheetName val="BJJIN"/>
      <sheetName val="슬래브수량"/>
      <sheetName val="점수계산1-2"/>
      <sheetName val="단중표"/>
      <sheetName val="견적사양비교표"/>
      <sheetName val="금호"/>
      <sheetName val="파이프류"/>
      <sheetName val="연부97-1"/>
      <sheetName val="대차(설명자료)"/>
      <sheetName val="7 (2)"/>
      <sheetName val="주차구획선수량"/>
      <sheetName val="공통비(전체)"/>
      <sheetName val="45,46"/>
      <sheetName val="스포회원매출"/>
      <sheetName val="배수공 주요자재 집계표"/>
      <sheetName val="총갑지"/>
      <sheetName val="#REF!"/>
      <sheetName val="9902"/>
      <sheetName val="MAT_N048"/>
      <sheetName val="간지"/>
      <sheetName val="간접"/>
      <sheetName val="철근량"/>
      <sheetName val="97년 추정"/>
      <sheetName val="코드"/>
      <sheetName val="합천내역"/>
      <sheetName val="공무팀"/>
      <sheetName val="본사인상전"/>
      <sheetName val="인상효1"/>
      <sheetName val="금주1교"/>
      <sheetName val="물량산출근거"/>
      <sheetName val="가로등일위대가"/>
      <sheetName val=" "/>
      <sheetName val="국내"/>
      <sheetName val="별표 "/>
      <sheetName val="본부장"/>
      <sheetName val="내부수지예산"/>
      <sheetName val="날개벽수량표"/>
      <sheetName val="PI"/>
      <sheetName val="물량표S"/>
      <sheetName val="2.고용보험료산출근거"/>
      <sheetName val="단위세대"/>
      <sheetName val="5사남"/>
      <sheetName val="keyword"/>
      <sheetName val="Sheet14"/>
      <sheetName val="Sheet15"/>
      <sheetName val="관로토공"/>
      <sheetName val="원본"/>
      <sheetName val="단면치수"/>
      <sheetName val="바닥판"/>
      <sheetName val="입력DATA"/>
      <sheetName val="Piping(Methanol)"/>
      <sheetName val="견적가 검토"/>
      <sheetName val="FUND"/>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재료비"/>
      <sheetName val="경비"/>
      <sheetName val="영업소실적"/>
      <sheetName val="eq_data"/>
      <sheetName val="차수"/>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BOX전기내역"/>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다곡2교"/>
      <sheetName val="SG"/>
      <sheetName val="인공산출"/>
      <sheetName val="신상기록(지우지 말것)"/>
      <sheetName val="가계부"/>
      <sheetName val="제품목록"/>
      <sheetName val="매입매출관리"/>
      <sheetName val="단가목록"/>
      <sheetName val="화설내"/>
      <sheetName val="하조서"/>
      <sheetName val="1.수인터널"/>
      <sheetName val="실행예산"/>
      <sheetName val="사유서제출현황-2"/>
      <sheetName val="인테리어"/>
      <sheetName val="골조"/>
      <sheetName val="Baby일위대가"/>
      <sheetName val="을-ATYPE"/>
      <sheetName val="수량집계"/>
      <sheetName val="교량하부공"/>
      <sheetName val="조달청적격심사"/>
      <sheetName val="미장"/>
      <sheetName val="철골"/>
      <sheetName val="99총공사내역서"/>
      <sheetName val="대장"/>
      <sheetName val="견적대비표"/>
      <sheetName val="BASIC"/>
      <sheetName val="가중치"/>
      <sheetName val="내역1"/>
      <sheetName val="품셈TABLE"/>
      <sheetName val="공사분석"/>
      <sheetName val="건축공사집계"/>
      <sheetName val="난간벽단위"/>
      <sheetName val="(2)자금(신용)"/>
      <sheetName val="사진첩"/>
      <sheetName val="도급"/>
      <sheetName val="단가 및 재료비"/>
      <sheetName val="수량산출서 갑지"/>
      <sheetName val="손익분석"/>
      <sheetName val="200"/>
      <sheetName val="지구단위계획"/>
      <sheetName val="변경비교-을"/>
      <sheetName val="구간별관경"/>
      <sheetName val="Tool"/>
      <sheetName val="그림"/>
      <sheetName val="F1"/>
      <sheetName val="TABLE DB"/>
      <sheetName val="쌍용 data base"/>
      <sheetName val="상하차비용"/>
      <sheetName val="시산표"/>
      <sheetName val="보고"/>
      <sheetName val="유리"/>
      <sheetName val="guard(mac)"/>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타공종이기"/>
      <sheetName val="소요자재"/>
      <sheetName val="적용기준"/>
      <sheetName val="유류수불내역2-9"/>
      <sheetName val="차선도색-연장,수량(1)"/>
      <sheetName val="지하발전소수량집계"/>
      <sheetName val="견적내역"/>
      <sheetName val="MATRLDATA"/>
      <sheetName val="FCU (2)"/>
      <sheetName val="어음수표추가테스트"/>
      <sheetName val="간접비계산"/>
      <sheetName val="도급FORM"/>
      <sheetName val="울산시산표"/>
      <sheetName val="EQT-ESTN"/>
      <sheetName val="BEND LOSS"/>
      <sheetName val="Eq. Mobilization"/>
      <sheetName val="2000전체분"/>
      <sheetName val=" 내역서"/>
      <sheetName val="전산품의"/>
      <sheetName val="도급b_balju"/>
      <sheetName val="자재단가"/>
      <sheetName val="건축내역(진해석동)"/>
      <sheetName val="울산자동제어"/>
      <sheetName val="CB"/>
      <sheetName val="실행내역"/>
      <sheetName val="변경내역"/>
      <sheetName val=""/>
      <sheetName val="P.M 별"/>
      <sheetName val="효성CB 1P기초"/>
      <sheetName val="터널조도"/>
      <sheetName val="물가시세표"/>
      <sheetName val="안산기계장치"/>
      <sheetName val="여과지동"/>
      <sheetName val="2001상반기노임"/>
      <sheetName val="차체부품 INS REPORT(갑)"/>
      <sheetName val="당초계약"/>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TEMP1"/>
      <sheetName val="bm-marine"/>
      <sheetName val="대안 토목 내역서"/>
      <sheetName val="0Title"/>
      <sheetName val="집계표(공종별)"/>
      <sheetName val="양식"/>
      <sheetName val="공통"/>
      <sheetName val="CC Down load 0716"/>
      <sheetName val="은행"/>
      <sheetName val="내역서 (2)"/>
      <sheetName val="연령현황"/>
      <sheetName val="벽체면적당일위대가"/>
      <sheetName val="일반부표"/>
      <sheetName val="203"/>
      <sheetName val="기본데이타입력"/>
      <sheetName val="간槜"/>
      <sheetName val="실행-토"/>
      <sheetName val="토공사"/>
      <sheetName val="1차설계변경내역"/>
      <sheetName val="시설수량표"/>
      <sheetName val="예산내역서(총괄)"/>
      <sheetName val="공제대산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 val="국산화"/>
      <sheetName val="교대(A1)"/>
      <sheetName val="아주기계"/>
      <sheetName val="Preliminaries"/>
      <sheetName val="업체별단가"/>
      <sheetName val="전등설비"/>
      <sheetName val="목록"/>
      <sheetName val="회사정보"/>
      <sheetName val="_______________________00"/>
      <sheetName val="Bldg"/>
      <sheetName val="一次"/>
      <sheetName val="주식"/>
      <sheetName val="투찰추정"/>
      <sheetName val="경산"/>
      <sheetName val="금융비용"/>
      <sheetName val="报价清单(2)"/>
      <sheetName val="valeurs de base"/>
      <sheetName val="TT04"/>
      <sheetName val="SEX"/>
      <sheetName val="Quantity"/>
      <sheetName val="Fan"/>
      <sheetName val="125x125"/>
      <sheetName val="MEPRECON#"/>
      <sheetName val="GAEYO"/>
      <sheetName val="SP10"/>
      <sheetName val="BG"/>
      <sheetName val="Div26 - Elect"/>
      <sheetName val="tifico"/>
      <sheetName val="FitOutConfCentre"/>
      <sheetName val="배서어음명세서"/>
      <sheetName val="sst,stl창호"/>
      <sheetName val="전체내역서"/>
      <sheetName val="설계기준"/>
      <sheetName val="시장성초안camera"/>
      <sheetName val="날개수량1.5"/>
      <sheetName val="4안전율"/>
      <sheetName val="시중노임"/>
      <sheetName val="VXXXXXXX"/>
      <sheetName val="인공LIST"/>
      <sheetName val="공량산출서"/>
      <sheetName val="배수공 시멘트 및 골재량 산출"/>
      <sheetName val="NS"/>
      <sheetName val="1근거"/>
      <sheetName val="간접재료비산출표-27-30"/>
      <sheetName val="UR2-Calculation"/>
      <sheetName val="3본사"/>
      <sheetName val="계산근거"/>
      <sheetName val="공종별 집계"/>
      <sheetName val="간접비"/>
      <sheetName val="CAT_5"/>
      <sheetName val="준공평가"/>
      <sheetName val="ERECTION"/>
      <sheetName val="POL설치공정"/>
      <sheetName val="공정양식"/>
      <sheetName val="맨홀수량산출"/>
      <sheetName val="가감수량"/>
      <sheetName val="상가지급현황"/>
      <sheetName val="4)유동표"/>
      <sheetName val="Ext. Stone-P"/>
      <sheetName val="케이블및전선관규격표"/>
      <sheetName val="조도계산서 (도서)"/>
      <sheetName val="방송(체육관)"/>
      <sheetName val="설계개요"/>
      <sheetName val="토공정보"/>
      <sheetName val="기성내역서"/>
      <sheetName val="수량 산출서(당초)"/>
      <sheetName val="삼성전기"/>
      <sheetName val="변경내역대비표(2)"/>
      <sheetName val="횡날개수집"/>
      <sheetName val="#34 CIVL_Original"/>
      <sheetName val="TOEC"/>
      <sheetName val="INDIRECT"/>
      <sheetName val="calculation-1"/>
      <sheetName val="MCC제원"/>
      <sheetName val="c_balju"/>
      <sheetName val="내역(전체)"/>
      <sheetName val="통계연보"/>
      <sheetName val="2-3.V.D일위"/>
      <sheetName val="별표집계"/>
      <sheetName val="SIL98"/>
      <sheetName val="가공비"/>
      <sheetName val="빈"/>
      <sheetName val="기초목"/>
      <sheetName val="1월"/>
      <sheetName val="#3E1_GCR"/>
      <sheetName val="실행견적"/>
      <sheetName val="건축공사 집계표"/>
      <sheetName val="좌측"/>
      <sheetName val="2.하자처리현황(CS)"/>
      <sheetName val="과거교육훈련비"/>
      <sheetName val="총 원가계산"/>
      <sheetName val="일집"/>
      <sheetName val="본장"/>
      <sheetName val="Macro(전선)"/>
      <sheetName val="건축(충일분)"/>
      <sheetName val="OD"/>
      <sheetName val="원가계산서구조조정"/>
      <sheetName val="기기리스트"/>
      <sheetName val="sheets"/>
      <sheetName val="오억미만"/>
      <sheetName val="품셈1-17"/>
      <sheetName val="대전21토목내역서"/>
      <sheetName val="교각계산"/>
      <sheetName val="36+45-113-18+19+20I"/>
      <sheetName val="당진1,2호기전선관설치및접지4차공사내역서-을지"/>
      <sheetName val="내역서(당초변경)"/>
      <sheetName val="3차준공"/>
      <sheetName val="토 적 표"/>
      <sheetName val="투찰"/>
      <sheetName val="참조"/>
      <sheetName val="P&amp;L01-02GR"/>
      <sheetName val="기본입력표"/>
      <sheetName val="흄관기초"/>
      <sheetName val="3BL공동구 수량"/>
      <sheetName val="모델링"/>
      <sheetName val="1"/>
      <sheetName val="부대공자재집계표"/>
      <sheetName val="설산1.나"/>
      <sheetName val="본사S"/>
      <sheetName val="노무단가"/>
      <sheetName val="신규일위대가"/>
      <sheetName val="금액집계"/>
      <sheetName val="가시설단위수량"/>
      <sheetName val="직접기초설계"/>
      <sheetName val="변화치수"/>
      <sheetName val="Breakdown"/>
      <sheetName val="역T형"/>
      <sheetName val="SLAB근거-1"/>
      <sheetName val="자판실행"/>
      <sheetName val="토공(우물통,기타) "/>
      <sheetName val="1.관로"/>
      <sheetName val="설계서"/>
      <sheetName val="9811"/>
      <sheetName val="9509"/>
      <sheetName val="환률"/>
      <sheetName val="FOB발"/>
      <sheetName val="예정공정표(도급)"/>
      <sheetName val="TABLE"/>
      <sheetName val="KMT물량"/>
      <sheetName val="AILC004"/>
      <sheetName val="기초설계"/>
      <sheetName val="라멘"/>
      <sheetName val="수량명세서"/>
      <sheetName val="구성비"/>
      <sheetName val="총집계표"/>
      <sheetName val="INPUT(덕도방향-시점)"/>
      <sheetName val="투자양식"/>
      <sheetName val="TAIHAN"/>
      <sheetName val="unitpric"/>
      <sheetName val="일위대가표(DEEP)"/>
      <sheetName val="페이징 배관배선"/>
      <sheetName val="Sheet13"/>
      <sheetName val="T13(P68~72,78)"/>
      <sheetName val="2000년 임금추정"/>
      <sheetName val="PO-BOQ"/>
      <sheetName val="서울산업대(토)"/>
      <sheetName val="저판(버림100)"/>
      <sheetName val="REINF."/>
      <sheetName val="CHECK1"/>
      <sheetName val="약품설비"/>
      <sheetName val="추가예산"/>
      <sheetName val="CAUDIT"/>
      <sheetName val="품의"/>
      <sheetName val="2003.4.1."/>
      <sheetName val="토적계산"/>
      <sheetName val="목차"/>
      <sheetName val="보통예금"/>
      <sheetName val="신규품셈목차"/>
      <sheetName val="시중노임단가"/>
      <sheetName val="전체현황"/>
      <sheetName val="실정보고내역서"/>
      <sheetName val="지주목시비량산출서"/>
      <sheetName val="구분자"/>
      <sheetName val="LinerWt"/>
      <sheetName val="외자배분"/>
      <sheetName val="횡배수관토공수량"/>
      <sheetName val="직접비"/>
      <sheetName val="초기화면"/>
      <sheetName val="이름정의"/>
      <sheetName val="원가계산서(건축)"/>
      <sheetName val="단가비교"/>
      <sheetName val="TYPE별집계"/>
      <sheetName val="냉천부속동"/>
      <sheetName val="MM"/>
      <sheetName val="LOADS"/>
      <sheetName val="960318-1"/>
      <sheetName val="재료집계"/>
      <sheetName val="내역을"/>
      <sheetName val="3.하중산정4.지지력"/>
      <sheetName val="갑지(비계타입)"/>
      <sheetName val="VOR"/>
      <sheetName val="노임,재료비"/>
      <sheetName val="교통시설 표지판"/>
      <sheetName val="3련 BOX"/>
      <sheetName val="DI1"/>
      <sheetName val="직접재료비"/>
      <sheetName val="측구터파기공수량집계"/>
      <sheetName val="구조물터파기수량집계"/>
      <sheetName val="h-013211-2"/>
      <sheetName val="깨기집계"/>
      <sheetName val="unit 4"/>
      <sheetName val="견적내역서"/>
      <sheetName val="2공종별예산조서"/>
      <sheetName val="운반비(시흥)"/>
      <sheetName val="외주가공"/>
      <sheetName val="배수내역 (2)"/>
      <sheetName val="대운산출"/>
      <sheetName val="Regenerator  Concrete Structure"/>
      <sheetName val="예산M2"/>
      <sheetName val="기초대가"/>
      <sheetName val="예산"/>
      <sheetName val="가설건물"/>
      <sheetName val="총체보활공정표"/>
      <sheetName val="FORM-0"/>
      <sheetName val="FORM_0"/>
      <sheetName val="부대시설"/>
      <sheetName val="1F"/>
      <sheetName val="대창(함평)"/>
      <sheetName val="대창(장성)"/>
      <sheetName val="대창(함평)-창열"/>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⑻동원인원산출서⑧"/>
      <sheetName val="TABLE_DB"/>
      <sheetName val="쌍용_data_base"/>
      <sheetName val="예산명세서"/>
      <sheetName val="변경명신물량 (2)"/>
      <sheetName val="우수맨홀공제단위수량"/>
      <sheetName val="__D951652_d________GUMI4B2____2"/>
      <sheetName val="도급양식"/>
      <sheetName val="PumpSpec"/>
      <sheetName val="Tender Summary"/>
      <sheetName val="매입세"/>
      <sheetName val="공사내역서(을)실행"/>
      <sheetName val="EQUIPMENT -2"/>
      <sheetName val="이자율"/>
      <sheetName val="5.노임단가"/>
      <sheetName val="AS포장복구 "/>
      <sheetName val="적ᡆ콞頀"/>
      <sheetName val="일위대가-02"/>
      <sheetName val="주상복합실비산출"/>
      <sheetName val="주상복합"/>
      <sheetName val="용수간선"/>
      <sheetName val="간嫨"/>
      <sheetName val="데이터"/>
      <sheetName val="각형맨홀"/>
      <sheetName val="원가분석"/>
      <sheetName val="수안보-MBR1"/>
      <sheetName val="단가(마감)"/>
      <sheetName val="1~9 하중계산"/>
      <sheetName val="factors"/>
      <sheetName val="FANDBS"/>
      <sheetName val="GRDATA"/>
      <sheetName val="SHAFTDBSE"/>
      <sheetName val="환율change"/>
      <sheetName val="4 LINE"/>
      <sheetName val="7 th"/>
      <sheetName val="투입실적"/>
      <sheetName val="Re-bar"/>
      <sheetName val="tuong"/>
      <sheetName val="중기사용료산출근거"/>
      <sheetName val="구미4단2.XLS"/>
      <sheetName val="%EA%B5%AC%EB%AF%B84%EB%8B%A82.X"/>
      <sheetName val="ahs"/>
      <sheetName val="metode"/>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Galaxy 소비자가격표"/>
      <sheetName val="만수배관단가"/>
      <sheetName val="FRP배관단가(만수)"/>
      <sheetName val="CONCRETE"/>
      <sheetName val="평3"/>
      <sheetName val="직공비"/>
      <sheetName val="변수2"/>
      <sheetName val="저항"/>
      <sheetName val="EJ"/>
      <sheetName val="침하계"/>
      <sheetName val="98태백"/>
      <sheetName val="사업부배부A"/>
      <sheetName val="tra-vat-lieu"/>
      <sheetName val="일위대가_1_"/>
      <sheetName val="_견적서1"/>
      <sheetName val="2_고용보험료산출근거1"/>
      <sheetName val="구미4단2_XLS"/>
      <sheetName val="%EA%B5%AC%EB%AF%B84%EB%8B%A82_X"/>
      <sheetName val="단가_및_재료비"/>
      <sheetName val="Const_Staff"/>
      <sheetName val="FREU_Engineering"/>
      <sheetName val="Startup_Staff"/>
      <sheetName val="Galaxy_소비자가격표"/>
      <sheetName val="FCU_(2)"/>
      <sheetName val="3련_BOX"/>
      <sheetName val="kimre_scrubber"/>
      <sheetName val="2-3_V_D일위"/>
      <sheetName val="예산_세부사항"/>
      <sheetName val="4_LINE"/>
      <sheetName val="7_th"/>
      <sheetName val="#1 PLANT"/>
      <sheetName val="MOB-MAN1"/>
      <sheetName val="당초"/>
      <sheetName val=" 냉각수펌프"/>
      <sheetName val="UU-TK-05"/>
      <sheetName val="_견적서2"/>
      <sheetName val="BSD_(2)2"/>
      <sheetName val="2_고용보험료산출근거2"/>
      <sheetName val="구미4단2_XLS1"/>
      <sheetName val="%EA%B5%AC%EB%AF%B84%EB%8B%A82_1"/>
      <sheetName val="FCU_(2)1"/>
      <sheetName val="kimre_scrubber1"/>
      <sheetName val="2-3_V_D일위1"/>
      <sheetName val="예산_세부사항1"/>
      <sheetName val="노원열병합__건축공사기성내역서1"/>
      <sheetName val="단가_및_재료비1"/>
      <sheetName val="soil_bearing_check1"/>
      <sheetName val="Const_Staff1"/>
      <sheetName val="FREU_Engineering1"/>
      <sheetName val="Startup_Staff1"/>
      <sheetName val="Galaxy_소비자가격표1"/>
      <sheetName val="3련_BOX1"/>
      <sheetName val="Budget_2004(DW)1"/>
      <sheetName val="VENDOR_LIST1"/>
      <sheetName val="4_LINE1"/>
      <sheetName val="7_th1"/>
      <sheetName val="#1_PLANT"/>
      <sheetName val="_냉각수펌프"/>
      <sheetName val="Tender_Summary"/>
      <sheetName val="포장직선구간"/>
      <sheetName val="EE-PROP"/>
      <sheetName val="VALVE"/>
      <sheetName val="소상 &quot;1&quot;"/>
      <sheetName val="MTL(AG)"/>
      <sheetName val="콘크리트타설입력"/>
      <sheetName val="레미콘입고현황"/>
      <sheetName val="단가일람"/>
      <sheetName val="조경일람"/>
      <sheetName val="95년간접비"/>
      <sheetName val="발생집계"/>
      <sheetName val="이자수익1"/>
      <sheetName val="낙찰표"/>
      <sheetName val="년도별실"/>
      <sheetName val="원가 (2)"/>
      <sheetName val="현장경비"/>
      <sheetName val="계정"/>
      <sheetName val="일용노임단가"/>
      <sheetName val="3F"/>
      <sheetName val="순공사비"/>
      <sheetName val="단가표 "/>
      <sheetName val="BQ"/>
      <sheetName val="유화"/>
      <sheetName val="견적집계"/>
      <sheetName val="e4-6-%"/>
      <sheetName val="Despacho (c.civil)"/>
      <sheetName val="저"/>
      <sheetName val="하중"/>
      <sheetName val="날개벽(TYPE3)"/>
      <sheetName val="back-data"/>
      <sheetName val="인월수표"/>
      <sheetName val="DIAPHRAGM"/>
      <sheetName val="1,2,3,4,5단위수량"/>
      <sheetName val="6월실적"/>
      <sheetName val="앉음벽 (2)"/>
      <sheetName val="공사내역(2003년)"/>
      <sheetName val="1,2공구원가계산서"/>
      <sheetName val="1공구산출내역서"/>
      <sheetName val="비목군단가비교표"/>
      <sheetName val="NYS"/>
      <sheetName val="가로수경계석수량산출서"/>
      <sheetName val="맹암거수량산출서(변경)"/>
      <sheetName val="총괄내역서"/>
      <sheetName val="견적서세부내용"/>
      <sheetName val="견적내용입력"/>
      <sheetName val="발신정보"/>
      <sheetName val="제수변수량"/>
      <sheetName val="공기변수량"/>
      <sheetName val="IMPEADENCE MAP 취수장"/>
      <sheetName val="우성교간선"/>
      <sheetName val="장비"/>
      <sheetName val="노무"/>
      <sheetName val="산근1"/>
      <sheetName val="환율"/>
      <sheetName val="표지 (2)"/>
      <sheetName val="MAT"/>
      <sheetName val="단위수량"/>
      <sheetName val="맨홀토공수량"/>
      <sheetName val="pipe"/>
      <sheetName val="DC-O-4-S(설명서)"/>
      <sheetName val="DC-O-4-1(예산서)"/>
      <sheetName val="방음벽 기초 일반수량"/>
      <sheetName val="산출인쇄"/>
      <sheetName val="가설공사내역"/>
      <sheetName val="BUS제원1"/>
      <sheetName val="자단"/>
      <sheetName val="11.자재단가"/>
      <sheetName val="주소(한문)"/>
      <sheetName val="수원공공사비"/>
      <sheetName val="Basic Input"/>
      <sheetName val="Notes "/>
      <sheetName val="Bank charge"/>
      <sheetName val="Notes_"/>
      <sheetName val="Bank_charge"/>
      <sheetName val="20관리비율"/>
      <sheetName val="물량"/>
      <sheetName val="외주비"/>
      <sheetName val="공통단가"/>
      <sheetName val="운반비"/>
      <sheetName val="2000양배"/>
      <sheetName val="설변물량"/>
      <sheetName val="동해title"/>
      <sheetName val="기계설비-물가변동"/>
      <sheetName val="원료분석"/>
      <sheetName val="본사 보고"/>
      <sheetName val="카렌스센터계량기설치공사"/>
      <sheetName val="o현장경비"/>
      <sheetName val="대전(세창동)"/>
      <sheetName val="과천MAIN"/>
      <sheetName val="내역(2000년)"/>
      <sheetName val="회사기본자료"/>
      <sheetName val="운반"/>
      <sheetName val="옥내아파트(전기)"/>
      <sheetName val="TCA"/>
      <sheetName val="도급견적가"/>
      <sheetName val="단가및재료비"/>
      <sheetName val="b_balju_cho"/>
      <sheetName val="전담운영PM"/>
      <sheetName val="증감대비"/>
      <sheetName val="부분별수량산출(조합기초)"/>
      <sheetName val="CR CODE"/>
      <sheetName val="부서CODE"/>
      <sheetName val="THEME CODE"/>
      <sheetName val="도봉2지구"/>
      <sheetName val="중기조종사 단위단가"/>
      <sheetName val="일반공사"/>
      <sheetName val="소일위대가코드표"/>
      <sheetName val="품셈표"/>
      <sheetName val="제품별단가"/>
      <sheetName val="제품별절단길이-0628"/>
      <sheetName val="동수"/>
      <sheetName val="부지현황"/>
      <sheetName val="파스콘"/>
      <sheetName val="견적의뢰"/>
      <sheetName val="목창호재견적"/>
      <sheetName val="바닥재"/>
      <sheetName val="도면CHECK"/>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지질조사"/>
      <sheetName val="역T형교대(말뚝기초)"/>
      <sheetName val="정공공사"/>
      <sheetName val="BOM-Form A.1.III"/>
      <sheetName val="결재갑지"/>
      <sheetName val="두정2차"/>
      <sheetName val="등록업체(031124)"/>
      <sheetName val="내역서(전기)"/>
      <sheetName val="시추주상도"/>
      <sheetName val="경비내역(을)-1"/>
      <sheetName val="누계12"/>
      <sheetName val="변압기 및 발전기 용량"/>
      <sheetName val="실행,원가 최종예상"/>
      <sheetName val="단가기준"/>
      <sheetName val="기본계획"/>
      <sheetName val="간지(전기공사)"/>
      <sheetName val="공사비명세서"/>
      <sheetName val="실행예산서"/>
      <sheetName val="남양주부대"/>
      <sheetName val="적용단가"/>
      <sheetName val="자동제어"/>
      <sheetName val="기초일위대가"/>
      <sheetName val="단가대비표"/>
      <sheetName val="시험비단가"/>
      <sheetName val="정산내역서"/>
      <sheetName val="제품표준규격"/>
      <sheetName val="사용자정의"/>
      <sheetName val="토목공종세부"/>
      <sheetName val="J형측구단위수량"/>
      <sheetName val="S1,3"/>
      <sheetName val="주소록"/>
      <sheetName val="출력은 금물"/>
      <sheetName val="토목내역서 (도급단가)"/>
      <sheetName val="7.자동제어공사"/>
      <sheetName val="1공구계약서"/>
      <sheetName val="우수공,맨홀,집수정"/>
      <sheetName val="JA8-4"/>
      <sheetName val="공사비총괄표"/>
      <sheetName val="설-원가"/>
      <sheetName val="갱문및옹벽집계"/>
      <sheetName val="3.내역서"/>
      <sheetName val="sand토적"/>
      <sheetName val="수토공단위당"/>
      <sheetName val="주소"/>
      <sheetName val="b_balju-단가단가단가"/>
      <sheetName val="시설물일위"/>
      <sheetName val="DATA 입력부"/>
      <sheetName val="구조물검사요청서"/>
      <sheetName val="관리대장"/>
      <sheetName val="물량내역"/>
      <sheetName val="한일양산"/>
      <sheetName val="열린교실"/>
      <sheetName val="감시단가"/>
      <sheetName val="단위목록"/>
      <sheetName val="기계경비목록"/>
      <sheetName val="경영상태"/>
      <sheetName val="백암비스타내역"/>
      <sheetName val="방호시설검토"/>
      <sheetName val="BCK3672"/>
      <sheetName val="토공촕괄"/>
      <sheetName val="한수원"/>
      <sheetName val="단가(1)"/>
      <sheetName val="인건비단가"/>
      <sheetName val="도기류"/>
      <sheetName val="입력폼"/>
      <sheetName val="관리,공감"/>
      <sheetName val="토공수량"/>
      <sheetName val="SULKEA"/>
      <sheetName val="삼보지질"/>
      <sheetName val="배수설비"/>
      <sheetName val="사업수지"/>
      <sheetName val="XREF"/>
      <sheetName val="분전반"/>
      <sheetName val="상무2지구(공사) (8)"/>
      <sheetName val="삭제금지단가"/>
      <sheetName val="공사원가계산서"/>
      <sheetName val="4.주beam"/>
      <sheetName val="보안등"/>
      <sheetName val="b_balju"/>
      <sheetName val="4.2.1 마루높이 검토"/>
      <sheetName val="TOTAL3"/>
      <sheetName val="제2호단위수량"/>
      <sheetName val="예산내역"/>
      <sheetName val="총괄수지표"/>
      <sheetName val="RE9604"/>
      <sheetName val="SCHEDULE"/>
      <sheetName val="전동기"/>
      <sheetName val="자  재"/>
      <sheetName val="건축외주"/>
      <sheetName val="내역5"/>
      <sheetName val="잡비"/>
      <sheetName val="기계경비일람"/>
      <sheetName val="재료집계표"/>
      <sheetName val="전시관"/>
      <sheetName val="조직공사중"/>
      <sheetName val="참조M"/>
      <sheetName val="단면제원"/>
      <sheetName val="잡비계산"/>
      <sheetName val="현장관리"/>
      <sheetName val="강당집계표-하임"/>
      <sheetName val="매설지선굴착"/>
      <sheetName val="내역서적용수량"/>
      <sheetName val="도급내역"/>
      <sheetName val="단위수량산출"/>
      <sheetName val="1000 DB구축 부표"/>
      <sheetName val="공종별"/>
      <sheetName val="기흥하도용"/>
      <sheetName val="4.자재비(총괄)"/>
      <sheetName val="문학간접"/>
      <sheetName val="기성2"/>
      <sheetName val="견"/>
      <sheetName val="입찰보고"/>
      <sheetName val="777"/>
      <sheetName val="예정(3)"/>
      <sheetName val="동원(3)"/>
      <sheetName val="설계흐름도"/>
      <sheetName val="도장수량(하1)"/>
      <sheetName val="주형"/>
      <sheetName val="Sheet17"/>
      <sheetName val="명세서"/>
      <sheetName val="base"/>
      <sheetName val="구천"/>
      <sheetName val="사원등록"/>
      <sheetName val="호봉 (2)"/>
      <sheetName val="도로단위당"/>
      <sheetName val="주공기준"/>
      <sheetName val="토량1-1"/>
      <sheetName val="소총괄표1"/>
      <sheetName val="토공집계"/>
      <sheetName val="준공조서갑지"/>
      <sheetName val="Pengalaman Per"/>
      <sheetName val="기둥(하중)"/>
      <sheetName val="서울대규장각(가시설흙막이)"/>
      <sheetName val="1.설계설명서"/>
      <sheetName val="도급정산"/>
      <sheetName val="ins"/>
      <sheetName val="F-Assump"/>
      <sheetName val="산출근거1"/>
      <sheetName val="2.단면가정"/>
      <sheetName val="4.말뚝설계"/>
      <sheetName val="중간부"/>
      <sheetName val="CLAUSE"/>
      <sheetName val="표  지"/>
      <sheetName val="날개벽(시점좌측)"/>
      <sheetName val="중동공구"/>
      <sheetName val="NEYOK"/>
      <sheetName val="국내총괄"/>
      <sheetName val="기계내역서"/>
      <sheetName val="라멘수량"/>
      <sheetName val="견적3"/>
      <sheetName val="매크로"/>
      <sheetName val="취수탑"/>
      <sheetName val="전 기"/>
      <sheetName val="견적시담(송포2공구)"/>
      <sheetName val="FIRE FIGHTING"/>
      <sheetName val="Load Total"/>
      <sheetName val="접속슬래브"/>
      <sheetName val="원형맨홀수량"/>
      <sheetName val="화전내"/>
      <sheetName val="사통"/>
      <sheetName val="옹벽1"/>
      <sheetName val="CRUDE RE-bar"/>
      <sheetName val="6.일위대가"/>
      <sheetName val="시행후면적"/>
      <sheetName val="inter"/>
      <sheetName val="EQUIP-H"/>
      <sheetName val="토공총괄표"/>
      <sheetName val="부하계산서"/>
      <sheetName val="현황산출서"/>
      <sheetName val="예산대비표(현장작성)"/>
      <sheetName val="개소별수량산출"/>
      <sheetName val="static.cal"/>
      <sheetName val="Sheet9"/>
      <sheetName val="약품공급2"/>
      <sheetName val="가시설(TYPE-A)"/>
      <sheetName val="1호맨홀가감수량"/>
      <sheetName val="1-1평균터파기고(1)"/>
      <sheetName val="1호맨홀수량산출"/>
      <sheetName val="SKETCH"/>
      <sheetName val="SLAB"/>
      <sheetName val="공조기휀"/>
      <sheetName val="AHU집계"/>
      <sheetName val="견적총괄표"/>
      <sheetName val="우수"/>
      <sheetName val="성남여성복지내역"/>
      <sheetName val="정산입력"/>
      <sheetName val="기별수량산출서"/>
      <sheetName val="설계서(7)"/>
      <sheetName val="기종별"/>
      <sheetName val="외형규모"/>
      <sheetName val="과거실적"/>
      <sheetName val="보고계획"/>
      <sheetName val="보고실적"/>
      <sheetName val="손익"/>
      <sheetName val="Sheet7"/>
      <sheetName val="Sheet8"/>
      <sheetName val="Sheet10"/>
      <sheetName val="Sheet11"/>
      <sheetName val="Sheet12"/>
      <sheetName val="Sheet16"/>
      <sheetName val="SILICATE"/>
      <sheetName val="cost9702"/>
      <sheetName val="시행예산"/>
      <sheetName val="조도"/>
      <sheetName val="빙설"/>
      <sheetName val="대부예산서"/>
      <sheetName val="MORTAR생산및타설(1;3)"/>
      <sheetName val="내역서을지"/>
      <sheetName val="방배동내역(리라)"/>
      <sheetName val="부대공사총괄"/>
      <sheetName val="건축공사집계표"/>
      <sheetName val="방배동내역 (총괄)"/>
      <sheetName val="HW GROUP-수정"/>
      <sheetName val="역T형교대-2수량"/>
      <sheetName val="설직재-1"/>
      <sheetName val="제-노임"/>
      <sheetName val="자탐수량산출서"/>
      <sheetName val="설계내역(2001)"/>
      <sheetName val="내역서(기성청구)"/>
      <sheetName val="3.현장배치"/>
      <sheetName val="현장배치"/>
      <sheetName val="산근목록"/>
      <sheetName val=" 자재물류센터 증축공사 중 철근콘크리트 공사.xlsx"/>
      <sheetName val="단가일람표"/>
      <sheetName val="인원계획-미화"/>
      <sheetName val="공용정보"/>
      <sheetName val="목표"/>
      <sheetName val="영업-1"/>
      <sheetName val="LEGEND"/>
      <sheetName val="수입"/>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장외반출및폐기물 "/>
      <sheetName val="PROCESS"/>
      <sheetName val="CON포장수량"/>
      <sheetName val="ACUNIT"/>
      <sheetName val="CONUNIT"/>
      <sheetName val="집수정수량총집계"/>
      <sheetName val="_산근2_"/>
      <sheetName val="_산근4_"/>
      <sheetName val="_산근5_"/>
      <sheetName val="양수장(기계)"/>
      <sheetName val="금액"/>
      <sheetName val="CIVIL"/>
      <sheetName val="8. 내진해석"/>
      <sheetName val="★도급내역"/>
      <sheetName val="현장별"/>
      <sheetName val="주beam"/>
      <sheetName val="NEWDRAW"/>
      <sheetName val="00000"/>
      <sheetName val="사급자재"/>
      <sheetName val="현장관리비 산출내역"/>
      <sheetName val="인수공규격"/>
      <sheetName val="POL6차-PIPING"/>
      <sheetName val="생산매출 (4)"/>
      <sheetName val="공종별_집계"/>
      <sheetName val="Ext__Stone-P"/>
      <sheetName val="건축공사_집계표"/>
      <sheetName val="2_하자처리현황(CS)"/>
      <sheetName val="총_원가계산"/>
      <sheetName val="찍기"/>
      <sheetName val="SANBAISU"/>
      <sheetName val="수지예산"/>
      <sheetName val="FD"/>
      <sheetName val="LD"/>
      <sheetName val="감가상각"/>
      <sheetName val="반중력식옹벽3.5"/>
      <sheetName val="인원현황"/>
      <sheetName val="PRO_A"/>
      <sheetName val="PRO"/>
      <sheetName val="잡재료비"/>
      <sheetName val="수량집계표"/>
      <sheetName val="사급분 설계내역서"/>
      <sheetName val="단관비계수량"/>
      <sheetName val="수로BOX(시점부)"/>
      <sheetName val="견적대비"/>
      <sheetName val="gvl"/>
      <sheetName val="BOX규격및 설계조건입력"/>
      <sheetName val="품셈"/>
      <sheetName val="부서별(배부후)_계획"/>
      <sheetName val="Setting"/>
      <sheetName val="물량내역서"/>
      <sheetName val="DS-최종"/>
      <sheetName val="ENE-CAL 1"/>
      <sheetName val="단면 Ȩ_x0000_栀"/>
      <sheetName val="하도급기성_(2)2"/>
      <sheetName val="하도급단가산출_(2)2"/>
      <sheetName val="입출재고현황_(2)2"/>
      <sheetName val="설_계2"/>
      <sheetName val="design_criteria2"/>
      <sheetName val="working_load_at_the_btm_ft_2"/>
      <sheetName val="plan&amp;section_of_foundation2"/>
      <sheetName val="member_design2"/>
      <sheetName val="6PILE__(돌출)1"/>
      <sheetName val="I_설계조건1"/>
      <sheetName val="대대터널_설계서1"/>
      <sheetName val="PROJECT_BRIEF(EX_NEW)1"/>
      <sheetName val="접속_SLAB,BRACKET_설계1"/>
      <sheetName val="수량산출서_갑지"/>
      <sheetName val="단면_(2)1"/>
      <sheetName val="견적가_검토1"/>
      <sheetName val="crude_SLAB_RE-bar1"/>
      <sheetName val="3BL공동구_수량"/>
      <sheetName val="설산1_나"/>
      <sheetName val="3_하중산정4_지지력"/>
      <sheetName val="배수공_시멘트_및_골재량_산출"/>
      <sheetName val="2F_회의실견적(5_14_일대)"/>
      <sheetName val="조도계산서_(도서)"/>
      <sheetName val="#34_CIVL_Original"/>
      <sheetName val="수량_산출서(당초)"/>
      <sheetName val="페이징_배관배선"/>
      <sheetName val="2000년_임금추정"/>
      <sheetName val="1_설계설명서"/>
      <sheetName val="REINF_"/>
      <sheetName val="토_적_표"/>
      <sheetName val="1_관로"/>
      <sheetName val="토공(우물통,기타)_"/>
      <sheetName val="교통시설_표지판"/>
      <sheetName val="전_기"/>
      <sheetName val="2003_4_1_"/>
      <sheetName val="Basic_Input"/>
      <sheetName val="Notes_1"/>
      <sheetName val="Bank_charge1"/>
      <sheetName val="2_단면가정"/>
      <sheetName val="4_말뚝설계"/>
      <sheetName val="11_자재단가"/>
      <sheetName val="표__지"/>
      <sheetName val="장외반출및폐기물_"/>
      <sheetName val="배수내역_(2)"/>
      <sheetName val="unit_4"/>
      <sheetName val="CRUDE_RE-bar"/>
      <sheetName val="단면_Ȩ栀"/>
      <sheetName val="하怅⇡"/>
      <sheetName val="DATE2001"/>
      <sheetName val="가설공사"/>
      <sheetName val="평택고렴산업단지(토목견적).xlsx"/>
      <sheetName val="사방수량"/>
      <sheetName val="내역서변경성원"/>
      <sheetName val="신기1-LINE별연장"/>
      <sheetName val="골재산출"/>
      <sheetName val="COVER-P"/>
      <sheetName val="총내역서"/>
      <sheetName val="Co-ef"/>
      <sheetName val="단가조건(02년)"/>
      <sheetName val="공사비내역서"/>
      <sheetName val="빙축열"/>
      <sheetName val="종현황"/>
      <sheetName val="unit cost Bauteil 1"/>
      <sheetName val="unit cost Bauteil 2"/>
      <sheetName val="unit cost Bauteil 3"/>
      <sheetName val="unit cost Bauteil 4"/>
      <sheetName val="unit cost Bauteil 5"/>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Div26_-_Elect"/>
      <sheetName val="StructEarth_3"/>
      <sheetName val="valeurs_de_base"/>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BEND_LOSS"/>
      <sheetName val="soil_bearing_check2"/>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BEND_LOSS1"/>
      <sheetName val="tabulation (comparison)"/>
      <sheetName val="GFA 1"/>
      <sheetName val="tonghop"/>
      <sheetName val="DATA2"/>
      <sheetName val="member_design3"/>
      <sheetName val="design_criteria3"/>
      <sheetName val="working_load_at_the_btm_ft_3"/>
      <sheetName val="plan&amp;section_of_foundation3"/>
      <sheetName val="soil_bearing_check3"/>
      <sheetName val="3_공통공사대비3"/>
      <sheetName val="준검_내역서3"/>
      <sheetName val="인건비_3"/>
      <sheetName val="G_R300경비3"/>
      <sheetName val="하도급기성_(2)3"/>
      <sheetName val="하도급단가산출_(2)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ESTI."/>
      <sheetName val="DI-ESTI"/>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G"/>
      <sheetName val="DTICH"/>
      <sheetName val="DATA.KC"/>
      <sheetName val="外気負荷"/>
      <sheetName val="CTG"/>
      <sheetName val="Prelims"/>
      <sheetName val="04 - XUONG DET B"/>
      <sheetName val="CTGX"/>
      <sheetName val="CTG-1"/>
      <sheetName val="DATA.H"/>
      <sheetName val="149-2"/>
      <sheetName val="General2"/>
      <sheetName val="Slab Post-Tension "/>
      <sheetName val="Areas"/>
      <sheetName val="Foreigner"/>
      <sheetName val="Gia"/>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NEW-PANEL"/>
      <sheetName val="新规"/>
      <sheetName val="NET ALL (M)"/>
      <sheetName val="ctTBA"/>
      <sheetName val="入力作成表"/>
      <sheetName val="Analisa Upah &amp; Bahan Plum"/>
      <sheetName val="HRG BHN"/>
      <sheetName val="Chenh lech vat tu"/>
      <sheetName val="THKL"/>
      <sheetName val="材料单价表"/>
      <sheetName val="D&amp;W"/>
      <sheetName val="FS"/>
      <sheetName val="경상비"/>
      <sheetName val="Analisa_Upah_&amp;_Bahan_Plum"/>
      <sheetName val="HRG_BHN"/>
      <sheetName val="Chenh_lech_vat_tu"/>
      <sheetName val="Sum"/>
      <sheetName val="Gia_GC_Satthep"/>
      <sheetName val="MAIN GATE HOUSE"/>
      <sheetName val="Doi so"/>
      <sheetName val="gia vt,nc,may"/>
      <sheetName val="MATL"/>
      <sheetName val="CF -Update 31Jul06"/>
      <sheetName val="Elektrikal"/>
      <sheetName val="rekap.c"/>
      <sheetName val="Config"/>
      <sheetName val="B15"/>
      <sheetName val="B16"/>
      <sheetName val="B17"/>
      <sheetName val="B4-D3"/>
      <sheetName val="B8"/>
      <sheetName val="BAOCHE A"/>
      <sheetName val="Bill 2.2 Villa 2 beds"/>
      <sheetName val="Daf 1"/>
      <sheetName val="업무계획1"/>
      <sheetName val="교수설계"/>
      <sheetName val="원내역"/>
      <sheetName val="3_x0000__x0000__x0005_"/>
      <sheetName val="수금-자금수지"/>
      <sheetName val="7.PILE  (돌출)"/>
      <sheetName val="pile bearing capa &amp; arrenge"/>
      <sheetName val="design load"/>
      <sheetName val="stability check"/>
      <sheetName val="횡배수관"/>
      <sheetName val="자재목록"/>
      <sheetName val="금_x0000__x0000__x0005_"/>
      <sheetName val="STAND20"/>
      <sheetName val="교차구"/>
      <sheetName val="원본(갑지)"/>
      <sheetName val="본실행경비"/>
      <sheetName val="ITB__x0000__x0000_Ԁ_x0000_"/>
      <sheetName val="공정율"/>
      <sheetName val="12호기내역서(건축분)"/>
      <sheetName val="Costmaster"/>
      <sheetName val="구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sheetData sheetId="1209"/>
      <sheetData sheetId="1210" refreshError="1"/>
      <sheetData sheetId="1211" refreshError="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refreshError="1"/>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refreshError="1"/>
      <sheetData sheetId="1874" refreshError="1"/>
      <sheetData sheetId="1875" refreshError="1"/>
      <sheetData sheetId="1876" refreshError="1"/>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sheetData sheetId="2011"/>
      <sheetData sheetId="2012"/>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예산서"/>
    </sheetNames>
    <sheetDataSet>
      <sheetData sheetId="0" refreshError="1"/>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갑"/>
      <sheetName val="실행을"/>
      <sheetName val="FACTOR"/>
      <sheetName val="갑"/>
      <sheetName val="을"/>
      <sheetName val="계약내역"/>
      <sheetName val="실행계산"/>
      <sheetName val="목차"/>
      <sheetName val="SCHEDULE"/>
      <sheetName val="기구조직표"/>
      <sheetName val="기구조직표 (2)"/>
      <sheetName val="Sheet1"/>
      <sheetName val="work scope"/>
      <sheetName val="신우"/>
      <sheetName val="할증"/>
    </sheetNames>
    <sheetDataSet>
      <sheetData sheetId="0"/>
      <sheetData sheetId="1"/>
      <sheetData sheetId="2">
        <row r="13">
          <cell r="F13">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change"/>
      <sheetName val="Sheet1"/>
      <sheetName val="SUMM (2)"/>
      <sheetName val="내역 (2)"/>
      <sheetName val="경상비 적용"/>
      <sheetName val="실행내역서"/>
      <sheetName val="장비비근거"/>
      <sheetName val="경상비 산출기준-영국"/>
      <sheetName val="견적갑지"/>
      <sheetName val="SUMM"/>
      <sheetName val="EQUIPMENT COST"/>
      <sheetName val="FACTOR"/>
    </sheetNames>
    <sheetDataSet>
      <sheetData sheetId="0" refreshError="1">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총괄내역서"/>
      <sheetName val="일위대가"/>
      <sheetName val="단가"/>
      <sheetName val="집계표"/>
      <sheetName val="관급"/>
      <sheetName val="자재단가"/>
      <sheetName val="내역"/>
      <sheetName val=" 갑지"/>
      <sheetName val="차액보증"/>
      <sheetName val="원하대비"/>
      <sheetName val="원도급"/>
      <sheetName val="하도급"/>
      <sheetName val="산출내역서집계표"/>
      <sheetName val="DATE"/>
      <sheetName val="원가서"/>
      <sheetName val="DANGA"/>
      <sheetName val="입찰안"/>
      <sheetName val="1단계"/>
      <sheetName val="산근"/>
      <sheetName val="원본(갑지)"/>
      <sheetName val="일위대가표"/>
      <sheetName val="여과지동"/>
      <sheetName val="기초자료"/>
      <sheetName val="갑지(추정)"/>
      <sheetName val="DHEQSUPT"/>
      <sheetName val="원남울진낙찰내역(99.4.13 부산청)"/>
      <sheetName val="WORK"/>
      <sheetName val="전기공사"/>
      <sheetName val="공사"/>
      <sheetName val="SOS_PLC &amp; Panel"/>
      <sheetName val="기본단가표"/>
      <sheetName val="wall"/>
      <sheetName val="A01"/>
      <sheetName val="A11"/>
      <sheetName val="A16"/>
      <sheetName val="A02"/>
      <sheetName val="A03"/>
      <sheetName val="A04"/>
      <sheetName val="A05"/>
      <sheetName val="A06"/>
      <sheetName val="A07"/>
      <sheetName val="A08a"/>
      <sheetName val="A08b"/>
      <sheetName val="#REF"/>
      <sheetName val="공통(20-91)"/>
      <sheetName val="터파기및재료"/>
      <sheetName val="N賃率-職"/>
      <sheetName val="내역서"/>
      <sheetName val="대림경상68억"/>
      <sheetName val="조명시설"/>
      <sheetName val="날개벽수량표"/>
      <sheetName val="CAUDIT"/>
      <sheetName val="세부추진"/>
      <sheetName val="상용보강"/>
      <sheetName val="골조시행"/>
      <sheetName val="단가표"/>
      <sheetName val="Sheet9"/>
      <sheetName val="단위중량표"/>
      <sheetName val="내역서변경성원"/>
      <sheetName val="위치조서"/>
      <sheetName val="Total"/>
      <sheetName val="_갑지"/>
      <sheetName val="일위대가(1)"/>
      <sheetName val="현장별"/>
      <sheetName val="Sheet1"/>
      <sheetName val="Sheet3"/>
      <sheetName val="금융비용"/>
      <sheetName val="수량산출"/>
      <sheetName val="시화점실행"/>
      <sheetName val="견적정보"/>
      <sheetName val="손익차9월2"/>
      <sheetName val="마산월령동골조물량변경"/>
      <sheetName val="품셈TABLE"/>
      <sheetName val="공통가설"/>
      <sheetName val="환율change"/>
      <sheetName val="옥외외등집계표"/>
      <sheetName val="신고조서"/>
      <sheetName val="참조자료"/>
      <sheetName val="공사비집계"/>
      <sheetName val="위치"/>
      <sheetName val="개요"/>
      <sheetName val="sh1"/>
      <sheetName val="공사비증감"/>
      <sheetName val="프랜트면허"/>
      <sheetName val="토목주소"/>
      <sheetName val="부대공Ⅱ"/>
      <sheetName val="Sheet4"/>
      <sheetName val="선급금신청서"/>
      <sheetName val="98지급계획"/>
      <sheetName val="경비"/>
      <sheetName val="도급"/>
      <sheetName val="손익분석"/>
      <sheetName val="갑지"/>
      <sheetName val="원가"/>
      <sheetName val="data"/>
      <sheetName val="제경비"/>
      <sheetName val="총괄표"/>
      <sheetName val="노임단가"/>
      <sheetName val="장비단가"/>
      <sheetName val="I一般比"/>
      <sheetName val="Sheet6"/>
      <sheetName val="S0"/>
      <sheetName val="신천3호용수로"/>
      <sheetName val="포장(수량)-관로부"/>
      <sheetName val="준검 내역서"/>
      <sheetName val="부하계산서"/>
      <sheetName val="6호기"/>
      <sheetName val="지급자재"/>
      <sheetName val="9GNG운반"/>
      <sheetName val="부문손익"/>
      <sheetName val="HERO01"/>
      <sheetName val="단면치수"/>
      <sheetName val="ABUT수량-A1"/>
      <sheetName val="퍼스트"/>
      <sheetName val="설계내역서"/>
      <sheetName val="문학간접"/>
      <sheetName val="RE9604"/>
      <sheetName val="4.전기"/>
      <sheetName val="5.동별횡주관경"/>
      <sheetName val="기안"/>
      <sheetName val="노무비"/>
      <sheetName val="APT"/>
      <sheetName val="내역서2안"/>
      <sheetName val="소비자가"/>
      <sheetName val="추가예산"/>
      <sheetName val="단중표"/>
      <sheetName val="시운전연료비"/>
      <sheetName val="원가 (2)"/>
      <sheetName val="Y-WORK"/>
      <sheetName val="C10집계2"/>
      <sheetName val="실행(ALT1)"/>
      <sheetName val="예총"/>
      <sheetName val="정보"/>
      <sheetName val="공사개요"/>
      <sheetName val="실행(표지,갑,을)"/>
      <sheetName val="4 LINE"/>
      <sheetName val="7 th"/>
      <sheetName val="견적을지"/>
      <sheetName val="잡철물"/>
      <sheetName val="Customer Databas"/>
      <sheetName val="내역(전체)"/>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표지"/>
      <sheetName val="노임"/>
      <sheetName val="원남울진낙찰내역(99_4_13_부산청)"/>
      <sheetName val="준검_내역서"/>
      <sheetName val="SOS_PLC_&amp;_Panel"/>
      <sheetName val="인건비"/>
      <sheetName val="제4절-1"/>
      <sheetName val="목차"/>
      <sheetName val="월별수입"/>
      <sheetName val="2.건축"/>
      <sheetName val="A-4"/>
      <sheetName val="3F"/>
      <sheetName val="낙찰표"/>
      <sheetName val="비교표"/>
      <sheetName val="교각1"/>
      <sheetName val="배수공"/>
      <sheetName val="코드표"/>
      <sheetName val="99년원가"/>
      <sheetName val="견적조건"/>
      <sheetName val="증감대비"/>
      <sheetName val="우수"/>
      <sheetName val="8.석축단위(H=1.5M)"/>
      <sheetName val="영업소실적"/>
      <sheetName val="5_BANG I"/>
      <sheetName val="Re-bar"/>
      <sheetName val="수안보-MBR1"/>
      <sheetName val="데리네이타현황"/>
      <sheetName val="bid"/>
      <sheetName val="수주현황2월"/>
      <sheetName val="#REF!"/>
      <sheetName val="물가시세"/>
      <sheetName val="전기단가조사서"/>
      <sheetName val="Sheet2"/>
      <sheetName val="일반공사"/>
      <sheetName val="기초작업"/>
      <sheetName val="설비"/>
      <sheetName val="산출근거"/>
      <sheetName val="변경품셈총괄"/>
      <sheetName val="인력터파기품"/>
      <sheetName val="터널조도"/>
      <sheetName val="하수급견적대비"/>
      <sheetName val="플랜트 설치"/>
      <sheetName val="전체"/>
      <sheetName val="POOM_MOTO"/>
      <sheetName val="POOM_MOTO2"/>
      <sheetName val="마산방향"/>
      <sheetName val="진주방향"/>
      <sheetName val="소상 &quot;1&quot;"/>
      <sheetName val="건축집계"/>
      <sheetName val="Table"/>
      <sheetName val="정부노임단가"/>
      <sheetName val="JUCK"/>
      <sheetName val="장비명"/>
      <sheetName val="와동25-3(변경)"/>
      <sheetName val="밸브설치"/>
      <sheetName val="약품공급2"/>
      <sheetName val="6PILE  (돌출)"/>
      <sheetName val="우각부보강"/>
      <sheetName val="우배수"/>
      <sheetName val="계산식"/>
      <sheetName val="설명"/>
      <sheetName val="일위대가(가설)"/>
      <sheetName val="단가산출"/>
      <sheetName val="간접"/>
      <sheetName val="현황산출서"/>
      <sheetName val="구의33고"/>
      <sheetName val="s"/>
      <sheetName val="인사자료총집계"/>
      <sheetName val="공비대비"/>
      <sheetName val="날개벽"/>
      <sheetName val="PAINT"/>
      <sheetName val="01"/>
      <sheetName val="cable-data"/>
      <sheetName val="BACK DATA"/>
      <sheetName val="현장관리비 산출내역"/>
      <sheetName val="c_balju"/>
      <sheetName val="외천교"/>
      <sheetName val="금액내역서"/>
      <sheetName val="기성(1차) "/>
      <sheetName val="실행내역"/>
      <sheetName val="기초계산(Pmax)"/>
      <sheetName val="Module1"/>
      <sheetName val="Stem Footing"/>
      <sheetName val="Piping Design Data"/>
      <sheetName val="2000년1차"/>
      <sheetName val="코딩 (2)"/>
      <sheetName val="자금청구"/>
      <sheetName val="콘크리트타설집계표"/>
      <sheetName val="RFP002"/>
      <sheetName val="Input"/>
      <sheetName val="CAL"/>
      <sheetName val="Quantity"/>
      <sheetName val="입찰품의서"/>
      <sheetName val="9-1차이내역"/>
      <sheetName val="IBASE"/>
      <sheetName val="DTCT"/>
      <sheetName val="원남울진낙찰내역(99.4.13%20부산청).xls"/>
      <sheetName val="%EC%9B%90%EB%82%A8%EC%9A%B8%EC%"/>
      <sheetName val="PROJECT BRIEF"/>
      <sheetName val="단"/>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관경별우수관집계"/>
      <sheetName val="차수"/>
      <sheetName val="대치판정"/>
      <sheetName val="예산조서"/>
      <sheetName val="FAB별"/>
      <sheetName val="orignal"/>
      <sheetName val="SUMMARY"/>
      <sheetName val="연부97-1"/>
      <sheetName val="직재"/>
      <sheetName val="재집"/>
      <sheetName val="매입세"/>
      <sheetName val="98수문일위"/>
      <sheetName val="Macro2"/>
      <sheetName val="TB(BS)"/>
      <sheetName val="TB(PL)"/>
      <sheetName val="EQT-ESTN"/>
      <sheetName val="구조물철거타공정이월"/>
      <sheetName val="신대방33(적용)"/>
      <sheetName val="실행"/>
      <sheetName val="돈암사업"/>
      <sheetName val="울산자동제어"/>
      <sheetName val="교통대책내역"/>
      <sheetName val="입력"/>
      <sheetName val="자료입력"/>
      <sheetName val="화설내"/>
      <sheetName val="토목내역"/>
      <sheetName val="아파트-가설"/>
      <sheetName val="소방사항"/>
      <sheetName val="비교1"/>
      <sheetName val="내역서 (2)"/>
      <sheetName val="45,46"/>
      <sheetName val="3월"/>
      <sheetName val="형강단중집계"/>
      <sheetName val="DC-O-4-S(설명서)"/>
      <sheetName val="단가일람"/>
      <sheetName val="조경일람"/>
      <sheetName val="화재 탐지 설비"/>
      <sheetName val="산출내역서"/>
      <sheetName val="견적내역"/>
      <sheetName val="건축공사실행"/>
      <sheetName val="건축원가"/>
      <sheetName val="집 계 표"/>
      <sheetName val="정렬"/>
      <sheetName val="목록"/>
      <sheetName val="개산공사비"/>
      <sheetName val="기계경비(시간당)"/>
      <sheetName val="본사인상전"/>
      <sheetName val="전 기"/>
      <sheetName val="옥외배관기본공량"/>
      <sheetName val="실_x0000_짠"/>
      <sheetName val="본문"/>
      <sheetName val="부대내역"/>
      <sheetName val="BOL"/>
      <sheetName val="충주"/>
      <sheetName val="전기"/>
      <sheetName val="ESTI."/>
      <sheetName val="DI-ESTI"/>
      <sheetName val="증감내역서"/>
      <sheetName val="토목"/>
      <sheetName val="125x125"/>
      <sheetName val="HARSAT"/>
      <sheetName val="Hrg.Sat"/>
      <sheetName val="8_석축단위(H=1_5M)"/>
      <sheetName val="5_BANG_I"/>
      <sheetName val="플랜트_설치"/>
      <sheetName val="기성(1차)_"/>
      <sheetName val="소상_&quot;1&quot;"/>
      <sheetName val="6PILE__(돌출)"/>
      <sheetName val="BACK_DATA"/>
      <sheetName val="현장관리비_산출내역"/>
      <sheetName val="2_건축"/>
      <sheetName val="Sheet5"/>
      <sheetName val="변경증감내역서"/>
      <sheetName val="투자예산"/>
      <sheetName val="예산"/>
      <sheetName val="SG"/>
      <sheetName val="울산자금"/>
      <sheetName val="실행예산"/>
      <sheetName val="Macro(전동기)"/>
      <sheetName val="철근량"/>
      <sheetName val="배수공 주요자재 집계표"/>
      <sheetName val="기초코드"/>
      <sheetName val="철근집계표"/>
      <sheetName val="설계명세서"/>
      <sheetName val="예산명세서"/>
      <sheetName val="경비2내역"/>
      <sheetName val="금호"/>
      <sheetName val="제잡비"/>
      <sheetName val="공정별계획(생산,발송)"/>
      <sheetName val="영동(D)"/>
      <sheetName val="CONCRETE"/>
      <sheetName val="단중"/>
      <sheetName val="kimre scrubber"/>
      <sheetName val="부하(성남)"/>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전기실-1"/>
      <sheetName val="MATRLDATA"/>
      <sheetName val="전체공내역서"/>
      <sheetName val="기초단가"/>
      <sheetName val="BASE DATA1"/>
      <sheetName val="안양동교 1안"/>
      <sheetName val="평당자료"/>
      <sheetName val="00상노임"/>
      <sheetName val="기계경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STORAGE"/>
      <sheetName val="설계"/>
      <sheetName val="CTEMCOST"/>
      <sheetName val="노원열병합  건축공사기성내역서"/>
      <sheetName val="시설일위"/>
      <sheetName val="기초일위"/>
      <sheetName val="조명일위"/>
      <sheetName val="동해title"/>
      <sheetName val="Pjny"/>
      <sheetName val="매입세율"/>
      <sheetName val="학생내역"/>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2.대외공문"/>
      <sheetName val="기계내역"/>
      <sheetName val="포천송우교회_CheckList"/>
      <sheetName val="MOKDONG(1)"/>
      <sheetName val="일위목록"/>
      <sheetName val="수정금지"/>
      <sheetName val="B.O.M"/>
      <sheetName val="신공항A-9(원가수정)"/>
      <sheetName val="하조서"/>
      <sheetName val="소야공정계획표"/>
      <sheetName val="토공사"/>
      <sheetName val="전라자금"/>
      <sheetName val="예산입력(전)"/>
      <sheetName val="단가 (2)"/>
      <sheetName val="유림골조"/>
      <sheetName val="입고장부 (4)"/>
      <sheetName val="수리결과"/>
      <sheetName val="파이프류"/>
      <sheetName val="용량(1-2)"/>
      <sheetName val="배수내역 (2)"/>
      <sheetName val="NOMUBI"/>
      <sheetName val="sw1"/>
      <sheetName val="DATA LISTS"/>
      <sheetName val="대"/>
      <sheetName val="MOTOR"/>
      <sheetName val="DATA1"/>
      <sheetName val="계정"/>
      <sheetName val="일반부표"/>
      <sheetName val="시멘트"/>
      <sheetName val="내역표지"/>
      <sheetName val="식재인부"/>
      <sheetName val="설계가"/>
      <sheetName val="T형( 파일기초) 공현1교"/>
      <sheetName val="덕전리"/>
      <sheetName val="(A)내역서"/>
      <sheetName val="총괄-1"/>
      <sheetName val="조건"/>
      <sheetName val="대공종"/>
      <sheetName val="기둥(원형)"/>
      <sheetName val="옹벽수량집계표"/>
      <sheetName val="물량표"/>
      <sheetName val="중기사용료"/>
      <sheetName val="P-산#1-1(WOWA1)"/>
      <sheetName val="Factor"/>
      <sheetName val="costing_CV"/>
      <sheetName val="HRSG SMALL07220"/>
      <sheetName val="X17-TOTAL"/>
      <sheetName val="쌍송교"/>
      <sheetName val="배수내역"/>
      <sheetName val="실행대비"/>
      <sheetName val="cost"/>
      <sheetName val="001"/>
      <sheetName val="원형1호맨홀토공수량"/>
      <sheetName val="간접비"/>
      <sheetName val="Sheet22"/>
      <sheetName val="Graph (LGEN)"/>
      <sheetName val="out_prog"/>
      <sheetName val="선적schedule (2)"/>
      <sheetName val="GAEYO"/>
      <sheetName val="DESIGN CRETERIA"/>
      <sheetName val="인부신상자료"/>
      <sheetName val="기기리스트"/>
      <sheetName val="다이꾸"/>
      <sheetName val="부하LOAD"/>
      <sheetName val="Cost bd-&quot;A&quot;"/>
      <sheetName val="Macro1"/>
      <sheetName val="을"/>
      <sheetName val="3.하중산정4.지지력"/>
      <sheetName val="제출내역 (2)"/>
      <sheetName val="타공종이기"/>
      <sheetName val="예정(3)"/>
      <sheetName val="D-623D"/>
      <sheetName val="기초자료입력"/>
      <sheetName val="AILC004"/>
      <sheetName val="도면자료제출일정"/>
      <sheetName val="archi(본사)"/>
      <sheetName val="집수정(600-700)"/>
      <sheetName val="관람석제출"/>
      <sheetName val="기초공"/>
      <sheetName val=" 견적서"/>
      <sheetName val="투찰"/>
      <sheetName val="관접합및부설"/>
      <sheetName val="자압"/>
      <sheetName val="ⴭⴭⴭⴭ"/>
      <sheetName val="교각계산"/>
      <sheetName val="스케즐"/>
      <sheetName val="⑻동원인원산출서⑧"/>
      <sheetName val="준공변경요약서(4차1회)"/>
      <sheetName val="원가계산서 (전체변경)"/>
      <sheetName val="건축공사"/>
      <sheetName val="결과조달"/>
      <sheetName val="각형맨홀"/>
      <sheetName val="단가조사서"/>
      <sheetName val="견적산출"/>
      <sheetName val="설-원가"/>
      <sheetName val="노임이"/>
      <sheetName val="시중노임"/>
      <sheetName val="배수설비"/>
      <sheetName val="설계예산서"/>
      <sheetName val="수량집계"/>
      <sheetName val="맨홀수량"/>
      <sheetName val="빗물받이(910-510-410)"/>
      <sheetName val="가계부"/>
      <sheetName val="제품목록"/>
      <sheetName val="매입매출관리"/>
      <sheetName val="일위대가목차"/>
      <sheetName val="개소별수량산출"/>
      <sheetName val="을지"/>
      <sheetName val="합의서"/>
      <sheetName val="Xunit (단위환산)"/>
      <sheetName val="1.우편집중내역서"/>
      <sheetName val="IT-BAT"/>
      <sheetName val="1-Master"/>
      <sheetName val="현지판매"/>
      <sheetName val="건축내역"/>
      <sheetName val="조직"/>
      <sheetName val="기본사항"/>
      <sheetName val="0Title"/>
      <sheetName val="득점현황"/>
      <sheetName val="첨부1"/>
      <sheetName val="98NS-N"/>
      <sheetName val="관급자재"/>
      <sheetName val="1.수인터널"/>
      <sheetName val="변경비교-을"/>
      <sheetName val="경율산정.XLS"/>
      <sheetName val="횡배수관토공수량"/>
      <sheetName val="강북라우터"/>
      <sheetName val="호표"/>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 갑지"/>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REF"/>
      <sheetName val="환율change"/>
      <sheetName val="지수"/>
      <sheetName val="FACTOR"/>
      <sheetName val="공사비내역서"/>
      <sheetName val="실행내역서 "/>
      <sheetName val="일위대가표"/>
      <sheetName val="일위대가"/>
      <sheetName val="#REF!"/>
      <sheetName val="Book1"/>
      <sheetName val="Piping Design Data"/>
      <sheetName val="단가표"/>
      <sheetName val="노무비단가"/>
      <sheetName val="일위_파일"/>
      <sheetName val="SG"/>
      <sheetName val="HVAC"/>
      <sheetName val="WIND"/>
      <sheetName val="시간대별 Dia."/>
      <sheetName val="Sheet4"/>
      <sheetName val="bs"/>
      <sheetName val="2-2.매출분석"/>
      <sheetName val="static.cal"/>
      <sheetName val="Sheet5"/>
      <sheetName val="S0"/>
      <sheetName val="Steam Table"/>
      <sheetName val="공량산출서"/>
      <sheetName val="실행철강하도"/>
      <sheetName val="공용정보"/>
      <sheetName val="원가계산서"/>
      <sheetName val="아파트 "/>
      <sheetName val="FAB별"/>
      <sheetName val="내역서"/>
      <sheetName val="Cost bd-&quot;A&quot;"/>
      <sheetName val="노임"/>
      <sheetName val="도급양식"/>
      <sheetName val="견적서"/>
      <sheetName val="voucher"/>
      <sheetName val="대장"/>
      <sheetName val="데이타"/>
      <sheetName val="식재인부"/>
      <sheetName val="광통신 견적내역서1"/>
      <sheetName val="금호"/>
      <sheetName val="신우"/>
      <sheetName val="공사비 내역 (가)"/>
      <sheetName val="관급"/>
      <sheetName val="집계표"/>
      <sheetName val="국산화"/>
      <sheetName val="연수원"/>
      <sheetName val="98년"/>
      <sheetName val="YLD"/>
      <sheetName val="TDI ISBL"/>
      <sheetName val="2000전체분"/>
      <sheetName val="2000년1차"/>
      <sheetName val="Sheet1"/>
      <sheetName val="백암비스타내역"/>
      <sheetName val="차액보증"/>
      <sheetName val="실행"/>
      <sheetName val="PIPING"/>
      <sheetName val="노원열병합  건축공사기성내역서"/>
      <sheetName val="표지"/>
      <sheetName val="기준FACTOR"/>
      <sheetName val="표지 (2)"/>
      <sheetName val="프랜트면허"/>
      <sheetName val="산출내역서집계표"/>
      <sheetName val="잡철물"/>
      <sheetName val="원하대비"/>
      <sheetName val="원도급"/>
      <sheetName val="하도급"/>
      <sheetName val="금융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sheet1"/>
      <sheetName val="갑지 "/>
      <sheetName val="내역서"/>
      <sheetName val="BOM"/>
      <sheetName val="내역서 (2)"/>
      <sheetName val="실행(갑)"/>
      <sheetName val="실행(을)"/>
      <sheetName val="할증 "/>
      <sheetName val="환율change"/>
      <sheetName val="신우"/>
      <sheetName val="단가표"/>
      <sheetName val="지수"/>
      <sheetName val="원가계산서"/>
      <sheetName val="1,2공구원가계산서"/>
      <sheetName val="1공구산출내역서"/>
      <sheetName val="견적서2"/>
      <sheetName val=" 갑지"/>
      <sheetName val="개요"/>
      <sheetName val="2-2.매출분석"/>
      <sheetName val="IT-BAT"/>
      <sheetName val="당사실시1"/>
      <sheetName val="단가"/>
      <sheetName val="수량산출서"/>
      <sheetName val="할증"/>
      <sheetName val="차액보증"/>
      <sheetName val="DNW"/>
      <sheetName val="날개벽수량표"/>
    </sheetNames>
    <sheetDataSet>
      <sheetData sheetId="0" refreshError="1">
        <row r="3">
          <cell r="C3">
            <v>0.08</v>
          </cell>
          <cell r="G3">
            <v>1.2</v>
          </cell>
        </row>
        <row r="4">
          <cell r="C4">
            <v>0.08</v>
          </cell>
        </row>
        <row r="5">
          <cell r="C5">
            <v>0.08</v>
          </cell>
        </row>
        <row r="6">
          <cell r="C6">
            <v>0.08</v>
          </cell>
        </row>
        <row r="7">
          <cell r="C7">
            <v>0.08</v>
          </cell>
        </row>
        <row r="8">
          <cell r="C8">
            <v>0.08</v>
          </cell>
        </row>
        <row r="9">
          <cell r="C9">
            <v>0.08</v>
          </cell>
        </row>
        <row r="10">
          <cell r="C10">
            <v>0.08</v>
          </cell>
        </row>
        <row r="11">
          <cell r="C11">
            <v>0.08</v>
          </cell>
        </row>
        <row r="12">
          <cell r="C12">
            <v>0.16</v>
          </cell>
        </row>
        <row r="13">
          <cell r="C13">
            <v>0.12</v>
          </cell>
        </row>
        <row r="14">
          <cell r="C14">
            <v>0.12</v>
          </cell>
        </row>
        <row r="15">
          <cell r="C15">
            <v>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FACTOR"/>
      <sheetName val="할증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산출내역서"/>
      <sheetName val="후다내역"/>
      <sheetName val="입찰안"/>
      <sheetName val="BID"/>
      <sheetName val=" HIT-&gt;HMC 견적(3900)"/>
      <sheetName val="한전일위"/>
      <sheetName val="일위대가목록"/>
      <sheetName val="일위대가"/>
      <sheetName val="투찰내역"/>
      <sheetName val="갑지"/>
      <sheetName val="현장관리비"/>
      <sheetName val="SG"/>
      <sheetName val="일위목록"/>
      <sheetName val="요율"/>
      <sheetName val="간접비계산"/>
      <sheetName val="실행철강하도"/>
      <sheetName val="Macro1"/>
      <sheetName val="합계"/>
      <sheetName val="단가"/>
      <sheetName val="일위CODE"/>
      <sheetName val="산수배수"/>
      <sheetName val="#2_일위대가목록"/>
      <sheetName val="간접(90)"/>
      <sheetName val="일  위  대  가  목  록"/>
      <sheetName val="원형1호맨홀토공수량"/>
      <sheetName val="원가계산서"/>
      <sheetName val="관급자재"/>
      <sheetName val="1공구산출내역서"/>
      <sheetName val="건설성적"/>
      <sheetName val="중기비"/>
      <sheetName val="노무비"/>
      <sheetName val="품셈"/>
      <sheetName val="금액결정"/>
      <sheetName val="장문교(대전)"/>
      <sheetName val="우배수"/>
      <sheetName val="계산식"/>
      <sheetName val="전체"/>
      <sheetName val="일위산출"/>
      <sheetName val="세부추진"/>
      <sheetName val="제안서"/>
      <sheetName val="상용보강"/>
      <sheetName val="행정표준(1)"/>
      <sheetName val="행정표준(2)"/>
      <sheetName val="인부신상자료"/>
      <sheetName val="자재단가"/>
      <sheetName val="당초명세(평)"/>
      <sheetName val="단가산출"/>
      <sheetName val="1공구원가계산서"/>
      <sheetName val="1유리"/>
      <sheetName val="조명율표"/>
      <sheetName val="HRSG SMALL07220"/>
      <sheetName val="#REF"/>
      <sheetName val="JUCKEYK"/>
      <sheetName val="S0"/>
      <sheetName val="INSTR"/>
      <sheetName val="기본설계기준"/>
      <sheetName val="일위"/>
      <sheetName val="코드표"/>
      <sheetName val="b_balju"/>
      <sheetName val="2000년1차"/>
      <sheetName val="2000전체분"/>
      <sheetName val="관급"/>
      <sheetName val="장비"/>
      <sheetName val="산근1"/>
      <sheetName val="노무"/>
      <sheetName val="자재"/>
      <sheetName val="단가적용"/>
      <sheetName val="저"/>
      <sheetName val="참조"/>
      <sheetName val="1,2공구원가계산서"/>
      <sheetName val="설계가"/>
      <sheetName val="증감내역서"/>
      <sheetName val="교각토공 _2_"/>
      <sheetName val="2공구산출내역"/>
      <sheetName val="운반비요율"/>
      <sheetName val="6. 안전관리비"/>
      <sheetName val="유동표"/>
      <sheetName val="하도내역 (철콘)"/>
      <sheetName val="특기사항"/>
      <sheetName val="일위대가D"/>
      <sheetName val="3.공통공사대비"/>
      <sheetName val="차액보증"/>
      <sheetName val="내역(한신APT)"/>
      <sheetName val="도급"/>
      <sheetName val="조건표"/>
      <sheetName val="PI"/>
      <sheetName val="품셈총괄표"/>
      <sheetName val="직노"/>
      <sheetName val="노임단가"/>
      <sheetName val="추가예산"/>
      <sheetName val="목차 "/>
      <sheetName val="일위산출근거"/>
      <sheetName val="Macro2"/>
      <sheetName val="입출재고현황 (2)"/>
      <sheetName val="견적의뢰서"/>
      <sheetName val="6PILE  (돌출)"/>
      <sheetName val="덕전리"/>
      <sheetName val="1단계"/>
      <sheetName val="일위총괄"/>
      <sheetName val="작업일보"/>
      <sheetName val="노임"/>
      <sheetName val="준검 내역서"/>
      <sheetName val="내역전기"/>
      <sheetName val="노무비 근거"/>
      <sheetName val="수정2"/>
      <sheetName val="조명시설"/>
      <sheetName val="지급자재"/>
      <sheetName val="조건표 (2)"/>
      <sheetName val="97년 추정"/>
      <sheetName val="표지1"/>
      <sheetName val="임율 Data"/>
      <sheetName val="일위대가목차"/>
      <sheetName val="배수내역"/>
      <sheetName val="10공구일위"/>
      <sheetName val="3개월-백데이타"/>
      <sheetName val="LG배관재단가"/>
      <sheetName val="다다수전류단가"/>
      <sheetName val="LG유통상품단가표"/>
      <sheetName val="FORM-0"/>
      <sheetName val="수량3"/>
      <sheetName val="신공항A-9(원가수정)"/>
      <sheetName val="수량산출서"/>
      <sheetName val="집계"/>
      <sheetName val="개거총"/>
      <sheetName val="설계예산서"/>
      <sheetName val="일위대가목록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표준건축비"/>
      <sheetName val="별표집계"/>
      <sheetName val="A1"/>
      <sheetName val="일위단가"/>
      <sheetName val="TEST1"/>
      <sheetName val="c_balju"/>
      <sheetName val="을"/>
      <sheetName val="입력데이타"/>
      <sheetName val="전기"/>
      <sheetName val="단위단가"/>
      <sheetName val="Total"/>
      <sheetName val="예산총괄"/>
      <sheetName val="ORIGIN"/>
      <sheetName val="공정집계_국별"/>
      <sheetName val="CTEMCOST"/>
      <sheetName val="중기"/>
      <sheetName val="U형개거"/>
      <sheetName val="BSD (2)"/>
      <sheetName val="노임조서"/>
      <sheetName val="인원"/>
      <sheetName val="약품공급2"/>
      <sheetName val="유입량"/>
      <sheetName val="기초1"/>
      <sheetName val="효율표"/>
      <sheetName val="DHEQSUPT"/>
      <sheetName val="1.설계기준"/>
      <sheetName val="호안사석"/>
      <sheetName val="배수자집"/>
      <sheetName val="공통가설"/>
      <sheetName val="48일위"/>
      <sheetName val="물가시세"/>
      <sheetName val="2터널시점"/>
      <sheetName val="토목품셈"/>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WORK"/>
      <sheetName val="산출근거"/>
      <sheetName val="IT-BAT"/>
      <sheetName val="수문일위1"/>
      <sheetName val="수량분개내역"/>
      <sheetName val="단면 (2)"/>
      <sheetName val="간선계산"/>
      <sheetName val="이월"/>
      <sheetName val="SLAB근거-1"/>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b_balju (2)"/>
      <sheetName val="b_gunmul"/>
      <sheetName val="DANGA"/>
      <sheetName val="기본단가표"/>
      <sheetName val="FB25JN"/>
      <sheetName val="일일"/>
      <sheetName val="#2정산"/>
      <sheetName val="실행내역서 "/>
      <sheetName val="설계명세서"/>
      <sheetName val="내역서 제출"/>
      <sheetName val="자료입력"/>
      <sheetName val="노무비 "/>
      <sheetName val="공량산출서"/>
      <sheetName val="총괄내역서"/>
      <sheetName val="날개벽수량표"/>
      <sheetName val="7. 현장관리비 "/>
      <sheetName val="운반"/>
      <sheetName val="사업관리"/>
      <sheetName val="양수장(기계)"/>
      <sheetName val="실행내역"/>
      <sheetName val="첨부1"/>
      <sheetName val="적현로"/>
      <sheetName val="수량산출"/>
      <sheetName val="기계내역"/>
      <sheetName val="(당평)자재"/>
      <sheetName val="제경비산출서"/>
      <sheetName val="2000용수잠관-수량집계"/>
      <sheetName val="일위(PN)"/>
      <sheetName val="환기시설"/>
      <sheetName val="조명"/>
      <sheetName val="점보전력사용"/>
      <sheetName val="단면"/>
      <sheetName val="배수처리"/>
      <sheetName val="입력자료(노무비)"/>
      <sheetName val="INPUT"/>
      <sheetName val="DATE"/>
      <sheetName val="8.PILE  (돌출)"/>
      <sheetName val="토공(1)"/>
      <sheetName val="차수공(1)"/>
      <sheetName val="기본단가"/>
      <sheetName val="1. 설계조건 2.단면가정 3. 하중계산"/>
      <sheetName val="DATA 입력란"/>
      <sheetName val="구조     ."/>
      <sheetName val="DATA"/>
      <sheetName val="단가표"/>
      <sheetName val="공사비증감"/>
      <sheetName val="8.현장관리비"/>
      <sheetName val="7.안전관리비"/>
      <sheetName val="시화점실행"/>
      <sheetName val="BND"/>
      <sheetName val="장비단가"/>
      <sheetName val="재료비"/>
      <sheetName val="일위대가표48"/>
      <sheetName val="배수공"/>
      <sheetName val="공사내역서(을)실행"/>
      <sheetName val="직접비"/>
      <sheetName val="건장설비"/>
      <sheetName val="교통대책내역"/>
      <sheetName val="인사자료총집계"/>
      <sheetName val="단면가정"/>
      <sheetName val="토공사"/>
      <sheetName val="경상비"/>
      <sheetName val="전문하도급"/>
      <sheetName val="교량전기"/>
      <sheetName val="평가데이터"/>
      <sheetName val="MOTOR"/>
      <sheetName val="현장관리비 산출내역"/>
      <sheetName val="인명부"/>
      <sheetName val="내역표지"/>
      <sheetName val="가스"/>
      <sheetName val="공사비예산서(토목분)"/>
      <sheetName val="기성갑지"/>
      <sheetName val="금융비용"/>
      <sheetName val="5. 현장관리비(new) "/>
      <sheetName val="ABUT수량-A1"/>
      <sheetName val="중기일위대가"/>
      <sheetName val="Customer Databas"/>
      <sheetName val="일위대가(1)"/>
      <sheetName val="1.설계조건"/>
      <sheetName val="유림골조"/>
      <sheetName val="공통부대비"/>
      <sheetName val="물가자료"/>
      <sheetName val="인사자료"/>
      <sheetName val="우수"/>
      <sheetName val="2"/>
      <sheetName val="예가표"/>
      <sheetName val="결재난"/>
      <sheetName val="방배동내역(리라)"/>
      <sheetName val="현장경비"/>
      <sheetName val="건축공사집계표"/>
      <sheetName val="방배동내역 (총괄)"/>
      <sheetName val="부대공사총괄"/>
      <sheetName val="4.일위대가집계"/>
      <sheetName val="tggwan(mac)"/>
      <sheetName val="간 지1"/>
      <sheetName val="프랜트면허"/>
      <sheetName val="토목주소"/>
      <sheetName val="일위(시설)"/>
      <sheetName val="화재 탐지 설비"/>
      <sheetName val="산출내역서집계표"/>
      <sheetName val="5_ 현장관리비_new_ "/>
      <sheetName val="내역(2000년)"/>
      <sheetName val="경영상태"/>
      <sheetName val="공사원가계산서"/>
      <sheetName val="콘크리트타설집계표"/>
      <sheetName val="단위중량"/>
      <sheetName val="파이프류"/>
      <sheetName val="인계"/>
      <sheetName val="만년달력"/>
      <sheetName val="금액내역서"/>
      <sheetName val="총 원가계산"/>
      <sheetName val="외주대비 -석축_x0000__x0000__x0000__x0000__x0000__x0012_[후다내역.XLS]견적표지 (3"/>
      <sheetName val="인원계획"/>
      <sheetName val="(원)기흥상갈"/>
      <sheetName val="lab"/>
      <sheetName val="경비2내역"/>
      <sheetName val="금리계산"/>
      <sheetName val="Temporary Mooring"/>
      <sheetName val="공문"/>
      <sheetName val="A LINE"/>
      <sheetName val="우석문틀"/>
      <sheetName val="SHL"/>
      <sheetName val="품셈TABLE"/>
      <sheetName val="2.대외공문"/>
      <sheetName val="중기조종사 단위단가"/>
      <sheetName val="U-TYPE(1)"/>
      <sheetName val="일반공사"/>
      <sheetName val="단위량당중기"/>
      <sheetName val="자재일람"/>
      <sheetName val="청천내"/>
      <sheetName val="건설실행"/>
      <sheetName val="일위목록데이타"/>
      <sheetName val="설내역서 "/>
      <sheetName val="일위집계(기존)"/>
      <sheetName val="대로근거"/>
      <sheetName val="중로근거"/>
      <sheetName val="일위대가집계"/>
      <sheetName val="단가대비표"/>
      <sheetName val="코드"/>
      <sheetName val="경산"/>
      <sheetName val="여과지동"/>
      <sheetName val="기초자료"/>
      <sheetName val="격점별물량"/>
      <sheetName val="7.PILE  (돌출)"/>
      <sheetName val="일H35Y4"/>
      <sheetName val="부하계산서"/>
      <sheetName val="식재가격"/>
      <sheetName val="식재총괄"/>
      <sheetName val="초기화면"/>
      <sheetName val="기자재비"/>
      <sheetName val="교각계산"/>
      <sheetName val="700seg"/>
      <sheetName val="N賃率-職"/>
      <sheetName val="원도급"/>
      <sheetName val="하도급"/>
      <sheetName val="RE9604"/>
      <sheetName val="BQ"/>
      <sheetName val="내역서2안"/>
      <sheetName val="하중계산"/>
      <sheetName val="철근량"/>
      <sheetName val="인건비"/>
      <sheetName val="입력정보"/>
      <sheetName val="단가산출(T)"/>
      <sheetName val="날개벽(시점좌측)"/>
      <sheetName val="맨홀수량산출"/>
      <sheetName val="재료집계표"/>
      <sheetName val="일위대가목록(ems)"/>
      <sheetName val="1"/>
      <sheetName val="Code"/>
      <sheetName val="환산"/>
      <sheetName val="세부내역서"/>
      <sheetName val="총괄"/>
      <sheetName val="기본일위"/>
      <sheetName val="하도내역_(철콘)"/>
      <sheetName val="입출재고현황_(2)"/>
      <sheetName val="노무비_근거"/>
      <sheetName val="임율_Data"/>
      <sheetName val="조건표_(2)"/>
      <sheetName val="목차_"/>
      <sheetName val="1_설계기준"/>
      <sheetName val="7__현장관리비_"/>
      <sheetName val="전도금월정금액"/>
      <sheetName val="설계내역"/>
      <sheetName val="마산방향철근집계"/>
      <sheetName val="진주방향"/>
      <sheetName val="기성내역"/>
      <sheetName val="CONCRETE"/>
      <sheetName val="원가계산서(변경)"/>
      <sheetName val="돈암사업"/>
      <sheetName val="2.2_오피스텔(12~32F)"/>
      <sheetName val="법면"/>
      <sheetName val="부대공"/>
      <sheetName val="구조물공"/>
      <sheetName val="포장공"/>
      <sheetName val="배수공1"/>
      <sheetName val="차수"/>
      <sheetName val="월별손익"/>
      <sheetName val="일위대가(가설)"/>
      <sheetName val="터널대가"/>
      <sheetName val="1.취수장"/>
      <sheetName val="실행(ALT1)"/>
      <sheetName val="환율change"/>
      <sheetName val="GRDBS"/>
      <sheetName val="견적대비표"/>
      <sheetName val="Y-WORK"/>
      <sheetName val="4 LINE"/>
      <sheetName val="7 th"/>
      <sheetName val="C10집계2"/>
      <sheetName val=" 갑지"/>
      <sheetName val="설 계"/>
      <sheetName val="현장별"/>
      <sheetName val="간접비"/>
      <sheetName val="일용직6월"/>
      <sheetName val="경비"/>
      <sheetName val="특수선일위대가"/>
      <sheetName val="양덕동"/>
      <sheetName val="입력"/>
      <sheetName val="갑지(추정)"/>
      <sheetName val="집 계 표"/>
      <sheetName val="계측기"/>
      <sheetName val="일용직"/>
      <sheetName val="인천제철"/>
      <sheetName val="이형관중량"/>
      <sheetName val="일위대가(목록)"/>
      <sheetName val="산근(목록)"/>
      <sheetName val="6_ 안전관리비"/>
      <sheetName val="동천하상준설"/>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물량표"/>
      <sheetName val="낙찰표"/>
      <sheetName val="입적표"/>
      <sheetName val="지주설치제원"/>
      <sheetName val="준공조서갑지"/>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원본(갑지)"/>
      <sheetName val="3차준공"/>
      <sheetName val="입찰품의서"/>
      <sheetName val="토사(PE)"/>
      <sheetName val="날개벽"/>
      <sheetName val="choose"/>
      <sheetName val="기초단가"/>
      <sheetName val="입력데이타(비인쇄용)"/>
      <sheetName val="측량요율"/>
      <sheetName val="자재대"/>
      <sheetName val="점검총괄"/>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소방"/>
      <sheetName val="시중노임단가"/>
      <sheetName val="정렬"/>
      <sheetName val="골조"/>
      <sheetName val="Sheet1 (2)"/>
      <sheetName val="기술부 VENDOR LIST"/>
      <sheetName val="마산월령동골조물량변경"/>
      <sheetName val="개산공사비"/>
      <sheetName val="중기조종사_단위단가"/>
      <sheetName val="단면_(2)"/>
      <sheetName val="BSD_(2)"/>
      <sheetName val="분전반"/>
      <sheetName val="일위대가 집계표"/>
      <sheetName val="COVER-P"/>
      <sheetName val="자동제어"/>
      <sheetName val="단계별내역 (2)"/>
      <sheetName val="데이타"/>
      <sheetName val="식재인부"/>
      <sheetName val="특별"/>
      <sheetName val="변경내역"/>
      <sheetName val="화전내"/>
      <sheetName val="대치판정"/>
      <sheetName val="70%"/>
      <sheetName val="일위총괄표"/>
      <sheetName val="현장일반사항"/>
      <sheetName val="제출내역 (2)"/>
      <sheetName val="J直材4"/>
      <sheetName val="9.1지하2층하부보"/>
      <sheetName val="호표"/>
      <sheetName val="소비자가"/>
      <sheetName val="임율산출표"/>
      <sheetName val="퍼스트"/>
      <sheetName val="기안"/>
      <sheetName val="관개"/>
      <sheetName val="B"/>
      <sheetName val="선정요령"/>
      <sheetName val="252K444"/>
      <sheetName val="수리결과"/>
      <sheetName val="기계경비일람"/>
      <sheetName val="공통(20-91)"/>
      <sheetName val="기둥(원형)"/>
      <sheetName val="터파기및재료"/>
      <sheetName val="총체"/>
      <sheetName val="MATRLDATA"/>
      <sheetName val="Print"/>
      <sheetName val="소방사항"/>
      <sheetName val="실행내역서(DCU)"/>
      <sheetName val="일대"/>
      <sheetName val="증감대비"/>
      <sheetName val="중기사용료"/>
      <sheetName val="건축공사"/>
      <sheetName val="2.2 띠장의 설계"/>
      <sheetName val="골조시행"/>
      <sheetName val="COVER"/>
      <sheetName val="플랜트 설치"/>
      <sheetName val="기계경비"/>
      <sheetName val="6호기"/>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시설,관리하위"/>
      <sheetName val="샘플표지"/>
      <sheetName val="s"/>
      <sheetName val="추가일위대가"/>
      <sheetName val="설비"/>
      <sheetName val="주요항목별"/>
      <sheetName val="확약서"/>
      <sheetName val="토공유동표(전체_당초)"/>
      <sheetName val="b_balju_(2)"/>
      <sheetName val="8_PILE__(돌출)"/>
      <sheetName val="8_현장관리비"/>
      <sheetName val="건축내역"/>
      <sheetName val="관로분포도"/>
      <sheetName val="FACTOR"/>
      <sheetName val="7_안전관리비"/>
      <sheetName val="단중표"/>
      <sheetName val="말뚝지지력산정"/>
      <sheetName val="보도경계블럭"/>
      <sheetName val="일집"/>
      <sheetName val="배수관공"/>
      <sheetName val="cctv예산대비"/>
      <sheetName val="라이닝폼예산대비내역"/>
      <sheetName val="장비가동"/>
      <sheetName val="남양내역"/>
      <sheetName val="실행내역_원본"/>
      <sheetName val="BOX 본체"/>
      <sheetName val="4.일위대가"/>
      <sheetName val="제수변수량"/>
      <sheetName val="단가삐출"/>
      <sheetName val="GEN"/>
      <sheetName val="일위대가목록(기계)"/>
      <sheetName val="횡배위치"/>
      <sheetName val="WING3"/>
      <sheetName val="MODELING"/>
      <sheetName val="시운전연료비"/>
      <sheetName val="지원사무소원가배부내역"/>
      <sheetName val="9GNG운반"/>
      <sheetName val="48평단가"/>
      <sheetName val="57단가"/>
      <sheetName val="54평단가"/>
      <sheetName val="66평단가"/>
      <sheetName val="61단가"/>
      <sheetName val="89평단가"/>
      <sheetName val="84평단가"/>
      <sheetName val="현장관리비데이타"/>
      <sheetName val="Baby일위대가"/>
      <sheetName val="주소"/>
      <sheetName val="일위1"/>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단위목록"/>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옥외배관기본공량"/>
      <sheetName val="대비2"/>
      <sheetName val="옥외외등집계표"/>
      <sheetName val="자재운반단가일람표"/>
      <sheetName val="기계경비목록1"/>
      <sheetName val="깨기"/>
      <sheetName val="흄관수량"/>
      <sheetName val="PROCURE"/>
      <sheetName val="우수공,맨홀,집수정"/>
      <sheetName val="4.2.1 마루높이 검토"/>
      <sheetName val="수량산출목록표"/>
      <sheetName val="VE절감"/>
      <sheetName val="Anti"/>
      <sheetName val="Xunit (단위환산)"/>
      <sheetName val="연돌일위집계"/>
      <sheetName val="0226"/>
      <sheetName val="울산"/>
      <sheetName val="설계내역서"/>
      <sheetName val="FANDBS"/>
      <sheetName val="GRDATA"/>
      <sheetName val="SHAFTDBSE"/>
      <sheetName val="감가상각"/>
      <sheetName val="채권(하반기)"/>
      <sheetName val="연차일수"/>
      <sheetName val="2004연차사용현황"/>
      <sheetName val="TEMP2"/>
      <sheetName val="BS"/>
      <sheetName val="PL"/>
      <sheetName val="환율"/>
      <sheetName val="자동세륜기"/>
      <sheetName val="3련 BOX"/>
      <sheetName val="제잡비"/>
      <sheetName val="대가표(품셈)"/>
      <sheetName val="MP MOB"/>
      <sheetName val="요약서"/>
      <sheetName val="방음벽기초"/>
      <sheetName val="도수로집계"/>
      <sheetName val="가설건물"/>
      <sheetName val="22인공"/>
      <sheetName val="연결원본-절대지우지말것"/>
      <sheetName val="일위대가집계표"/>
      <sheetName val="산출서집계HS"/>
      <sheetName val="검색방"/>
      <sheetName val="메서,변+증"/>
      <sheetName val="명일작업계획 (3)"/>
      <sheetName val="성토도수로현황"/>
      <sheetName val="잔수량(작성)"/>
      <sheetName val="위치"/>
      <sheetName val="1-1"/>
      <sheetName val="내역(설계)"/>
      <sheetName val="4동급수"/>
      <sheetName val="STEEL BOX 단면설계(SEC.8)"/>
      <sheetName val="품셈기준"/>
      <sheetName val="설치자재"/>
      <sheetName val="감액총괄표"/>
      <sheetName val="예산변경원인분석"/>
      <sheetName val="앵커(3안)"/>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2_대외공문"/>
      <sheetName val="설내역서_"/>
      <sheetName val="설_계"/>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내역(최종본4_5)"/>
      <sheetName val="1_수인터널"/>
      <sheetName val="AS포장복구_"/>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연습"/>
      <sheetName val="원가계산"/>
      <sheetName val="대림경상68억"/>
      <sheetName val="공종보합"/>
      <sheetName val="출력원가"/>
      <sheetName val="공종원가"/>
      <sheetName val="총괄원가"/>
      <sheetName val="아파트"/>
      <sheetName val="상가,복지관"/>
      <sheetName val="주차장"/>
      <sheetName val="경비실"/>
      <sheetName val="맨홀수량산출(A-LINE)"/>
      <sheetName val="적용토목"/>
      <sheetName val="원하대비"/>
      <sheetName val="년차"/>
      <sheetName val="유림총괄"/>
      <sheetName val="사업개요"/>
      <sheetName val="현장관리비_입력"/>
      <sheetName val="200"/>
      <sheetName val="맨홀되메우기"/>
      <sheetName val="대운반(철재)"/>
      <sheetName val="6.이토처리시간"/>
      <sheetName val="단면치수"/>
      <sheetName val="원가서"/>
      <sheetName val="울진항공등화 내역서"/>
      <sheetName val="뚝토공"/>
      <sheetName val="전 체"/>
      <sheetName val="PAINT"/>
      <sheetName val="목록"/>
      <sheetName val="가격조사서"/>
      <sheetName val="TABLE DB"/>
      <sheetName val="쌍용 data base"/>
      <sheetName val="계정"/>
      <sheetName val="일 위 대 가 표"/>
      <sheetName val="공사비집계"/>
      <sheetName val="일위목차"/>
      <sheetName val="내역서 "/>
      <sheetName val="물량집계표(1c)"/>
      <sheetName val="2.1외주"/>
      <sheetName val="2.3노무"/>
      <sheetName val="2.4자재"/>
      <sheetName val="2.2장비"/>
      <sheetName val="2.5경비"/>
      <sheetName val="2.6수목대"/>
      <sheetName val="GRD郅≙"/>
      <sheetName val="고창방향"/>
      <sheetName val="위치조서"/>
      <sheetName val="영흥TL(UP,DOWN) "/>
      <sheetName val="가로등기초"/>
      <sheetName val="아파트건축"/>
      <sheetName val="eq_dat_x0000_"/>
      <sheetName val="unit 4"/>
      <sheetName val="선급금신청서"/>
      <sheetName val="A1(구조물)"/>
      <sheetName val="A1(토공)"/>
      <sheetName val="철근집계표"/>
      <sheetName val="목록표"/>
      <sheetName val="0.0ControlSheet"/>
      <sheetName val="0.1keyAssumption"/>
      <sheetName val="현장관리"/>
      <sheetName val="횡배수관토공수량"/>
      <sheetName val="접속도로1"/>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자재집계표"/>
      <sheetName val="포장공자재집계표"/>
      <sheetName val="토목내역"/>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95년12월말"/>
      <sheetName val="용선 C.L"/>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토목단가산출"/>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일위집계"/>
      <sheetName val="단가 및 재료비"/>
      <sheetName val="단가산출1"/>
      <sheetName val="일일현황"/>
      <sheetName val="Ⅱ1-0타"/>
      <sheetName val="C䈀꼬ԯ"/>
      <sheetName val="일일총괄"/>
      <sheetName val="당진1,2호기전선관설치및접지4차공사내역서-을지"/>
      <sheetName val="신천3호용수로"/>
      <sheetName val="통계연보"/>
      <sheetName val="인입관수량총괄"/>
      <sheetName val="조명일위"/>
      <sheetName val="실행(1)"/>
      <sheetName val="산3_4"/>
      <sheetName val="본실행경비"/>
      <sheetName val="GRD⍠も"/>
      <sheetName val="견적내역"/>
      <sheetName val="Sikje_inĴ¾_x0000_"/>
      <sheetName val="소화실적"/>
      <sheetName val="단위별용량계산"/>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벽체면적당일위대가"/>
      <sheetName val="Mc1"/>
      <sheetName val="주식"/>
      <sheetName val="배명(단가)"/>
      <sheetName val="물량산출근거"/>
      <sheetName val="유림콘도"/>
      <sheetName val="자재co"/>
      <sheetName val="일위대가 (PM)"/>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설계예시"/>
      <sheetName val="적용단가"/>
      <sheetName val="1차3회-개소별명세서-빨간색-인쇄용(21873)"/>
      <sheetName val="임차비용"/>
      <sheetName val="수목데이타"/>
      <sheetName val="콘크리트포장"/>
      <sheetName val="암거난간벽집계(2)"/>
      <sheetName val="양배수장"/>
      <sheetName val="샌딩 에폭시 도장"/>
      <sheetName val="일위대가단가표"/>
      <sheetName val="테이블"/>
      <sheetName val="CԀ_x0000_缀"/>
      <sheetName val="D1.2 COF모듈자재 입출재고 (B급)"/>
      <sheetName val="월별수입"/>
      <sheetName val="식재"/>
      <sheetName val="시설물"/>
      <sheetName val="식재출력용"/>
      <sheetName val="유지관리"/>
      <sheetName val="상수도토공집계표"/>
      <sheetName val="산출금액내역"/>
      <sheetName val="C-노임단가"/>
      <sheetName val="내역서변경성원"/>
      <sheetName val="동원(3)"/>
      <sheetName val="연부97-1"/>
      <sheetName val="1.본부별"/>
      <sheetName val="내역서당초"/>
      <sheetName val="마감사양"/>
      <sheetName val="000000"/>
      <sheetName val="변경후-SHEET"/>
      <sheetName val="말고개터널조명전압강하"/>
      <sheetName val="2000.05"/>
      <sheetName val="FI원가_1"/>
      <sheetName val="시운전연료"/>
      <sheetName val="구조물"/>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근로자자료입력"/>
      <sheetName val="참고자료"/>
      <sheetName val="측구공"/>
      <sheetName val="투찰내역서"/>
      <sheetName val="1_수인터널1"/>
      <sheetName val="AS포장복구_1"/>
      <sheetName val="2_대외공문1"/>
      <sheetName val="설_계1"/>
      <sheetName val="CIP_공사"/>
      <sheetName val="4_내진설계"/>
      <sheetName val="_총괄표"/>
      <sheetName val="인건비_"/>
      <sheetName val="전차선로_물량표"/>
      <sheetName val="96보완계획7_12"/>
      <sheetName val="콤보박스와_리스트박스의_연결"/>
      <sheetName val="제잡비_xls"/>
      <sheetName val="3BL공동구_수량"/>
      <sheetName val="부대입찰_내역서"/>
      <sheetName val="2_고용보험료산출근거"/>
      <sheetName val="5사남"/>
      <sheetName val="cable-data"/>
      <sheetName val="노무비산출"/>
      <sheetName val="#3E1_GCR"/>
      <sheetName val="소소총괄표"/>
      <sheetName val="아파트-가설"/>
      <sheetName val="남양시작동010313100%"/>
      <sheetName val="출장내역"/>
      <sheetName val="1공구_건정토건_토공2"/>
      <sheetName val="1.3.1절점좌표"/>
      <sheetName val="1.1설계기준"/>
      <sheetName val="기본DATA"/>
      <sheetName val="울산시산표"/>
      <sheetName val="입찰내역"/>
      <sheetName val="건축토목실행내역"/>
      <sheetName val="평자재단가"/>
      <sheetName val="구단"/>
      <sheetName val="기초입력 DATA"/>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1_수인터널2"/>
      <sheetName val="AS포장복구_2"/>
      <sheetName val="2_대외공문2"/>
      <sheetName val="설_계2"/>
      <sheetName val="내역(최종본4_5)2"/>
      <sheetName val="Sheet1_(2)1"/>
      <sheetName val="0_0ControlSheet2"/>
      <sheetName val="0_1keyAssumption2"/>
      <sheetName val="부대입찰_내역서1"/>
      <sheetName val="전차선로_물량표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별계약현황('98_10_31)"/>
      <sheetName val="현장지지물물량"/>
      <sheetName val="공통자료"/>
      <sheetName val="안전시설내역서"/>
      <sheetName val="배수문"/>
      <sheetName val="SUB일위대가"/>
      <sheetName val="EQUIP LIST"/>
      <sheetName val="원본"/>
      <sheetName val="교각"/>
      <sheetName val="XL4Poppy"/>
      <sheetName val="내부마감"/>
      <sheetName val="Macro(전동기)"/>
      <sheetName val="경비산출"/>
      <sheetName val="재활용 악취_먼지DUCT산출"/>
      <sheetName val="항목지정"/>
      <sheetName val="간접재료비산출표-27-30"/>
      <sheetName val="첨부1-1"/>
      <sheetName val="빙설"/>
      <sheetName val="기기리스트"/>
      <sheetName val="시설물기초"/>
      <sheetName val="산출근거(S4)"/>
      <sheetName val="설계명세"/>
      <sheetName val="공정코드"/>
      <sheetName val="현장식당(1)"/>
      <sheetName val="10동"/>
      <sheetName val="쌍송교"/>
      <sheetName val="일반수량"/>
      <sheetName val="1안"/>
      <sheetName val="입력그림"/>
      <sheetName val="정부노임"/>
      <sheetName val="흄관기초"/>
      <sheetName val="가중치"/>
      <sheetName val="상호참고자료"/>
      <sheetName val="발주처자료입력"/>
      <sheetName val="회사기본자료"/>
      <sheetName val="하자보증자료"/>
      <sheetName val="기술자관련자료"/>
      <sheetName val="빙100장비사양"/>
      <sheetName val="database"/>
      <sheetName val="다곡2교"/>
      <sheetName val="부산제일극장"/>
      <sheetName val="수주현황2월"/>
      <sheetName val="본사인상전"/>
      <sheetName val="학생내역"/>
      <sheetName val="산출기준(파견전산실)"/>
      <sheetName val="SF내역및원가02"/>
      <sheetName val="예산M12A"/>
      <sheetName val="예산M2"/>
      <sheetName val="송라터널총괄"/>
      <sheetName val="매원개착터널총괄"/>
      <sheetName val="점수계산1-2"/>
      <sheetName val="남양시작동자105노65기1.3화1.2"/>
      <sheetName val="관음목장(제출용)자105인97.5"/>
      <sheetName val="이자율"/>
      <sheetName val="증감분석"/>
      <sheetName val="내역총괄"/>
      <sheetName val="내역총괄2"/>
      <sheetName val="내역총괄3"/>
      <sheetName val="단양 00 아파트-세부내역"/>
      <sheetName val="품셈(기초)"/>
      <sheetName val="견적서갑지연속"/>
      <sheetName val="회사정보"/>
      <sheetName val="고암DATA"/>
      <sheetName val="일반관리비전체분당초변경대비표"/>
      <sheetName val="사용계획"/>
      <sheetName val="지급수수료월별금액산정"/>
      <sheetName val="내역및원가02"/>
      <sheetName val="전계가"/>
      <sheetName val="4_경비_5_영업외수지"/>
      <sheetName val="_견적서"/>
      <sheetName val="장비당단가_(1)"/>
      <sheetName val="Sheet2_(2)"/>
      <sheetName val="광통신_견적내역서1"/>
      <sheetName val="unit_4"/>
      <sheetName val="별표_"/>
      <sheetName val="수_량_명_세_서_-_1"/>
      <sheetName val="2_건축"/>
      <sheetName val="공정표_"/>
      <sheetName val="프라임_강변역(4,236)"/>
      <sheetName val="내___역"/>
      <sheetName val="2000년_공정표"/>
      <sheetName val="5_2코핑"/>
      <sheetName val="배수공_시멘트_및_골재량_산출"/>
      <sheetName val="P_M_별"/>
      <sheetName val="수량산출서_갑지"/>
      <sheetName val="DATA_입력부"/>
      <sheetName val="분전반일위대가"/>
      <sheetName val="UR2-Calculation"/>
      <sheetName val="현금흐름"/>
      <sheetName val="원내역서 그대로"/>
      <sheetName val="방송(체육관)"/>
      <sheetName val="식재일위대가"/>
      <sheetName val="기초일위대가"/>
      <sheetName val="1-1호"/>
      <sheetName val="공사수행보고"/>
      <sheetName val="손익분석"/>
      <sheetName val="969910( R)"/>
      <sheetName val="1062-X방향 "/>
      <sheetName val="DATA2000"/>
      <sheetName val="5.정산서"/>
      <sheetName val="포장직선구간"/>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BOJUNGGM"/>
      <sheetName val="01"/>
      <sheetName val="4.장비손료"/>
      <sheetName val="일반물자(한국통신)"/>
      <sheetName val="108.수선비"/>
      <sheetName val="계약서"/>
      <sheetName val="예산대비"/>
      <sheetName val="1F"/>
      <sheetName val="제거식EA"/>
      <sheetName val="NAIL단가산출"/>
      <sheetName val="관리"/>
      <sheetName val="적정"/>
      <sheetName val="하도"/>
      <sheetName val="별지"/>
      <sheetName val="보링"/>
      <sheetName val="철물"/>
      <sheetName val="철강재"/>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공통비"/>
      <sheetName val="VENDOR LIST"/>
      <sheetName val="중기쥰종사 단위단가"/>
      <sheetName val="산출0"/>
      <sheetName val="예정(3)"/>
      <sheetName val="경비 (1)"/>
      <sheetName val="포장수량집계"/>
      <sheetName val="(C)원내역"/>
      <sheetName val="2F 회의실견적(5_14 일대)"/>
      <sheetName val="부대공자재집계표"/>
      <sheetName val="15100"/>
      <sheetName val="산출근거#2-3"/>
      <sheetName val="성서방향-교대(A2)"/>
      <sheetName val="편성절차"/>
      <sheetName val="2002자금수지계획(진행+신규)"/>
      <sheetName val="2변경1"/>
      <sheetName val="횡날개수집"/>
      <sheetName val="작성"/>
      <sheetName val="중기단가"/>
      <sheetName val="TYPE1"/>
      <sheetName val="배선(낙차)"/>
      <sheetName val="전도품의"/>
      <sheetName val="정의"/>
      <sheetName val="영동(D)"/>
      <sheetName val="도"/>
      <sheetName val="맨홀_공사비"/>
      <sheetName val="심사"/>
      <sheetName val="기본정보"/>
      <sheetName val="예총"/>
      <sheetName val="DC"/>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유통기한 프로그램"/>
      <sheetName val="배부전"/>
      <sheetName val="표층포설및다짐"/>
      <sheetName val="집계표(공종별)"/>
      <sheetName val="입력값"/>
      <sheetName val="설계기준 및 하중계산"/>
      <sheetName val="대비표"/>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소일위대가코드표"/>
      <sheetName val="상가지급현황"/>
      <sheetName val="배수장토목공사비"/>
      <sheetName val="3차토목내역"/>
      <sheetName val="말뚝기초(안정검토)-외측"/>
      <sheetName val="은행"/>
      <sheetName val="일위대가-01"/>
      <sheetName val="토목-물가"/>
      <sheetName val="맨홀토공"/>
      <sheetName val="전기일목(조사가)"/>
      <sheetName val="공사내역"/>
      <sheetName val="표  지"/>
      <sheetName val="제경비율"/>
      <sheetName val="일위대가(통신)"/>
      <sheetName val="중기사용료산출근거"/>
      <sheetName val="동업계매출속보"/>
      <sheetName val="목창호"/>
      <sheetName val="FAB별"/>
      <sheetName val="Sikje_in_x0005__x0000_"/>
      <sheetName val="판정1교토공"/>
      <sheetName val="갑"/>
      <sheetName val="사유서제출현황-2"/>
      <sheetName val="J"/>
      <sheetName val="연장및면적(좌측)"/>
      <sheetName val="인력터파기품"/>
      <sheetName val="조인트"/>
      <sheetName val="운동장 (2)"/>
      <sheetName val="교통표지판수량집계표"/>
      <sheetName val="옹벽단면치수"/>
      <sheetName val="설계카드"/>
      <sheetName val="공사설명서"/>
      <sheetName val="공사계획서"/>
      <sheetName val="예산조서"/>
      <sheetName val="99 조정금액"/>
      <sheetName val="주요재료비(원본)"/>
      <sheetName val="주공기준"/>
      <sheetName val="2련간지"/>
      <sheetName val="안정검토"/>
      <sheetName val="데리네И̏䨸ɟ"/>
      <sheetName val="외주대비 ᨀ晙ԯ"/>
      <sheetName val="한성교회 신축공사(050713)_CheckList"/>
      <sheetName val="참조-(1)"/>
      <sheetName val="총괄집계 "/>
      <sheetName val="전국현황"/>
      <sheetName val="변경증감내역서"/>
      <sheetName val="보험료산출"/>
      <sheetName val="자금총괄"/>
      <sheetName val="유통간부"/>
      <sheetName val="장기"/>
      <sheetName val="RD제품개발투자비(매가)"/>
      <sheetName val="다중모드"/>
      <sheetName val="ASALTOTA"/>
      <sheetName val="용집"/>
      <sheetName val="상행-교대(A1-A2)"/>
      <sheetName val="총수량집계표"/>
      <sheetName val="strut type"/>
      <sheetName val="미드수량"/>
      <sheetName val="배관물량집계(기본)"/>
      <sheetName val="수문보고"/>
      <sheetName val="옥외"/>
      <sheetName val="工완성공사율"/>
      <sheetName val="1차설계Ꮗԯ_x0000_"/>
      <sheetName val="1차설계逷≙_xdc00_≙"/>
      <sheetName val="-15.0"/>
      <sheetName val="토지산출내역"/>
      <sheetName val="P_x0005_"/>
      <sheetName val="P嘐"/>
      <sheetName val="48_x0005__x0000_"/>
      <sheetName val="암거"/>
      <sheetName val="공정표_1"/>
      <sheetName val="장비당단가_(1)1"/>
      <sheetName val="Sheet2_(2)1"/>
      <sheetName val="별표_1"/>
      <sheetName val="2_건축1"/>
      <sheetName val="수_량_명_세_서_-_11"/>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도급내역"/>
      <sheetName val="사  업  비  수  지  예  산  서"/>
      <sheetName val="시가지우회도로공내역서"/>
      <sheetName val="사다리"/>
      <sheetName val="중기일위대밀"/>
      <sheetName val="현금흐름표"/>
      <sheetName val="07제품별수익성"/>
      <sheetName val="총체보활공정표"/>
      <sheetName val="철골공사"/>
      <sheetName val="수장"/>
      <sheetName val="상세도"/>
      <sheetName val="지구단위계획"/>
      <sheetName val="hvac(제어동)"/>
      <sheetName val="일위(열차무선)"/>
      <sheetName val="99년원가"/>
      <sheetName val="산출(1~20)"/>
      <sheetName val="GI-LIST"/>
      <sheetName val="중기사용료 (2)"/>
      <sheetName val="업체별기성"/>
      <sheetName val="시약"/>
      <sheetName val="SAMPLE!"/>
      <sheetName val="근로자명단2013"/>
      <sheetName val="수정계획3"/>
      <sheetName val="전도금정산서(27)"/>
      <sheetName val="건축공사실행"/>
      <sheetName val="건축원가"/>
      <sheetName val="1차 내역서"/>
      <sheetName val="물량내역서"/>
      <sheetName val="기초목"/>
      <sheetName val="일대목록표"/>
      <sheetName val="보도내 _x0000__x0000_䪾"/>
      <sheetName val="(A)내역서"/>
      <sheetName val="06 일위대가목록"/>
      <sheetName val="분뇨"/>
      <sheetName val="2.원가집계"/>
      <sheetName val="배명(단가柖"/>
      <sheetName val="5.2.6~7공사요율"/>
      <sheetName val="5월건강보험(일용직)"/>
      <sheetName val="04.12월건강보험(일용직)"/>
      <sheetName val="투자예산"/>
      <sheetName val="O＆P"/>
      <sheetName val="데리네鶈㇨ᓣ"/>
      <sheetName val="입력데이타(비É"/>
      <sheetName val="외주대비 -석É"/>
      <sheetName val="용수간선"/>
      <sheetName val="기존단가 (2)"/>
      <sheetName val="__"/>
      <sheetName val="설원"/>
      <sheetName val="리스트"/>
      <sheetName val="입찰견적보고서"/>
      <sheetName val="신고조서"/>
      <sheetName val="인건蠉"/>
      <sheetName val="비용"/>
      <sheetName val="구의동공내역서"/>
      <sheetName val="예산"/>
      <sheetName val="FRP PIPING 일위대가"/>
      <sheetName val="CAPVC"/>
      <sheetName val="특별땅고르기"/>
      <sheetName val="직접공사비"/>
      <sheetName val="PAD TR보호대기초"/>
      <sheetName val="7월11일"/>
      <sheetName val="안전장치"/>
      <sheetName val="투자효율분석"/>
      <sheetName val="공사비예산서"/>
      <sheetName val="관급현황"/>
      <sheetName val="기술조건"/>
      <sheetName val="1.내역(청.하역장전등)"/>
      <sheetName val="정화조"/>
      <sheetName val="배수관연장조서"/>
      <sheetName val="마스터02"/>
      <sheetName val="SPEC"/>
      <sheetName val="10.경제성분석"/>
      <sheetName val="SCH"/>
      <sheetName val="산근(1)"/>
      <sheetName val="장척총괄"/>
      <sheetName val="참고"/>
      <sheetName val="4월예정공정표"/>
      <sheetName val="가격"/>
      <sheetName val="2.1"/>
      <sheetName val="청 구"/>
      <sheetName val="철거폐쇄현황"/>
      <sheetName val="암거(2)"/>
      <sheetName val="단지배치도"/>
      <sheetName val="입찰유의사항"/>
      <sheetName val="하도급이행사항"/>
      <sheetName val="공내역 및 견적조건"/>
      <sheetName val="특수조건"/>
      <sheetName val="참석확인"/>
      <sheetName val="검토현황"/>
      <sheetName val="증감내역"/>
      <sheetName val="교각별철근수량집계표"/>
      <sheetName val="출력X"/>
      <sheetName val="6동"/>
      <sheetName val="포장공사"/>
      <sheetName val="통합"/>
      <sheetName val="기계 도급내역서"/>
      <sheetName val="철탑공사"/>
      <sheetName val="경성자금"/>
      <sheetName val="수전기기DATA"/>
      <sheetName val="ETC"/>
      <sheetName val="일위대가1"/>
      <sheetName val="7.전산해석결과"/>
      <sheetName val="4.하중"/>
      <sheetName val="T기성9605"/>
      <sheetName val="비교표"/>
      <sheetName val="kimre scrubber"/>
      <sheetName val="미장"/>
      <sheetName val="PĴ"/>
      <sheetName val="Pꮸ"/>
      <sheetName val="P估"/>
      <sheetName val="quotation"/>
      <sheetName val="기성금내역서"/>
      <sheetName val="MIJIBI"/>
      <sheetName val="내역서(총)"/>
      <sheetName val="TCDB"/>
      <sheetName val=" ｹ-ﾌﾞﾙ"/>
      <sheetName val="01AC"/>
      <sheetName val="문학간접"/>
      <sheetName val="품목"/>
      <sheetName val="전기2005"/>
      <sheetName val="1월"/>
      <sheetName val="세부항목"/>
      <sheetName val="출력자료"/>
      <sheetName val="Balance"/>
      <sheetName val="제안실적sum조회"/>
      <sheetName val="경비공통"/>
      <sheetName val="전체공사"/>
      <sheetName val="내역(가지)"/>
      <sheetName val="신평리 권리자명부"/>
      <sheetName val="수완하도"/>
      <sheetName val="김포내역"/>
      <sheetName val="2004노형교"/>
      <sheetName val="Macro3"/>
      <sheetName val="평균높이산출근거"/>
      <sheetName val="횡배수관위치조서"/>
      <sheetName val="ESC(K치)"/>
      <sheetName val="도급내역서"/>
      <sheetName val="관리비비계상"/>
      <sheetName val="콘센트신설"/>
      <sheetName val="97 사업추정(WEKI)"/>
      <sheetName val="품종코드"/>
      <sheetName val="기초단가일람표"/>
      <sheetName val="태안9)3-2)원내역"/>
      <sheetName val="맨홀"/>
      <sheetName val="JJ"/>
      <sheetName val="인적사항"/>
      <sheetName val="납부서"/>
      <sheetName val="견적颙⿬_x0005_"/>
      <sheetName val="견적颙⿶_x0005_"/>
      <sheetName val="견적_x0005__x0000_"/>
      <sheetName val="견적叐E吜"/>
      <sheetName val="견적颙』_x0005_"/>
      <sheetName val="EACT10"/>
      <sheetName val="차선"/>
      <sheetName val="차조서"/>
      <sheetName val="L형옹벽(key)"/>
      <sheetName val="자재비"/>
      <sheetName val="기초공"/>
      <sheetName val="흄관기鬀"/>
      <sheetName val="토  공"/>
      <sheetName val="신규단가산출"/>
      <sheetName val="날개벽(좌,우=45도,75도)"/>
      <sheetName val="죽원1교"/>
      <sheetName val="참조자료"/>
      <sheetName val="일반수량집계표"/>
      <sheetName val="대동교-단면(무장)"/>
      <sheetName val="라멘수량(무장)"/>
      <sheetName val="대동교-단면(아산)"/>
      <sheetName val="토공집계표"/>
      <sheetName val="토공시점"/>
      <sheetName val="토공종점"/>
      <sheetName val="주공 갑지"/>
      <sheetName val="도수로수량산출"/>
      <sheetName val="산출"/>
      <sheetName val="예산조서(전송)"/>
      <sheetName val="FAX"/>
      <sheetName val="점ᥰ@띘"/>
      <sheetName val="점ᤠ@띘"/>
      <sheetName val="점៰2띘"/>
      <sheetName val="Macro4"/>
      <sheetName val="8월차잔"/>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HRSG_SMALL072203"/>
      <sheetName val="교각토공__2_3"/>
      <sheetName val="6__안전관리비4"/>
      <sheetName val="조건표_(2)2"/>
      <sheetName val="3_공통공사대비3"/>
      <sheetName val="하도내역_(철콘)2"/>
      <sheetName val="노무비_근거2"/>
      <sheetName val="97년_추정3"/>
      <sheetName val="2차전체변경예정_(2)2"/>
      <sheetName val="임율_Data2"/>
      <sheetName val="1_설계기준2"/>
      <sheetName val="토공유동표(전체_당초)2"/>
      <sheetName val="목차_2"/>
      <sheetName val="7__현장관리비_2"/>
      <sheetName val="4_일위대가집계1"/>
      <sheetName val="노무비_1"/>
      <sheetName val="단면_(2)2"/>
      <sheetName val="8_PILE__(돌출)2"/>
      <sheetName val="구조______1"/>
      <sheetName val="b_balju_(2)2"/>
      <sheetName val="8_현장관리비2"/>
      <sheetName val="7_안전관리비2"/>
      <sheetName val="Customer_Databas1"/>
      <sheetName val="5__현장관리비(new)_1"/>
      <sheetName val="내역서_제출1"/>
      <sheetName val="간_지11"/>
      <sheetName val="화재_탐지_설비1"/>
      <sheetName val="5__현장관리비_new__1"/>
      <sheetName val="방배동내역_(총괄)1"/>
      <sheetName val="Temporary_Mooring1"/>
      <sheetName val="A_LINE1"/>
      <sheetName val="중기조종사_단위단가2"/>
      <sheetName val="7_PILE__(돌출)1"/>
      <sheetName val="2_2_오피스텔(12~32F)1"/>
      <sheetName val="4_LINE1"/>
      <sheetName val="7_th1"/>
      <sheetName val="_갑지1"/>
      <sheetName val="집_계_표1"/>
      <sheetName val="총_원가계산1"/>
      <sheetName val="6__안전관리비5"/>
      <sheetName val="자__재1"/>
      <sheetName val="할증_1"/>
      <sheetName val="개인별_순위표1"/>
      <sheetName val="CM_11"/>
      <sheetName val="기술부_VENDOR_LIST1"/>
      <sheetName val="단계별내역_(2)1"/>
      <sheetName val="일위대가_집계표1"/>
      <sheetName val="9_1지하2층하부보1"/>
      <sheetName val="4_일위대가1"/>
      <sheetName val="2_2_띠장의_설계1"/>
      <sheetName val="제출내역_(2)1"/>
      <sheetName val="4_2_1_마루높이_검토"/>
      <sheetName val="BOX_본체"/>
      <sheetName val="3련_BOX"/>
      <sheetName val="STEEL_BOX_단면설계(SEC_8)"/>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6_이토처리시간"/>
      <sheetName val="울진항공등화_내역서"/>
      <sheetName val="일_위_대_가_표"/>
      <sheetName val="2_1외주"/>
      <sheetName val="2_3노무"/>
      <sheetName val="2_4자재"/>
      <sheetName val="2_2장비"/>
      <sheetName val="2_5경비"/>
      <sheetName val="2_6수목대"/>
      <sheetName val="MP_MOB"/>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전_체"/>
      <sheetName val="내역서_"/>
      <sheetName val="TABLE_DB"/>
      <sheetName val="쌍용_data_base"/>
      <sheetName val="영흥TL(UP,DOWN)_"/>
      <sheetName val="전체내역_(2)"/>
      <sheetName val="Hyundai_Unit_cost_xls"/>
      <sheetName val="용선_C_L"/>
      <sheetName val="샌딩_에폭시_도장"/>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일위대가_(PM)"/>
      <sheetName val="일반전기"/>
      <sheetName val="정산내역"/>
      <sheetName val="기본자료(실행)"/>
      <sheetName val="제품현황"/>
      <sheetName val="05 유류비자금청구(완)"/>
      <sheetName val="견적대비"/>
      <sheetName val="내역(최종본浳き_x0000__x0000_"/>
      <sheetName val="내역(최종본浳⿢_x0000__x0000_"/>
      <sheetName val="내역(최종본浳ぁ_x0000__x0000_"/>
      <sheetName val="input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efreshError="1"/>
      <sheetData sheetId="852"/>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refreshError="1"/>
      <sheetData sheetId="996" refreshError="1"/>
      <sheetData sheetId="997" refreshError="1"/>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refreshError="1"/>
      <sheetData sheetId="1112" refreshError="1"/>
      <sheetData sheetId="1113" refreshError="1"/>
      <sheetData sheetId="1114" refreshError="1"/>
      <sheetData sheetId="1115" refreshError="1"/>
      <sheetData sheetId="1116"/>
      <sheetData sheetId="1117"/>
      <sheetData sheetId="1118"/>
      <sheetData sheetId="1119"/>
      <sheetData sheetId="1120"/>
      <sheetData sheetId="1121"/>
      <sheetData sheetId="1122" refreshError="1"/>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refreshError="1"/>
      <sheetData sheetId="2668" refreshError="1"/>
      <sheetData sheetId="2669" refreshError="1"/>
      <sheetData sheetId="2670" refreshError="1"/>
      <sheetData sheetId="2671" refreshError="1"/>
      <sheetData sheetId="2672" refreshError="1"/>
      <sheetData sheetId="2673"/>
      <sheetData sheetId="2674"/>
      <sheetData sheetId="2675"/>
      <sheetData sheetId="267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item"/>
      <sheetName val="실행(1)"/>
      <sheetName val="virus"/>
      <sheetName val="total"/>
      <sheetName val="ANN"/>
      <sheetName val="COC"/>
      <sheetName val="HCL"/>
      <sheetName val="JACKET"/>
      <sheetName val="UTILITY"/>
      <sheetName val="연돌일위집계"/>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환율change"/>
      <sheetName val="견적갑지"/>
      <sheetName val="갑지"/>
      <sheetName val="summ"/>
      <sheetName val="내역"/>
      <sheetName val="내역-total"/>
      <sheetName val="sum"/>
      <sheetName val="장비비근거"/>
      <sheetName val="경상비 산출기준-영국"/>
      <sheetName val="현장조직"/>
      <sheetName val="공정 참고(2)"/>
      <sheetName val="공급구분"/>
      <sheetName val="내역 (2)"/>
      <sheetName val="수주 공정표 (5)"/>
      <sheetName val="FACTOR"/>
      <sheetName val="을"/>
      <sheetName val=" LC-1"/>
      <sheetName val="지수"/>
      <sheetName val="잡철물"/>
      <sheetName val="수량산출서"/>
      <sheetName val="자재단가"/>
      <sheetName val="실행(1)"/>
      <sheetName val="2-2.매출분석"/>
      <sheetName val="#REF"/>
      <sheetName val="내역서"/>
      <sheetName val="할증 "/>
      <sheetName val="실행내역서 "/>
      <sheetName val="단가표 "/>
      <sheetName val="간접비계산"/>
      <sheetName val="노임단가표"/>
    </sheetNames>
    <sheetDataSet>
      <sheetData sheetId="0" refreshError="1"/>
      <sheetData sheetId="1" refreshError="1">
        <row r="5">
          <cell r="B5">
            <v>1200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change"/>
      <sheetName val="견적갑지"/>
      <sheetName val="내역 (2)"/>
      <sheetName val="SUMM (2)"/>
      <sheetName val="DIRECT COST"/>
      <sheetName val="SUMM"/>
      <sheetName val="경상비 적용"/>
    </sheetNames>
    <sheetDataSet>
      <sheetData sheetId="0" refreshError="1">
        <row r="5">
          <cell r="B5">
            <v>2000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을지"/>
      <sheetName val="내역서"/>
      <sheetName val="실행(갑)"/>
      <sheetName val="실행(을)"/>
      <sheetName val="가스물량(구미P4송부)"/>
      <sheetName val="환율change"/>
      <sheetName val="Sheet1"/>
      <sheetName val="LD"/>
      <sheetName val="금호"/>
      <sheetName val="C1ㅇ"/>
      <sheetName val="제경비"/>
      <sheetName val="설계조건"/>
      <sheetName val="할증 "/>
      <sheetName val="실행(표지,갑,을)"/>
      <sheetName val="2-2.매출분석"/>
      <sheetName val="수량산출서"/>
      <sheetName val="자재단가"/>
      <sheetName val="FACTOR"/>
      <sheetName val="#REF"/>
      <sheetName val="간접비내역-1"/>
      <sheetName val="Resourc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2000년1차"/>
      <sheetName val="2000전체분"/>
      <sheetName val="교통대책내역"/>
      <sheetName val="집계표"/>
      <sheetName val="조명율표"/>
      <sheetName val="투찰내역"/>
      <sheetName val="조경일람"/>
      <sheetName val="단가일람"/>
      <sheetName val="간접1"/>
      <sheetName val="내역서"/>
      <sheetName val="99총공사내역서"/>
      <sheetName val="부대공사비"/>
      <sheetName val="퍼스트"/>
      <sheetName val="차액보증"/>
      <sheetName val="BID"/>
      <sheetName val="정부노임단가"/>
      <sheetName val="#REF"/>
      <sheetName val="SLAB데이터"/>
      <sheetName val="조명일위"/>
      <sheetName val="약품공급2"/>
      <sheetName val="단가"/>
      <sheetName val="Total 단위경유량집계"/>
      <sheetName val="실행내역"/>
      <sheetName val="노임"/>
      <sheetName val="접지수량"/>
      <sheetName val="건축내역"/>
      <sheetName val="C1ㅇ"/>
      <sheetName val="sheet1"/>
      <sheetName val="지질조사"/>
      <sheetName val="RE9604"/>
      <sheetName val="CALCULATION"/>
      <sheetName val="기계경비(시간당)"/>
      <sheetName val="기본단가표"/>
      <sheetName val="재료집계표"/>
      <sheetName val="산근"/>
      <sheetName val="MOTOR"/>
      <sheetName val="원가계산서"/>
      <sheetName val="전체제잡비"/>
      <sheetName val="실행철강하도"/>
      <sheetName val="내역서(전기)"/>
      <sheetName val="마산월령동골조물량변경"/>
      <sheetName val="내역(원안-대안)"/>
      <sheetName val="1,2공구원가계산서"/>
      <sheetName val="2공구산출내역"/>
      <sheetName val="1공구산출내역서"/>
      <sheetName val="준검 내역서"/>
      <sheetName val="교각1"/>
      <sheetName val="DB"/>
      <sheetName val="제경비"/>
      <sheetName val="구조물공"/>
      <sheetName val="부대공"/>
      <sheetName val="배수공"/>
      <sheetName val="토공"/>
      <sheetName val="포장공"/>
      <sheetName val="토공유동표(전체.당초)"/>
      <sheetName val="총공사내역서"/>
      <sheetName val="SIL98"/>
      <sheetName val="조명시설"/>
      <sheetName val="항목(1)"/>
      <sheetName val="총괄표"/>
      <sheetName val="설계조건"/>
      <sheetName val="DANGA"/>
      <sheetName val="일위대가"/>
      <sheetName val="금액내역서"/>
      <sheetName val="품셈TABLE"/>
      <sheetName val="노임단가"/>
      <sheetName val="단위단가"/>
      <sheetName val="수량산출서"/>
      <sheetName val="산출근거"/>
      <sheetName val="잡철물"/>
      <sheetName val="관급"/>
      <sheetName val="1.수인터널"/>
      <sheetName val="적점"/>
      <sheetName val="5회토적"/>
      <sheetName val="당진1,2호기전선관설치및접지4차공사내역서-을지"/>
      <sheetName val="기계내역서"/>
      <sheetName val="1001"/>
      <sheetName val="공사개요"/>
      <sheetName val="매입세율"/>
      <sheetName val="하남내역"/>
      <sheetName val="대포2교접속"/>
      <sheetName val="천방교접속"/>
      <sheetName val="일위목록"/>
      <sheetName val="요율"/>
      <sheetName val="기계경비일람"/>
      <sheetName val="N賃率-職"/>
      <sheetName val="자재일람"/>
      <sheetName val="일반공사"/>
      <sheetName val="현장설명"/>
      <sheetName val="NYS"/>
      <sheetName val="문학간접"/>
      <sheetName val="공사비예산서(토목분)"/>
      <sheetName val="도급"/>
      <sheetName val="작성방법"/>
      <sheetName val="설비2차"/>
      <sheetName val="표  지"/>
      <sheetName val="예가내역서"/>
      <sheetName val="1.설계조건"/>
      <sheetName val="조도계산서 (도서)"/>
      <sheetName val="내역(중앙)"/>
      <sheetName val="관리비비계상"/>
      <sheetName val="경비2내역"/>
      <sheetName val="세부내역"/>
      <sheetName val="운반"/>
      <sheetName val="산출내역서"/>
      <sheetName val="DATA"/>
      <sheetName val="데이타"/>
      <sheetName val="BH-1 (2)"/>
      <sheetName val="예산서"/>
      <sheetName val="현장지지물물량"/>
      <sheetName val="총괄내역서"/>
      <sheetName val="hvac(제어동)"/>
      <sheetName val="우수관매설및 우수받이"/>
      <sheetName val="참조-(1)"/>
      <sheetName val="원가계산서구조조정"/>
      <sheetName val="I.설계조건"/>
      <sheetName val="제안서"/>
      <sheetName val="행정표준(1)"/>
      <sheetName val="행정표준(2)"/>
      <sheetName val="타공종이기"/>
      <sheetName val="공문"/>
      <sheetName val="일반부표"/>
      <sheetName val="대비"/>
      <sheetName val="자료"/>
      <sheetName val="직노"/>
      <sheetName val="설계서(7)"/>
      <sheetName val="예산서(6)"/>
      <sheetName val="터파기및재료"/>
      <sheetName val="초기화면"/>
      <sheetName val="폐기물"/>
      <sheetName val="인원계획"/>
      <sheetName val="오저간내역서"/>
      <sheetName val="전기"/>
      <sheetName val="ITEM"/>
      <sheetName val="INPUT"/>
      <sheetName val="ABUT수량-A1"/>
      <sheetName val="이형관"/>
      <sheetName val="을-ATYPE"/>
      <sheetName val="제1호단위수량"/>
      <sheetName val="횡배위치"/>
      <sheetName val="기초일위"/>
      <sheetName val="시설일위"/>
      <sheetName val="신림자금"/>
      <sheetName val="직공비"/>
      <sheetName val="운반비"/>
      <sheetName val="2000양배"/>
      <sheetName val="11.우각부 보강"/>
      <sheetName val="제출내역 (2)"/>
      <sheetName val="결재갑지"/>
      <sheetName val="4.전기"/>
      <sheetName val="증감내역서"/>
      <sheetName val="11.산출(전열)"/>
      <sheetName val="6.산출(동력)"/>
      <sheetName val="7.산출(TRAY)"/>
      <sheetName val="001"/>
      <sheetName val="을"/>
      <sheetName val="단가대비표"/>
      <sheetName val="현장관리비"/>
      <sheetName val="상-교대(A1-A2)"/>
      <sheetName val="일위대가표"/>
      <sheetName val="견적조건"/>
      <sheetName val="조경"/>
      <sheetName val="간접(90)"/>
      <sheetName val="참조"/>
      <sheetName val="소포내역 (2)"/>
      <sheetName val="노원열병합  건축공사기성내역서"/>
      <sheetName val="보증수수료산출"/>
      <sheetName val="신호등일위대가"/>
      <sheetName val="대전21토목내역서"/>
      <sheetName val="말뚝지지력산정"/>
      <sheetName val="도급-집계"/>
      <sheetName val="사업전망"/>
      <sheetName val="현장업무"/>
      <sheetName val="PIPING"/>
      <sheetName val="MSS 2"/>
      <sheetName val="전주2本1"/>
      <sheetName val="여수토토적"/>
      <sheetName val="구조물수량집계표"/>
      <sheetName val="COVER"/>
      <sheetName val="금융비용"/>
      <sheetName val="앉음벽 (2)"/>
      <sheetName val="6호기"/>
      <sheetName val="접지1종"/>
      <sheetName val="설계내역서"/>
      <sheetName val="여과지동"/>
      <sheetName val="기초자료"/>
      <sheetName val="자재단가"/>
      <sheetName val="Total"/>
      <sheetName val="98지급계획"/>
      <sheetName val="부재예실1월"/>
      <sheetName val="Sheet3"/>
      <sheetName val="실행(1)"/>
      <sheetName val="예산변경원인분석"/>
      <sheetName val="제품원재"/>
      <sheetName val="단가조사-2"/>
      <sheetName val="구조물견적서"/>
      <sheetName val="자재단가비교표"/>
      <sheetName val="건설성적"/>
      <sheetName val="내역(창신)"/>
      <sheetName val="13LPMCC"/>
      <sheetName val="분전반"/>
      <sheetName val="3련 BOX"/>
      <sheetName val="할증"/>
      <sheetName val="코드표"/>
      <sheetName val="프로젝트"/>
      <sheetName val="2.1  노무비 평균단가산출"/>
      <sheetName val="경비"/>
      <sheetName val="ancillary"/>
      <sheetName val="명세서"/>
      <sheetName val="A-4"/>
      <sheetName val="인부노임"/>
      <sheetName val="전체"/>
      <sheetName val="I一般比"/>
      <sheetName val="내역_ver1.0"/>
      <sheetName val="적용표"/>
      <sheetName val="재료비"/>
      <sheetName val="보고서 기기리스트"/>
      <sheetName val="단가산출"/>
      <sheetName val="품셈"/>
      <sheetName val="토목주소"/>
      <sheetName val="역T형옹벽단위수량"/>
      <sheetName val="연결임시"/>
      <sheetName val="5호광장_(만점)"/>
      <sheetName val="인천국제_(만점)_(2)"/>
      <sheetName val="Total_단위경유량집계"/>
      <sheetName val="준검_내역서"/>
      <sheetName val="토공유동표(전체_당초)"/>
      <sheetName val="1_수인터널"/>
      <sheetName val="시멘트"/>
      <sheetName val="WORK"/>
      <sheetName val="소야공정계획표"/>
      <sheetName val="plan&amp;section of foundation"/>
      <sheetName val="pile bearing capa &amp; arrenge"/>
      <sheetName val="working load at the btm ft."/>
      <sheetName val="stability check"/>
      <sheetName val="design criteria"/>
      <sheetName val="간접비계산"/>
      <sheetName val="적용단가"/>
      <sheetName val="분뇨"/>
      <sheetName val="Resource2"/>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날개벽수량표"/>
      <sheetName val="일용노임단가"/>
      <sheetName val="일위대가목록"/>
      <sheetName val="마산방향"/>
      <sheetName val="진주방향"/>
      <sheetName val="전기내역서(총계)"/>
      <sheetName val="입력데이타"/>
      <sheetName val="일위대가(1)"/>
      <sheetName val="토목내역"/>
      <sheetName val="사급자재"/>
      <sheetName val="기계공사"/>
      <sheetName val="7. 현장관리비 "/>
      <sheetName val="6. 안전관리비"/>
      <sheetName val="봉양~조차장간고하개명(신설)"/>
      <sheetName val="원계약고시공및준비구분"/>
      <sheetName val="99월별경비계획"/>
      <sheetName val="토공A"/>
      <sheetName val="자재단가표"/>
      <sheetName val="spc 배관견적"/>
      <sheetName val="Macro1"/>
      <sheetName val="_HIT__HMC 견적_3900_"/>
      <sheetName val="금호"/>
      <sheetName val="원가"/>
      <sheetName val="설계예산서"/>
      <sheetName val="ilch"/>
      <sheetName val="간이영수증"/>
      <sheetName val="산출내역서집계표"/>
      <sheetName val="측구터파기공수량집계"/>
      <sheetName val="배수공 시멘트 및 골재량 산출"/>
      <sheetName val="EBSDATA"/>
      <sheetName val="기초수량집"/>
      <sheetName val="type-F"/>
      <sheetName val="일위대가(가설)"/>
      <sheetName val="용소리교"/>
      <sheetName val="토목"/>
      <sheetName val="배수내역"/>
      <sheetName val="배수내역 (2)"/>
      <sheetName val="Macro(차단기)"/>
      <sheetName val="교량"/>
      <sheetName val="플랜트 설치"/>
      <sheetName val="내   역"/>
      <sheetName val="일위집계(기존)"/>
      <sheetName val="갑지"/>
      <sheetName val="조건표"/>
      <sheetName val=" HIT-&gt;HMC 견적(3900)"/>
      <sheetName val="lee"/>
      <sheetName val="집계표소트"/>
      <sheetName val="정산내역"/>
      <sheetName val="C97상"/>
      <sheetName val="8설7발"/>
      <sheetName val="현금흐름"/>
      <sheetName val="결과조달"/>
      <sheetName val="인사자료총집계"/>
      <sheetName val="설계"/>
      <sheetName val="내역원본"/>
      <sheetName val="INPUT-DATA"/>
      <sheetName val="투찰추정"/>
      <sheetName val="검토"/>
      <sheetName val="동방설계서"/>
      <sheetName val="JUCKEYK"/>
      <sheetName val="1.취수장"/>
      <sheetName val="99-0002"/>
      <sheetName val="A 견적"/>
      <sheetName val="전기일위목록"/>
      <sheetName val="내역(가지)"/>
      <sheetName val="입력"/>
      <sheetName val="데리네이타현황"/>
      <sheetName val="예산총괄"/>
      <sheetName val="공사원가계산서"/>
      <sheetName val="추가예산"/>
      <sheetName val="별첨1-임식"/>
      <sheetName val="기본자료"/>
      <sheetName val="부속동"/>
      <sheetName val="APT"/>
      <sheetName val="구간별관경"/>
      <sheetName val="소비자가"/>
      <sheetName val="원가+내역"/>
      <sheetName val="bearing"/>
      <sheetName val="광산내역"/>
      <sheetName val="중기비"/>
      <sheetName val="총괄-1"/>
      <sheetName val="신천3호용수로"/>
      <sheetName val="70%"/>
      <sheetName val="TYPE-A"/>
      <sheetName val="Cash Flow-1"/>
      <sheetName val="EUPDAT2"/>
      <sheetName val="3.1공사현황 공정표"/>
      <sheetName val="가격조사서"/>
      <sheetName val="검암내역"/>
      <sheetName val="단가조사표"/>
      <sheetName val="내역표지"/>
      <sheetName val="중기일위대가"/>
      <sheetName val="01AC"/>
      <sheetName val="정화조내역"/>
      <sheetName val="물량표S"/>
      <sheetName val="소방사항"/>
      <sheetName val="단가집"/>
      <sheetName val="일위"/>
      <sheetName val="장비단가표"/>
      <sheetName val="asd"/>
      <sheetName val="Customer Databas"/>
      <sheetName val="CORE#2"/>
      <sheetName val="공통가설"/>
      <sheetName val="200"/>
      <sheetName val="SLAB"/>
      <sheetName val="d118"/>
      <sheetName val="전기실-1"/>
      <sheetName val="설계서(본관)"/>
      <sheetName val="백암비스타내역"/>
      <sheetName val="단가조건(02년)"/>
      <sheetName val="기성내역"/>
      <sheetName val="unit 4"/>
      <sheetName val="견적서"/>
      <sheetName val="기초코드"/>
      <sheetName val="편입토지조서"/>
      <sheetName val="배수통관(좌)"/>
      <sheetName val="건축공사"/>
      <sheetName val="부대내역"/>
      <sheetName val="6PILE  (돌출)"/>
      <sheetName val="바닥판"/>
      <sheetName val="입력DATA"/>
      <sheetName val="SHEET PILE단가"/>
      <sheetName val="수정2"/>
      <sheetName val="갑지(추정)"/>
      <sheetName val="b_balju"/>
      <sheetName val="목차 "/>
      <sheetName val="화재 탐지 설비"/>
      <sheetName val="현장관리비참조"/>
      <sheetName val="전기일위대가"/>
      <sheetName val="전 기"/>
      <sheetName val="관급자재"/>
      <sheetName val="물량표"/>
      <sheetName val="FM"/>
      <sheetName val="세골재  T2 변경 현황"/>
      <sheetName val="유림골조"/>
      <sheetName val="재집"/>
      <sheetName val="총"/>
      <sheetName val="오산갈곳"/>
      <sheetName val="PAINT"/>
      <sheetName val="정리계획CF평가"/>
      <sheetName val="설 계"/>
      <sheetName val="전라자금"/>
      <sheetName val="기기리스트"/>
      <sheetName val="시설물일위"/>
      <sheetName val="Y-WORK"/>
      <sheetName val="공기압축기실"/>
      <sheetName val="원도급"/>
      <sheetName val="하도급"/>
      <sheetName val="전체_1설계"/>
      <sheetName val="중기"/>
      <sheetName val="파일구성"/>
      <sheetName val="유입량"/>
      <sheetName val="증감분석"/>
      <sheetName val="투입내역"/>
      <sheetName val="접속도로1"/>
      <sheetName val="공사비총괄"/>
      <sheetName val="BH_1 _2_"/>
      <sheetName val="원가총괄"/>
      <sheetName val="귀래 설계 공내역서"/>
      <sheetName val="전기공사"/>
      <sheetName val="EQT-ESTN"/>
      <sheetName val="계수시트"/>
      <sheetName val="청천내"/>
      <sheetName val="입찰"/>
      <sheetName val="현경"/>
      <sheetName val="Sheet5"/>
      <sheetName val="재료값"/>
      <sheetName val="내역서1"/>
      <sheetName val="WING3"/>
      <sheetName val="전입"/>
      <sheetName val="퇴직금(울산천상)"/>
      <sheetName val="장비"/>
      <sheetName val="노무"/>
      <sheetName val="1.설계기준"/>
      <sheetName val="한전일위"/>
      <sheetName val="101동"/>
      <sheetName val="단가(적용)"/>
      <sheetName val="SUMMARY(S)"/>
      <sheetName val="노임이"/>
      <sheetName val="기본일위"/>
      <sheetName val="모델명"/>
      <sheetName val="수량산출"/>
      <sheetName val="설치"/>
      <sheetName val="지불내역(자재외)"/>
      <sheetName val="PAY"/>
      <sheetName val="주관사업"/>
      <sheetName val="정렬"/>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일위대가목차"/>
      <sheetName val="공정증감대ㅈ표"/>
      <sheetName val="SG"/>
      <sheetName val="시설물기초"/>
      <sheetName val="예가표"/>
      <sheetName val="안정계산"/>
      <sheetName val="단면검토"/>
      <sheetName val="2000년하반기"/>
      <sheetName val="노임 단가"/>
      <sheetName val="#2_일위대가목록"/>
      <sheetName val="직재"/>
      <sheetName val="전동기"/>
      <sheetName val="일위대가(집계)"/>
      <sheetName val="1유리"/>
      <sheetName val="공통단가"/>
      <sheetName val="수량산출서집계(1-4차)"/>
      <sheetName val="수지예산"/>
      <sheetName val="저장소"/>
      <sheetName val="내역집계"/>
      <sheetName val="재료"/>
      <sheetName val="직접경비호표"/>
      <sheetName val="합계"/>
      <sheetName val="내역서 "/>
      <sheetName val="실행"/>
      <sheetName val="8.현장관리비"/>
      <sheetName val="7.안전관리비"/>
      <sheetName val="부서코드표"/>
      <sheetName val="1안"/>
      <sheetName val="BQ"/>
      <sheetName val="집계및폼"/>
      <sheetName val="04_10_11"/>
      <sheetName val="재개발"/>
      <sheetName val="조경수목"/>
      <sheetName val="퇴직공제부금"/>
      <sheetName val="평균노임"/>
      <sheetName val="분석"/>
      <sheetName val="시운전연료비"/>
      <sheetName val="골조시행"/>
      <sheetName val="시운전연료"/>
      <sheetName val="입찰보고"/>
      <sheetName val="중기사용료산출근거"/>
      <sheetName val="단가산출1"/>
      <sheetName val="협력업체"/>
      <sheetName val="코드1"/>
      <sheetName val="코드2"/>
      <sheetName val="원가서"/>
      <sheetName val="덕전리"/>
      <sheetName val="실행(ALT1)"/>
      <sheetName val="개인별 순위표"/>
      <sheetName val="INDEX"/>
      <sheetName val="프랜트면허"/>
      <sheetName val="냉천부속동"/>
      <sheetName val="네고율"/>
      <sheetName val="인건비"/>
      <sheetName val="6공구(당초)"/>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ELEC"/>
      <sheetName val="(1)본선수량집계"/>
      <sheetName val="비주거용"/>
      <sheetName val="손익분석"/>
      <sheetName val="Macro(전선)"/>
      <sheetName val="POL6차-PIPING"/>
      <sheetName val="1,2,3,4,5단위수량"/>
      <sheetName val="Sheet2"/>
      <sheetName val="계산표지"/>
      <sheetName val="노임변동률"/>
      <sheetName val="개산공사비"/>
      <sheetName val="기계실냉난방"/>
      <sheetName val="분전반일위대가"/>
      <sheetName val="별표 "/>
      <sheetName val="3.공통공사대비"/>
      <sheetName val="sub"/>
      <sheetName val="자금청구"/>
      <sheetName val="Sheet4"/>
      <sheetName val="단중표"/>
      <sheetName val="7"/>
      <sheetName val="投标材料清单 "/>
      <sheetName val="환율change"/>
      <sheetName val="당초"/>
      <sheetName val="단가표"/>
      <sheetName val="시화점실행"/>
      <sheetName val="자재co"/>
      <sheetName val="자료입력"/>
      <sheetName val="적용단위길이"/>
      <sheetName val="전기혼잡제경비(45)"/>
      <sheetName val="중사"/>
      <sheetName val="재료비단가"/>
      <sheetName val="결재란"/>
      <sheetName val="관공일위대가"/>
      <sheetName val="관자재"/>
      <sheetName val="단가 및 재료비"/>
      <sheetName val="관접합및자재집계표"/>
      <sheetName val="검색방"/>
      <sheetName val="업체자료"/>
      <sheetName val="MILL"/>
      <sheetName val="9GNG운반"/>
      <sheetName val="공사비집계"/>
      <sheetName val="제노임"/>
      <sheetName val="연습"/>
      <sheetName val="장비단가"/>
      <sheetName val="철거산출근거"/>
      <sheetName val="CODE"/>
      <sheetName val="공량산출서"/>
      <sheetName val="도담구내 개소별 명세"/>
      <sheetName val="98수문일위"/>
      <sheetName val="원형1호맨홀토공수량"/>
      <sheetName val="내역서비교"/>
      <sheetName val="대림경상68억"/>
      <sheetName val="지구단위계획"/>
      <sheetName val="단가산출서"/>
      <sheetName val="남양내역"/>
      <sheetName val="MAIN_TABLE"/>
      <sheetName val="대공종"/>
      <sheetName val="집 계 표"/>
      <sheetName val="AS복구"/>
      <sheetName val="중기터파기"/>
      <sheetName val="변수값"/>
      <sheetName val="중기상차"/>
      <sheetName val="코드"/>
      <sheetName val="인원"/>
      <sheetName val="교각계산"/>
      <sheetName val="건축"/>
      <sheetName val="미드수량"/>
      <sheetName val="부대공(BOQ)"/>
      <sheetName val="기별(종합)"/>
      <sheetName val="가설건물"/>
      <sheetName val="평3"/>
      <sheetName val="옥내소화전계산서"/>
      <sheetName val="입찰견적보고서"/>
      <sheetName val="자동제어"/>
      <sheetName val="공사비총괄표"/>
      <sheetName val="CC16-내역서"/>
      <sheetName val="RETAIL (ABOVE)"/>
      <sheetName val="TCDB"/>
      <sheetName val="5. 현장관리비(new) "/>
      <sheetName val="원본"/>
      <sheetName val="손익차9월2"/>
      <sheetName val="득점현황"/>
      <sheetName val="품목납기"/>
      <sheetName val="인천제철"/>
      <sheetName val="집계장(대목_실행)"/>
      <sheetName val="건축내역서"/>
      <sheetName val="단가조사서"/>
      <sheetName val="준공정산"/>
      <sheetName val="상수도토공집계표"/>
      <sheetName val="MSS_2"/>
      <sheetName val="일위대가표48"/>
      <sheetName val="10공구일위"/>
      <sheetName val="목차"/>
      <sheetName val="소화실적"/>
      <sheetName val="7.공정표"/>
      <sheetName val="단면 (2)"/>
      <sheetName val="간접비(1)"/>
      <sheetName val="횡배수관토공수량"/>
      <sheetName val="코드일람표2001년10월"/>
      <sheetName val="세부추진"/>
      <sheetName val="상용보강"/>
      <sheetName val="제잡비"/>
      <sheetName val="개요"/>
      <sheetName val="TOT"/>
      <sheetName val="단면가정"/>
      <sheetName val="공사비산출내역"/>
      <sheetName val="직접비"/>
      <sheetName val="암거"/>
      <sheetName val="현금예금"/>
      <sheetName val="울산자금"/>
      <sheetName val="SHEET"/>
      <sheetName val="장비비 명세서1"/>
      <sheetName val="2000노임기준"/>
      <sheetName val="제수변 수량집계표(보통)"/>
      <sheetName val="사유서제출현황-2"/>
      <sheetName val="철근량"/>
      <sheetName val="INSTR"/>
      <sheetName val="#3_일위대가목록"/>
      <sheetName val="심사물량"/>
      <sheetName val="노임단가 (2)"/>
      <sheetName val="단가(반정1교-원주)"/>
      <sheetName val="시중노임단가"/>
      <sheetName val="주beam"/>
      <sheetName val="토공계산서(부체도로)"/>
      <sheetName val="제경비산출서"/>
      <sheetName val="ITB COST"/>
      <sheetName val="SHL"/>
      <sheetName val="실행내역서(DCU)"/>
      <sheetName val="단가적용"/>
      <sheetName val="수량집계"/>
      <sheetName val="대치판정"/>
      <sheetName val="DHEQSUPT"/>
      <sheetName val="토사(PE)"/>
      <sheetName val="김해토지조서"/>
      <sheetName val="투찰가"/>
      <sheetName val="1공구(입찰내역)"/>
      <sheetName val="구의33고"/>
      <sheetName val="유림총괄"/>
      <sheetName val="N賃率_職"/>
      <sheetName val="기본단가"/>
      <sheetName val="일위_파일"/>
      <sheetName val="이토변실(A3-LINE)"/>
      <sheetName val="식재인부"/>
      <sheetName val="실행대비"/>
      <sheetName val="몰탈"/>
      <sheetName val="용수간선"/>
      <sheetName val="현장별"/>
      <sheetName val=""/>
      <sheetName val="공사수행방안"/>
      <sheetName val="BJJIN"/>
      <sheetName val="1단계"/>
      <sheetName val="확정분요약"/>
      <sheetName val="확정분세부"/>
      <sheetName val="48평단가"/>
      <sheetName val="57단가"/>
      <sheetName val="54평단가"/>
      <sheetName val="66평단가"/>
      <sheetName val="61단가"/>
      <sheetName val="89평단가"/>
      <sheetName val="84평단가"/>
      <sheetName val="현장관리비데이타"/>
      <sheetName val="Sheet1 (2)"/>
      <sheetName val="단   산"/>
      <sheetName val="실    단"/>
      <sheetName val="96수출"/>
      <sheetName val="내역서을지"/>
      <sheetName val="도실건시"/>
      <sheetName val="암거 제원표"/>
      <sheetName val="신고조서"/>
      <sheetName val="EJ"/>
      <sheetName val="맨홀토공"/>
      <sheetName val="맨홀수량산출"/>
      <sheetName val="현관"/>
      <sheetName val="HVAC"/>
      <sheetName val="CODE1"/>
      <sheetName val="금리계산"/>
      <sheetName val="콘크리트타설집계표"/>
      <sheetName val="도수로현황"/>
      <sheetName val="중기사용료"/>
      <sheetName val="산식3"/>
      <sheetName val="일정"/>
      <sheetName val="일위단가"/>
      <sheetName val="점수계산1-2"/>
      <sheetName val="실행(표지,갑,을)"/>
      <sheetName val="도급FORM"/>
      <sheetName val="통신물량"/>
      <sheetName val="기본"/>
      <sheetName val="본사공가현황"/>
      <sheetName val="동해title"/>
      <sheetName val="MSS"/>
      <sheetName val="정화조"/>
      <sheetName val="VE절감"/>
      <sheetName val="청주(철골발주의뢰서)"/>
      <sheetName val="분전함신설"/>
      <sheetName val="차수"/>
      <sheetName val="일위총괄"/>
      <sheetName val="하중계산"/>
      <sheetName val="인부신상자료"/>
      <sheetName val="관리,공감"/>
      <sheetName val="Sheet6"/>
      <sheetName val="인력터파기"/>
      <sheetName val="월별수입"/>
      <sheetName val="공통(20-91)"/>
      <sheetName val="제품목록"/>
      <sheetName val="Macro3"/>
      <sheetName val="guard(mac)"/>
      <sheetName val="2.대외공문"/>
      <sheetName val="적용환율"/>
      <sheetName val="공정코드"/>
      <sheetName val="3BL공동구 수량"/>
      <sheetName val="전선 및 전선관"/>
      <sheetName val="공조기"/>
      <sheetName val="실지수기호표"/>
      <sheetName val="위치"/>
      <sheetName val="-배수구조총재료"/>
      <sheetName val="본사인상전"/>
      <sheetName val="이월"/>
      <sheetName val="입력정보"/>
      <sheetName val="단가비교"/>
      <sheetName val="Eq. Mobilization"/>
      <sheetName val="가시설단위수량"/>
      <sheetName val="건축2"/>
      <sheetName val="제품정보"/>
      <sheetName val="상품수불(합산)"/>
      <sheetName val=" 갑지"/>
      <sheetName val="학생내역"/>
      <sheetName val="표준건축비"/>
      <sheetName val="기안"/>
      <sheetName val="2련간지"/>
      <sheetName val="5.동별횡주관경"/>
      <sheetName val="장비 (2)"/>
      <sheetName val="APT내역"/>
      <sheetName val="부대시설"/>
      <sheetName val="Sheet17"/>
      <sheetName val="재료비노무비"/>
      <sheetName val="LF자재단가"/>
      <sheetName val="가설식당"/>
      <sheetName val="자동세륜기"/>
      <sheetName val="sw1"/>
      <sheetName val="산출"/>
      <sheetName val="소방"/>
      <sheetName val="예산코드"/>
      <sheetName val="Baby일위대가"/>
      <sheetName val="간접"/>
      <sheetName val="기계실"/>
      <sheetName val="입력데이타(비인쇄용)"/>
      <sheetName val="COST"/>
      <sheetName val="조작대(1연)"/>
      <sheetName val="위치조서"/>
      <sheetName val="정산을지"/>
      <sheetName val="6. 수량산출서"/>
      <sheetName val="A1"/>
      <sheetName val="일위(시설)"/>
      <sheetName val="노무비 근거"/>
      <sheetName val="단가조사"/>
      <sheetName val="5호광장_(만점)1"/>
      <sheetName val="인천국제_(만점)_(2)1"/>
      <sheetName val="Total_단위경유량집계1"/>
      <sheetName val="준검_내역서1"/>
      <sheetName val="토공유동표(전체_당초)1"/>
      <sheetName val="BH-1_(2)1"/>
      <sheetName val="1_수인터널1"/>
      <sheetName val="4_전기1"/>
      <sheetName val="표__지1"/>
      <sheetName val="앉음벽_(2)1"/>
      <sheetName val="1_설계조건1"/>
      <sheetName val="조도계산서_(도서)1"/>
      <sheetName val="노원열병합__건축공사기성내역서1"/>
      <sheetName val="I_설계조건1"/>
      <sheetName val="MSS_21"/>
      <sheetName val="2_1__노무비_평균단가산출"/>
      <sheetName val="우수관매설및_우수받이1"/>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보고서_기기리스트"/>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범례표"/>
      <sheetName val="옥외외등집계표"/>
      <sheetName val="대운반(철재)"/>
      <sheetName val="원가입력"/>
      <sheetName val="기준"/>
      <sheetName val="전산망"/>
      <sheetName val="일위대_x0000__x0000_Ԁ_x0000_䀀"/>
      <sheetName val="골조"/>
      <sheetName val="현장경비"/>
      <sheetName val="CM 1"/>
      <sheetName val="일위산출근거"/>
      <sheetName val="수량산출서 (2)"/>
      <sheetName val="목록"/>
      <sheetName val="일위대가집계"/>
      <sheetName val="동물이동통로"/>
      <sheetName val="재적표"/>
      <sheetName val="일위대가1"/>
      <sheetName val="2"/>
      <sheetName val="양식_자재단가조사표"/>
      <sheetName val="내역서(100%)"/>
      <sheetName val="新철폐복2"/>
      <sheetName val="新철폐복3"/>
      <sheetName val="新철폐복"/>
      <sheetName val="집계표(육상)"/>
      <sheetName val="목록표"/>
      <sheetName val="95MAKER"/>
      <sheetName val="구성비"/>
      <sheetName val="B"/>
      <sheetName val="5사남"/>
      <sheetName val="효율표"/>
      <sheetName val="일위대㐀븁_x0000__x0000_退"/>
      <sheetName val="wall"/>
      <sheetName val="일위대가 "/>
      <sheetName val="1ST"/>
      <sheetName val="4 LINE"/>
      <sheetName val="7 th"/>
      <sheetName val="CTEMCOST"/>
      <sheetName val="ELECTRIC"/>
      <sheetName val="SCHEDULE"/>
      <sheetName val="I_설계조_x0000_"/>
      <sheetName val="수량명세서"/>
      <sheetName val="조도계산서_(도서_x0000_"/>
      <sheetName val="기성(1차) "/>
      <sheetName val="NOMUBI"/>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참조 (2)"/>
      <sheetName val="유치원내역"/>
      <sheetName val="비교1"/>
      <sheetName val="에어샵공사"/>
      <sheetName val="Sheet16"/>
      <sheetName val="견내"/>
      <sheetName val="esc"/>
      <sheetName val="부총"/>
      <sheetName val="수량산출서집계"/>
      <sheetName val="맨홀수량"/>
      <sheetName val="노무비"/>
      <sheetName val="자재"/>
      <sheetName val="산근1"/>
      <sheetName val="내역서1999.8최종"/>
      <sheetName val="투찰"/>
      <sheetName val="수문일1"/>
      <sheetName val="장비집계"/>
      <sheetName val="토공 total"/>
      <sheetName val="공기압舓⿫_x0005_"/>
      <sheetName val="공기압妐&quot;姜"/>
      <sheetName val="토공(1)"/>
      <sheetName val="준공조서갑지"/>
      <sheetName val="일위대가(계측기설치)"/>
      <sheetName val="04변경-상하"/>
      <sheetName val="설계서"/>
      <sheetName val="20관리비율"/>
      <sheetName val="1회"/>
      <sheetName val="LIST"/>
      <sheetName val="정산서"/>
      <sheetName val="환경평가"/>
      <sheetName val="계정"/>
      <sheetName val="단위수량"/>
      <sheetName val="조립1부실적"/>
      <sheetName val="재정비내역"/>
      <sheetName val="지적고시내역"/>
      <sheetName val="전철"/>
      <sheetName val="관경별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아파트 "/>
      <sheetName val="일위CODE"/>
      <sheetName val="콘_재료분리(1)"/>
      <sheetName val="1.CB"/>
      <sheetName val="변수"/>
      <sheetName val="형상"/>
      <sheetName val="보고서_기기리스트1"/>
      <sheetName val="상반기손익차2총괄"/>
      <sheetName val="NNV"/>
      <sheetName val="변경명신물량 (2)"/>
      <sheetName val="수배전(갑)"/>
      <sheetName val="감가상각비대체내역"/>
      <sheetName val="수우미양가(Vlookup)"/>
      <sheetName val="CON'C"/>
      <sheetName val="간접비"/>
      <sheetName val="전사 (2)"/>
      <sheetName val="BA (2)"/>
      <sheetName val="CP (2)"/>
      <sheetName val="시산표"/>
      <sheetName val="토공 토적표"/>
      <sheetName val="골재산출"/>
      <sheetName val="자재단가리스트"/>
      <sheetName val="안정검토"/>
      <sheetName val="실적공사비"/>
      <sheetName val="주bea_xdcf0_"/>
      <sheetName val="견적의뢰서"/>
      <sheetName val="변경내역"/>
      <sheetName val="전압강하자료"/>
      <sheetName val="경비_원본"/>
      <sheetName val="난간벽단위"/>
      <sheetName val="토목내역서"/>
      <sheetName val="포장수량집계"/>
      <sheetName val="인적사항(누적)"/>
      <sheetName val="제1영업소"/>
      <sheetName val="제2영업소"/>
      <sheetName val="제3영업소"/>
      <sheetName val="apt수량"/>
      <sheetName val="현금"/>
      <sheetName val="첨부1"/>
      <sheetName val="F4-F7"/>
      <sheetName val="포장(수량)-관로부"/>
      <sheetName val="마스터원본"/>
      <sheetName val="접속도수량집계표"/>
      <sheetName val="전기단가조사서"/>
      <sheetName val="인건-측정"/>
      <sheetName val="단위중량"/>
      <sheetName val="가시설(TYPE-A)"/>
      <sheetName val="1-1평균터파기고(1)"/>
      <sheetName val="날개수집"/>
      <sheetName val="REDUCER"/>
      <sheetName val="WE'T"/>
      <sheetName val="식음료"/>
      <sheetName val="각종양식"/>
      <sheetName val="&lt;--"/>
      <sheetName val="현황산출서"/>
      <sheetName val="현장조사"/>
      <sheetName val="갑지.을지"/>
      <sheetName val="기타"/>
      <sheetName val="K1자재(3차등)"/>
      <sheetName val="제수변수량"/>
      <sheetName val="하수급견적대비"/>
      <sheetName val="일위대가목록표"/>
      <sheetName val="지급자재"/>
      <sheetName val="교대(A1)"/>
      <sheetName val="J"/>
      <sheetName val="간지"/>
      <sheetName val="세목별"/>
      <sheetName val="예산조서(전송)"/>
      <sheetName val="MIJIBI"/>
      <sheetName val="0Title"/>
      <sheetName val="할빙수"/>
      <sheetName val="조직"/>
      <sheetName val="울산자동제어"/>
      <sheetName val="기성갑지"/>
      <sheetName val="I_설계조多"/>
      <sheetName val="한일양산"/>
      <sheetName val="2-2.매출분석"/>
      <sheetName val="투찰(하수)"/>
      <sheetName val="다곡2교"/>
      <sheetName val="집계"/>
      <sheetName val="기준액"/>
      <sheetName val="간접경상비"/>
      <sheetName val="월별손익"/>
      <sheetName val="PI"/>
      <sheetName val="건축공사실행"/>
      <sheetName val="건축원가"/>
      <sheetName val="내역서2안"/>
      <sheetName val="물량내역서"/>
      <sheetName val="수목표준대가"/>
      <sheetName val="기초목"/>
      <sheetName val="database"/>
      <sheetName val="Scenario"/>
      <sheetName val="자재집계"/>
      <sheetName val="건축원가계산서"/>
      <sheetName val="설명서 "/>
      <sheetName val="FACTOR"/>
      <sheetName val="유효폭의 계산"/>
      <sheetName val="FAB별"/>
      <sheetName val="사업부구분코드"/>
      <sheetName val="급,배기팬"/>
      <sheetName val="(당평)자재"/>
      <sheetName val="05년 상"/>
      <sheetName val="영흥TL(UP,DOWN) "/>
      <sheetName val="덤프트럭계수"/>
      <sheetName val="내역1"/>
      <sheetName val="견적시담(송포2공구)"/>
      <sheetName val="조경수량"/>
      <sheetName val="건축집계"/>
      <sheetName val="송전기본"/>
      <sheetName val="물류최종8월7"/>
      <sheetName val="부대대비"/>
      <sheetName val="냉연집계"/>
      <sheetName val="15100"/>
      <sheetName val="데이터유효성검사자료"/>
      <sheetName val="설-원가"/>
      <sheetName val="임차비용"/>
      <sheetName val="미납품 현황"/>
      <sheetName val="단양 00 아파트-세부내역"/>
      <sheetName val="95년12월말"/>
      <sheetName val="H-pile(298x299)"/>
      <sheetName val="H-pile(250x250)"/>
      <sheetName val="선정요령"/>
      <sheetName val="GDP"/>
      <sheetName val="기존단가 (2)"/>
      <sheetName val="대_x0000__x0000_"/>
      <sheetName val="실_인건비(5월부터)"/>
      <sheetName val="현장별정리"/>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일일입력"/>
      <sheetName val="품목등록"/>
      <sheetName val="표지 (2)"/>
      <sheetName val="을부담운반비"/>
      <sheetName val="수정계획3"/>
      <sheetName val="자갈,시멘트,모래산출"/>
      <sheetName val="2분기"/>
      <sheetName val="예산실적전체당월"/>
      <sheetName val="화설내"/>
      <sheetName val=" 견적서"/>
      <sheetName val="만년달력"/>
      <sheetName val="부하LOAD"/>
      <sheetName val="설계내역(2001)"/>
      <sheetName val="전도품의"/>
      <sheetName val="담보"/>
      <sheetName val="시추조사비"/>
      <sheetName val="보할"/>
      <sheetName val="배수관연장조서"/>
      <sheetName val="수량계산"/>
      <sheetName val="일위산출"/>
      <sheetName val="개요2"/>
      <sheetName val="자재테이블"/>
      <sheetName val="건축공사집계"/>
      <sheetName val="일위1"/>
      <sheetName val="하조서"/>
      <sheetName val="2002상반기노임기준"/>
      <sheetName val="STEEL BOX 단면설계(SEC.8)"/>
      <sheetName val="S0"/>
      <sheetName val="집계장"/>
      <sheetName val="종단계산"/>
      <sheetName val="제조노임"/>
      <sheetName val="인입관수량총괄"/>
      <sheetName val="용산1(해보)"/>
      <sheetName val="영업소실적"/>
      <sheetName val="자격 땡겨오기"/>
      <sheetName val="11"/>
      <sheetName val="JUCK"/>
      <sheetName val="내역_verᔈ_x0000__x0000_"/>
      <sheetName val="계산_x0000__x0000_"/>
      <sheetName val="우석문틀"/>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결재_x0000_"/>
      <sheetName val="직접뀀鞖/_x0000_"/>
      <sheetName val="수완하도"/>
      <sheetName val="김포내역"/>
      <sheetName val="일위대"/>
      <sheetName val="일위대㐀븁"/>
      <sheetName val=" FURNACE현설"/>
      <sheetName val="97 사업추정(WEKI)"/>
      <sheetName val="코_x0000_"/>
      <sheetName val="LD"/>
      <sheetName val="현장실사자료"/>
      <sheetName val="학익동신동아5차CD365"/>
      <sheetName val="6__안전관慨⻥"/>
      <sheetName val="기타#9"/>
      <sheetName val="원료"/>
      <sheetName val="WEON"/>
      <sheetName val="단가조사-1"/>
      <sheetName val="갑지_설계 내역서"/>
      <sheetName val="판정1교토공"/>
      <sheetName val="2.단면가정 (양곡1교)"/>
      <sheetName val="관급현황"/>
      <sheetName val="기술조건"/>
      <sheetName val="1.내역(청.하역장전등)"/>
      <sheetName val="기계"/>
      <sheetName val="램머"/>
      <sheetName val="1,2,3,4_x0000__x0000_界Þ多⽬"/>
      <sheetName val="1,2,3,4_x0005__x0000__x0000__x0000__x0000_"/>
      <sheetName val="기본설계기준"/>
      <sheetName val="산출근거#2-3"/>
      <sheetName val="설계명세"/>
      <sheetName val="매입"/>
      <sheetName val="건명"/>
      <sheetName val="수자재단위당"/>
      <sheetName val="수계"/>
      <sheetName val="토지가격산출기초"/>
      <sheetName val="공시지가"/>
      <sheetName val="인원계획-미화"/>
      <sheetName val="안산기계장치"/>
      <sheetName val="토목도급"/>
      <sheetName val="점유현황"/>
      <sheetName val="10"/>
      <sheetName val="12"/>
      <sheetName val="13"/>
      <sheetName val="14"/>
      <sheetName val="15"/>
      <sheetName val="16"/>
      <sheetName val="3"/>
      <sheetName val="4"/>
      <sheetName val="5"/>
      <sheetName val="6"/>
      <sheetName val="8"/>
      <sheetName val="9"/>
      <sheetName val="설변단가적용현황"/>
      <sheetName val="변경내역서"/>
      <sheetName val="미장"/>
      <sheetName val="철골"/>
      <sheetName val="일반수량총괄집계"/>
      <sheetName val="매출그래프"/>
      <sheetName val="7_산출(⠀榅弁䘿_x0000_"/>
      <sheetName val="수량산출서 갑지"/>
      <sheetName val="과업지시서"/>
      <sheetName val="단가비교표_공통1"/>
      <sheetName val="8.PILE  (돌출)"/>
      <sheetName val="보활"/>
      <sheetName val="집행(2-1)"/>
      <sheetName val="Xunit (단위환산)"/>
      <sheetName val="4. VOs summary"/>
      <sheetName val="125x125"/>
      <sheetName val="예총"/>
      <sheetName val="SEX"/>
      <sheetName val="Quantity"/>
      <sheetName val="TOSHIBA-Structure"/>
      <sheetName val="장비코드표 050601"/>
      <sheetName val="2007년 생산1부장비"/>
      <sheetName val="2008년 생산부전장비코드"/>
      <sheetName val="DDB부 장비 관리현황"/>
      <sheetName val="돈암사업"/>
      <sheetName val="DATA LISTS"/>
      <sheetName val="Chiet tinh dz35"/>
      <sheetName val="RATE"/>
      <sheetName val="8.설치품셈"/>
      <sheetName val="공량·_x0000__x0000_"/>
      <sheetName val="공량×"/>
      <sheetName val="4.2.1 마루높이 검토"/>
      <sheetName val="6동"/>
      <sheetName val="문10"/>
      <sheetName val="시운전"/>
      <sheetName val="시운전绸7"/>
      <sheetName val="재료할증"/>
      <sheetName val="유지정비"/>
      <sheetName val="용역인건비"/>
      <sheetName val="인구"/>
      <sheetName val="TABLE DB"/>
      <sheetName val="쌍용 data base"/>
      <sheetName val="품셈 "/>
      <sheetName val="음성cable"/>
      <sheetName val="M-EMS GP-570(BIT)"/>
      <sheetName val="단가시흥"/>
      <sheetName val="토공(완충)"/>
      <sheetName val="설계예산서(2_소천우회토목)"/>
      <sheetName val="6_산출닑⾱_x0005__x0000_"/>
      <sheetName val="2000.05"/>
      <sheetName val="장문교(대전)"/>
      <sheetName val="일위집계"/>
      <sheetName val="정리계槜〚_x0000__x0000_䇀"/>
      <sheetName val="요율표"/>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제수문집계"/>
      <sheetName val="신대방33(적용)"/>
      <sheetName val="보고"/>
      <sheetName val="계정1"/>
      <sheetName val="오동"/>
      <sheetName val="대조"/>
      <sheetName val="나한"/>
      <sheetName val="내역서 제출"/>
      <sheetName val="설원"/>
      <sheetName val="수량산출목록표"/>
      <sheetName val="업체별기성내역"/>
      <sheetName val="사진첩"/>
      <sheetName val="3련_B䀀㽚"/>
      <sheetName val="수토공단위당"/>
      <sheetName val="부안변전"/>
      <sheetName val="구조물터파기수량집계"/>
      <sheetName val="조직관리비"/>
      <sheetName val="수선비"/>
      <sheetName val="원가명세"/>
      <sheetName val="사발차명세표"/>
      <sheetName val="손익"/>
      <sheetName val="분개장·원장"/>
      <sheetName val="ASP"/>
      <sheetName val="원_x0000__x0000_"/>
      <sheetName val="[입찰안.xls]직접뀀鞖/_x0000_"/>
      <sheetName val="[입찰안.xls][입찰안.xls]직접뀀鞖/_x0000_"/>
      <sheetName val="7월11일"/>
      <sheetName val="VXXXXXXX"/>
      <sheetName val="design_crit_x0000__x0000__x0005__x0000_"/>
      <sheetName val="주bea?"/>
      <sheetName val="자재기성 신청서.xlsx"/>
      <sheetName val="자단"/>
      <sheetName val="Data&amp;Result"/>
      <sheetName val="시약"/>
      <sheetName val="전기2005"/>
      <sheetName val="통신2005"/>
      <sheetName val="소포내역_x0000__x0000__x0005__x0000_"/>
      <sheetName val="마감산출"/>
      <sheetName val="세부내역서"/>
      <sheetName val="plan&amp;section_of__x0000__x0000__x0005__x0000_冰﹢Ƚ_x0000__x0000__x0000_"/>
      <sheetName val="Bảng mã VT"/>
      <sheetName val="공기압¬_x0000_Ԁ"/>
      <sheetName val="CableSchedule"/>
      <sheetName val="품셈총괄표"/>
      <sheetName val="5호광장_(만점)3"/>
      <sheetName val="인천국제_(만점)_(2)3"/>
      <sheetName val="Total_단위경유량집계3"/>
      <sheetName val="토공유동표(전체_당초)3"/>
      <sheetName val="준검_내역서3"/>
      <sheetName val="BH-1_(2)3"/>
      <sheetName val="4_전기3"/>
      <sheetName val="표__지3"/>
      <sheetName val="1_수인터널3"/>
      <sheetName val="I_설계조건3"/>
      <sheetName val="앉음벽_(2)3"/>
      <sheetName val="노원열병합__건축공사기성내역서3"/>
      <sheetName val="1_설계조건3"/>
      <sheetName val="소포내역_(2)3"/>
      <sheetName val="A_견적2"/>
      <sheetName val="조도계산서_(도서)3"/>
      <sheetName val="MSS_23"/>
      <sheetName val="2_1__노무비_평균단가산출2"/>
      <sheetName val="우수관매설및_우수받이3"/>
      <sheetName val="제출내역_(2)3"/>
      <sheetName val="내역_ver1_03"/>
      <sheetName val="plan&amp;section_of_foundation3"/>
      <sheetName val="pile_bearing_capa_&amp;_arrenge3"/>
      <sheetName val="working_load_at_the_btm_ft_3"/>
      <sheetName val="stability_check3"/>
      <sheetName val="design_criteria3"/>
      <sheetName val="11_우각부_보강3"/>
      <sheetName val="보고서_기기리스트2"/>
      <sheetName val="7__현장관리비_3"/>
      <sheetName val="6__안전관리비3"/>
      <sheetName val="_HIT__HMC_견적_3900_3"/>
      <sheetName val="내___역2"/>
      <sheetName val="플랜트_설치2"/>
      <sheetName val="11_산출(전열)3"/>
      <sheetName val="6_산출(동력)3"/>
      <sheetName val="7_산출(TRAY)3"/>
      <sheetName val="3련_BOX3"/>
      <sheetName val="배수공_시멘트_및_골재량_산출2"/>
      <sheetName val="5_산출(전력)2"/>
      <sheetName val="배수내역_(2)2"/>
      <sheetName val="SHEET_PILE단가2"/>
      <sheetName val="전_기2"/>
      <sheetName val="Customer_Databas2"/>
      <sheetName val="_HIT-&gt;HMC_견적(3900)2"/>
      <sheetName val="세골재__T2_변경_현황2"/>
      <sheetName val="수량산출서(전력간선_지하D_C)2"/>
      <sheetName val="화재_탐지_설비2"/>
      <sheetName val="2차전체변경예정_(2)2"/>
      <sheetName val="6PILE__(돌출)2"/>
      <sheetName val="목차_2"/>
      <sheetName val="귀래_설계_공내역서2"/>
      <sheetName val="unit_42"/>
      <sheetName val="BH_1__2_2"/>
      <sheetName val="8_현장관리비2"/>
      <sheetName val="7_안전관리비2"/>
      <sheetName val="spc_배관견적2"/>
      <sheetName val="1_설계기준2"/>
      <sheetName val="1_취수장2"/>
      <sheetName val="개인별_순위표2"/>
      <sheetName val="내역서_2"/>
      <sheetName val="3_1공사현황_공정표2"/>
      <sheetName val="노임_단가2"/>
      <sheetName val="Cash_Flow-12"/>
      <sheetName val="설_계2"/>
      <sheetName val="도담구내_개소별_명세2"/>
      <sheetName val="별표_2"/>
      <sheetName val="投标材料清单_2"/>
      <sheetName val="3_공통공사대비2"/>
      <sheetName val="집_계_표2"/>
      <sheetName val="RETAIL_(ABOVE)2"/>
      <sheetName val="장비비_명세서12"/>
      <sheetName val="노임단가_(2)2"/>
      <sheetName val="단가_및_재료비2"/>
      <sheetName val="6__수량산출서1"/>
      <sheetName val="참조_(2)1"/>
      <sheetName val="7_공정표2"/>
      <sheetName val="단면_(2)2"/>
      <sheetName val="단___산1"/>
      <sheetName val="실____단1"/>
      <sheetName val="5__현장관리비(new)_2"/>
      <sheetName val="2_대외공문2"/>
      <sheetName val="Eq__Mobilization2"/>
      <sheetName val="제수변_수량집계표(보통)1"/>
      <sheetName val="Sheet1_(2)1"/>
      <sheetName val="수량산출서_(2)"/>
      <sheetName val="노무비_근거1"/>
      <sheetName val="_갑지1"/>
      <sheetName val="장비_(2)1"/>
      <sheetName val="CM_11"/>
      <sheetName val="5_동별횡주관경1"/>
      <sheetName val="전선_및_전선관1"/>
      <sheetName val="3BL공동구_수량1"/>
      <sheetName val="암거_제원표1"/>
      <sheetName val="내역서1999_8최종1"/>
      <sheetName val="기성(1차)_"/>
      <sheetName val="1_CB"/>
      <sheetName val="일위대가_1"/>
      <sheetName val="4_LINE1"/>
      <sheetName val="7_th1"/>
      <sheetName val="공기압舓⿫"/>
      <sheetName val="토공_total"/>
      <sheetName val="토공_토적표"/>
      <sheetName val="아파트_"/>
      <sheetName val="습식및_셀프레벨링1"/>
      <sheetName val="1차_내역서1"/>
      <sheetName val="BSD_(2)"/>
      <sheetName val="바_한일양산"/>
      <sheetName val="Project_Brief"/>
      <sheetName val="영업_일1"/>
      <sheetName val="기기_내역서"/>
      <sheetName val="전사_(2)"/>
      <sheetName val="BA_(2)"/>
      <sheetName val="CP_(2)"/>
      <sheetName val="일위대가56-1_"/>
      <sheetName val="일위대가71-1_"/>
      <sheetName val="일위대가74-1_"/>
      <sheetName val="일위대가76-1_"/>
      <sheetName val="일위대가77-1_"/>
      <sheetName val="일위대가78-1_"/>
      <sheetName val="_소방공사_산출근거"/>
      <sheetName val="갑지_을지"/>
      <sheetName val="변경명신물량_(2)"/>
      <sheetName val="2-2_매출분석"/>
      <sheetName val="설명서_"/>
      <sheetName val="주bea"/>
      <sheetName val="유효폭의_계산"/>
      <sheetName val="STEEL_BOX_단면설계(SEC_8)"/>
      <sheetName val="미납품_현황"/>
      <sheetName val="도담구내_개소별_명柖1"/>
      <sheetName val="danh_muc_vat_tu1"/>
      <sheetName val="Register-BG_NCC1"/>
      <sheetName val="Data_21"/>
      <sheetName val="TB_chính1"/>
      <sheetName val="Steel_pipe1"/>
      <sheetName val="Ref_pipe+Ins1"/>
      <sheetName val="Plastic_pipe1"/>
      <sheetName val="Air_Grilles1"/>
      <sheetName val="Cost_bd-&quot;A&quot;1"/>
      <sheetName val="기존단가_(2)"/>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0.목록1"/>
      <sheetName val="납부서"/>
      <sheetName val="3련_Bꨀ덽"/>
      <sheetName val="working_load_at０ʵŚÃ堠ᴕ_x0000__x0000__x0000__x0000__x0000__x0000_"/>
      <sheetName val="식재"/>
      <sheetName val="시설물"/>
      <sheetName val="식재출력용"/>
      <sheetName val="유지관리"/>
      <sheetName val="조도계산서Å_x0000_Ԁ_x0000__x0000_"/>
      <sheetName val="조도계산서Å_x0000_Ԁ_x0000_耀"/>
      <sheetName val="내역(인테리어 실내)(도급)"/>
      <sheetName val="내역(인테리어 실외)(도급)"/>
      <sheetName val="현장경비(공사금액별)"/>
      <sheetName val="4__VOs_summary"/>
      <sheetName val="Xunit_(단위환산)"/>
      <sheetName val="장비코드표_050601"/>
      <sheetName val="2007년_생산1부장비"/>
      <sheetName val="2008년_생산부전장비코드"/>
      <sheetName val="DDB부_장비_관리현황"/>
      <sheetName val="外構・目次"/>
      <sheetName val="工場棟・目次"/>
      <sheetName val="事務棟・目次"/>
      <sheetName val="gvl"/>
      <sheetName val="電気設備表"/>
      <sheetName val="预算"/>
      <sheetName val="Bảng_mã_VT"/>
      <sheetName val="Chiet_tinh_dz35"/>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받을어음"/>
      <sheetName val="시작"/>
      <sheetName val="투자자산"/>
      <sheetName val="대손상각"/>
      <sheetName val="Translation"/>
      <sheetName val="D &amp; W sizes"/>
      <sheetName val="単価表"/>
      <sheetName val="Gia vat tu"/>
      <sheetName val="DI_ESTI"/>
      <sheetName val="dtct cong"/>
      <sheetName val="HS"/>
      <sheetName val="자격증"/>
      <sheetName val="뚝토공"/>
      <sheetName val="pile_bearing_capa_&amp;_¬웰ﾕ쀀_x0005_"/>
      <sheetName val="pile_bearing_capa_&amp;_¬웰ﾕ_x0000_ﳪ_x0005_"/>
      <sheetName val="9GNG운¼"/>
      <sheetName val="10공-_x0000_Ԁ"/>
      <sheetName val="(원)기흥상갈"/>
      <sheetName val="참조표"/>
      <sheetName val="중기조종사 단위단가"/>
      <sheetName val="Front"/>
      <sheetName val="[입찰안.xls][입찰안.xls][입찰안.xls]B_17"/>
      <sheetName val="[입찰안.xls][입찰안.xls][입찰안.xls]B__5"/>
      <sheetName val="[입찰안.xls][입찰안.xls][입찰안.xls]B__2"/>
      <sheetName val="[입찰안.xls][입찰안.xls][입찰안.xls]B__3"/>
      <sheetName val="[입찰안.xls][입찰안.xls][입찰안.xls]B__4"/>
      <sheetName val="[입찰안.xls][입찰안.xls][입찰안.xls]B__8"/>
      <sheetName val="[입찰안.xls][입찰안.xls][입찰안.xls]B__6"/>
      <sheetName val="[입찰안.xls][입찰안.xls][입찰안.xls]B_25"/>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대차대조표"/>
      <sheetName val="손익계산서"/>
      <sheetName val="이익잉여금"/>
      <sheetName val="상세손익"/>
      <sheetName val="만봉용지매수비(총괄)"/>
      <sheetName val="DHEQ㧈讄䰀漐"/>
      <sheetName val="공사비예산서"/>
      <sheetName val="공사비예"/>
      <sheetName val="b_balju_cho"/>
      <sheetName val="부안일위"/>
      <sheetName val="공사비증감"/>
      <sheetName val="교량전기"/>
      <sheetName val="가로등내역서"/>
      <sheetName val="일위대가(집계_x0000_"/>
      <sheetName val="차량(구)"/>
      <sheetName val="CONCRETE"/>
      <sheetName val="단_x0005__x0000_"/>
      <sheetName val="Gian"/>
      <sheetName val="cal1"/>
      <sheetName val="bqmpaloc"/>
      <sheetName val="수량산출서집계(_x0000__x0000__x0005__x0000_"/>
      <sheetName val="수량산출서집계(_x0000__x0000__x0005__x0000_瞀"/>
      <sheetName val="일위(토,포,부)"/>
      <sheetName val="정리계槜で_x0000__x0000_ｐ"/>
      <sheetName val="정리계槜で_x0000__x0000_㟠"/>
      <sheetName val="토공집계표"/>
      <sheetName val="예산M12A"/>
      <sheetName val="물가시세"/>
      <sheetName val="현우실적"/>
      <sheetName val="장비가동"/>
      <sheetName val="01. DATA"/>
      <sheetName val="BG"/>
      <sheetName val="LEGEND"/>
      <sheetName val="NOTE"/>
      <sheetName val="SCOPE OF WORK"/>
      <sheetName val="IBASE"/>
      <sheetName val="DGCT (01)"/>
      <sheetName val="Chi tiet"/>
      <sheetName val="FitOutConfCentre"/>
      <sheetName val="수량"/>
      <sheetName val="제잡비1"/>
      <sheetName val="PROJ. DATA"/>
      <sheetName val=" Beams Sched "/>
      <sheetName val="발주내역"/>
      <sheetName val="nhôm 1,2mm"/>
      <sheetName val="nhôm 1,4mm"/>
      <sheetName val="견적비교표 (2)"/>
      <sheetName val="작성방법(지우지마세요)"/>
      <sheetName val="결재방(지우지 마세요)"/>
      <sheetName val="적산"/>
      <sheetName val="발주A"/>
      <sheetName val="wbs2차"/>
      <sheetName val="빗물받이(910-510-410)"/>
      <sheetName val="배수로집계"/>
      <sheetName val="[입찰안.xls][입찰안.xls][입찰안.xls]___2"/>
      <sheetName val="할증 "/>
      <sheetName val="eq_data"/>
      <sheetName val="간접비 총괄표"/>
      <sheetName val="현장"/>
      <sheetName val="원가&amp;하도급원가"/>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han tich ca may"/>
      <sheetName val="Chenh lech ca may"/>
      <sheetName val="TLg CN&amp;Laixe"/>
      <sheetName val="TLg CN&amp;Laixe (2)"/>
      <sheetName val="TLg Laitau"/>
      <sheetName val="TLg Laitau (2)"/>
      <sheetName val="0"/>
      <sheetName val="Cọc nhồi"/>
      <sheetName val="SCOPE_OF_WORK"/>
      <sheetName val="Gia VLNCMTC"/>
      <sheetName val="BIDDING-SUM"/>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제품마스터"/>
      <sheetName val="chitiet"/>
      <sheetName val="Config"/>
      <sheetName val="Chiet tinh don gia CM"/>
      <sheetName val="ptvt"/>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Dầm 1"/>
      <sheetName val="So sanh"/>
      <sheetName val="KTCK"/>
      <sheetName val="Sàn T1"/>
      <sheetName val="Lỗ thông gió"/>
      <sheetName val="Sàn tầng 01 ( old )"/>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PS-Labour_M"/>
      <sheetName val="DAF-2"/>
      <sheetName val="FD"/>
      <sheetName val="GI"/>
      <sheetName val="EE (3)"/>
      <sheetName val="PAVEMENT"/>
      <sheetName val="TRAFFIC"/>
      <sheetName val="Ts"/>
      <sheetName val="General2"/>
      <sheetName val="Measure 1306"/>
      <sheetName val="Pag_hal"/>
      <sheetName val="본사업"/>
      <sheetName val="총투자비"/>
      <sheetName val="CB"/>
      <sheetName val="1,2,3,4"/>
      <sheetName val="정리계槜〚"/>
      <sheetName val="1,2,3,4_x0005_"/>
      <sheetName val="10공-"/>
      <sheetName val="design_crit"/>
      <sheetName val="손익차9월頀"/>
      <sheetName val="H-PILE수량집계"/>
      <sheetName val="NM2"/>
      <sheetName val="NW1"/>
      <sheetName val="NW2"/>
      <sheetName val="PW3"/>
      <sheetName val="PW4"/>
      <sheetName val="SC1"/>
      <sheetName val="DNW"/>
      <sheetName val="N+"/>
      <sheetName val="NE"/>
      <sheetName val="P+"/>
      <sheetName val="PM"/>
      <sheetName val="PE"/>
      <sheetName val="주bea_"/>
      <sheetName val="수량산출서집´_x0000_Ԁ_x0000_耀֜䌛"/>
      <sheetName val="참고자료"/>
      <sheetName val="자재대"/>
      <sheetName val="입상내역"/>
      <sheetName val="거래처CODE"/>
      <sheetName val="DNTT"/>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총괄집계표"/>
      <sheetName val="[입찰안.xls][입찰안.xls][입찰안.xls]___3"/>
      <sheetName val="[입찰안.xls][입찰안.xls][입찰안.xls]B_60"/>
      <sheetName val="조경수볰"/>
      <sheetName val="[입찰안.xls][입찰안.xls][입찰안.xls]B_54"/>
      <sheetName val="[입찰안.xls][입찰안.xls][입찰안.xls]B_53"/>
      <sheetName val="[입찰안.xls][입찰안.xls][입찰안.xls]B_44"/>
      <sheetName val="[입찰안.xls][입찰안.xls][입찰안.xls]B_33"/>
      <sheetName val="[입찰안.xls][입찰안.xls][입찰안.xls]B_3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7"/>
      <sheetName val="[입찰안.xls][입찰안.xls][입찰안.xls]B_45"/>
      <sheetName val="중강당 내역"/>
      <sheetName val="[입찰안.xls][입찰안.xls][입찰안.xls]B_48"/>
      <sheetName val="[입찰안.xls][입찰안.xls][입찰안.xls]B_46"/>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7"/>
      <sheetName val="[입찰안.xls][입찰안.xls][입찰안.xls]B_58"/>
      <sheetName val="[입찰안.xls][입찰안.xls][입찰안.xls]B_56"/>
      <sheetName val="[입찰안.xls][입찰안.xls][입찰안.xls]B_59"/>
      <sheetName val="[입찰안.xls][입찰안.xls][입찰안.xls]B_62"/>
      <sheetName val="[입찰안.xls][입찰안.xls][입찰안.xls]B_61"/>
      <sheetName val="노무비계"/>
      <sheetName val="Tiepdia"/>
      <sheetName val="DG"/>
      <sheetName val="pile_bearing_ca怀꿟세_x0000_䘀뤙_x0000__x0000_Ԁ_x0000_"/>
      <sheetName val="6-1.보오링(1)"/>
      <sheetName val="RAB AR&amp;STR"/>
      <sheetName val="Isolasi Luar Dalam"/>
      <sheetName val="Isolasi Luar"/>
      <sheetName val="Cọc_nhồi"/>
      <sheetName val="Dầm_1"/>
      <sheetName val="Div26 - Elect"/>
      <sheetName val="5호광장_(만점)6"/>
      <sheetName val="인천국제_(만점)_(2)6"/>
      <sheetName val="Total_단위경유량집계6"/>
      <sheetName val="준검_내역서6"/>
      <sheetName val="토공유동표(전체_당초)6"/>
      <sheetName val="1_수인터널6"/>
      <sheetName val="4_전기6"/>
      <sheetName val="BH-1_(2)6"/>
      <sheetName val="표__지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投标材料清单_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도담구내_개소별_명柖4"/>
      <sheetName val="danh_muc_vat_tu4"/>
      <sheetName val="Register-BG_NCC4"/>
      <sheetName val="Data_24"/>
      <sheetName val="TB_chính4"/>
      <sheetName val="Steel_pipe4"/>
      <sheetName val="Ref_pipe+Ins4"/>
      <sheetName val="Plastic_pipe4"/>
      <sheetName val="Air_Grilles4"/>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SCOPE_OF_WORK1"/>
      <sheetName val="D_&amp;_W_sizes1"/>
      <sheetName val="Gia_vat_tu1"/>
      <sheetName val="dtct_cong1"/>
      <sheetName val="DGCT_(01)1"/>
      <sheetName val="ITB_COST1"/>
      <sheetName val="Chi_tiet1"/>
      <sheetName val="nhôm_1,2mm1"/>
      <sheetName val="nhôm_1,4mm1"/>
      <sheetName val="01__DATA1"/>
      <sheetName val="Phan_tich_ca_may"/>
      <sheetName val="Chenh_lech_ca_may"/>
      <sheetName val="TLg_CN&amp;Laixe"/>
      <sheetName val="TLg_CN&amp;Laixe_(2)"/>
      <sheetName val="TLg_Laitau"/>
      <sheetName val="TLg_Laitau_(2)"/>
      <sheetName val="STEEL_BOX_단면설계(SEC_8)1"/>
      <sheetName val="2-2_매출분석1"/>
      <sheetName val="설명서_1"/>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Sàn_T1"/>
      <sheetName val="Lỗ_thông_gió"/>
      <sheetName val="Sàn_tầng_01_(_old_)"/>
      <sheetName val="Chiet_tinh_don_gia_CM"/>
      <sheetName val="So_sanh"/>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U.P_Breakdown"/>
      <sheetName val="B-B"/>
      <sheetName val="計算条件"/>
      <sheetName val="8521"/>
      <sheetName val="SITE-E"/>
      <sheetName val="諸経費"/>
      <sheetName val="清水計算営業税率関連"/>
      <sheetName val="General"/>
      <sheetName val="장悱_x0017_"/>
      <sheetName val="plan&amp;section_of_"/>
      <sheetName val="조도계산서Å"/>
      <sheetName val="소포내역"/>
      <sheetName val="GC산출"/>
      <sheetName val="1,2,3,4"/>
      <sheetName val="6_산출닑⾱"/>
      <sheetName val="PTDGDT"/>
      <sheetName val="산출0"/>
      <sheetName val="일위대??Ԁ?䀀"/>
      <sheetName val="일위대㐀븁??退"/>
      <sheetName val="I_설계조?"/>
      <sheetName val="조도계산서_(도서?"/>
      <sheetName val="대??"/>
      <sheetName val="Cong"/>
      <sheetName val="VCV-BE-TONG"/>
      <sheetName val="Dulieu"/>
      <sheetName val="BOQ"/>
      <sheetName val="1.R18 BF"/>
      <sheetName val="A"/>
      <sheetName val="G"/>
      <sheetName val="F-B"/>
      <sheetName val="H-J"/>
      <sheetName val="6.External works-R18"/>
      <sheetName val="Bill 01 - CTN"/>
      <sheetName val="TEMP"/>
      <sheetName val="Gia"/>
      <sheetName val="020.235.2363"/>
      <sheetName val="GAEYO"/>
      <sheetName val="직접뀀鞖_"/>
      <sheetName val="CHITIET VL-NC-TT1p"/>
      <sheetName val="Project Infor"/>
      <sheetName val="Data input"/>
      <sheetName val="NP-총정리"/>
      <sheetName val="노.표-조"/>
      <sheetName val="실행내역서 "/>
      <sheetName val="재학생"/>
      <sheetName val="일위대가갂窹"/>
      <sheetName val="일위대가_x0000__x0000_렀"/>
      <sheetName val="일위대가耀쾑_x0000_"/>
      <sheetName val="일위총괄표"/>
      <sheetName val="을지"/>
      <sheetName val="TOWER 12TON"/>
      <sheetName val="각종단가"/>
      <sheetName val="EXCHANGE RATE"/>
      <sheetName val="시운전壒》"/>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refreshError="1"/>
      <sheetData sheetId="1052" refreshError="1"/>
      <sheetData sheetId="1053"/>
      <sheetData sheetId="1054"/>
      <sheetData sheetId="1055"/>
      <sheetData sheetId="1056"/>
      <sheetData sheetId="1057"/>
      <sheetData sheetId="1058"/>
      <sheetData sheetId="1059"/>
      <sheetData sheetId="1060"/>
      <sheetData sheetId="1061" refreshError="1"/>
      <sheetData sheetId="1062" refreshError="1"/>
      <sheetData sheetId="1063"/>
      <sheetData sheetId="1064"/>
      <sheetData sheetId="1065"/>
      <sheetData sheetId="1066" refreshError="1"/>
      <sheetData sheetId="1067" refreshError="1"/>
      <sheetData sheetId="1068"/>
      <sheetData sheetId="1069" refreshError="1"/>
      <sheetData sheetId="1070"/>
      <sheetData sheetId="1071" refreshError="1"/>
      <sheetData sheetId="1072" refreshError="1"/>
      <sheetData sheetId="1073" refreshError="1"/>
      <sheetData sheetId="1074" refreshError="1"/>
      <sheetData sheetId="1075" refreshError="1"/>
      <sheetData sheetId="1076" refreshError="1"/>
      <sheetData sheetId="1077"/>
      <sheetData sheetId="1078" refreshError="1"/>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refreshError="1"/>
      <sheetData sheetId="1180"/>
      <sheetData sheetId="1181" refreshError="1"/>
      <sheetData sheetId="1182" refreshError="1"/>
      <sheetData sheetId="1183" refreshError="1"/>
      <sheetData sheetId="1184" refreshError="1"/>
      <sheetData sheetId="1185" refreshError="1"/>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sheetData sheetId="1496" refreshError="1"/>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sheetData sheetId="1518"/>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sheetData sheetId="1529" refreshError="1"/>
      <sheetData sheetId="1530" refreshError="1"/>
      <sheetData sheetId="1531" refreshError="1"/>
      <sheetData sheetId="1532" refreshError="1"/>
      <sheetData sheetId="1533" refreshError="1"/>
      <sheetData sheetId="1534" refreshError="1"/>
      <sheetData sheetId="1535"/>
      <sheetData sheetId="1536"/>
      <sheetData sheetId="1537"/>
      <sheetData sheetId="1538"/>
      <sheetData sheetId="1539"/>
      <sheetData sheetId="1540"/>
      <sheetData sheetId="1541"/>
      <sheetData sheetId="1542"/>
      <sheetData sheetId="1543"/>
      <sheetData sheetId="1544"/>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sheetData sheetId="1568"/>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sheetData sheetId="1685"/>
      <sheetData sheetId="1686"/>
      <sheetData sheetId="1687"/>
      <sheetData sheetId="1688" refreshError="1"/>
      <sheetData sheetId="1689" refreshError="1"/>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sheetData sheetId="1756"/>
      <sheetData sheetId="1757"/>
      <sheetData sheetId="1758"/>
      <sheetData sheetId="1759"/>
      <sheetData sheetId="1760"/>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refreshError="1"/>
      <sheetData sheetId="1995" refreshError="1"/>
      <sheetData sheetId="1996" refreshError="1"/>
      <sheetData sheetId="1997" refreshError="1"/>
      <sheetData sheetId="1998"/>
      <sheetData sheetId="1999"/>
      <sheetData sheetId="2000"/>
      <sheetData sheetId="200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sheetData sheetId="2156"/>
      <sheetData sheetId="2157"/>
      <sheetData sheetId="2158" refreshError="1"/>
      <sheetData sheetId="2159" refreshError="1"/>
      <sheetData sheetId="2160" refreshError="1"/>
      <sheetData sheetId="216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sheetData sheetId="2175" refreshError="1"/>
      <sheetData sheetId="2176" refreshError="1"/>
      <sheetData sheetId="2177" refreshError="1"/>
      <sheetData sheetId="2178" refreshError="1"/>
      <sheetData sheetId="2179" refreshError="1"/>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refreshError="1"/>
      <sheetData sheetId="2195" refreshError="1"/>
      <sheetData sheetId="2196" refreshError="1"/>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refreshError="1"/>
      <sheetData sheetId="2231"/>
      <sheetData sheetId="2232" refreshError="1"/>
      <sheetData sheetId="2233" refreshError="1"/>
      <sheetData sheetId="2234" refreshError="1"/>
      <sheetData sheetId="2235" refreshError="1"/>
      <sheetData sheetId="2236" refreshError="1"/>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refreshError="1"/>
      <sheetData sheetId="2251" refreshError="1"/>
      <sheetData sheetId="2252" refreshError="1"/>
      <sheetData sheetId="2253" refreshError="1"/>
      <sheetData sheetId="2254" refreshError="1"/>
      <sheetData sheetId="2255" refreshError="1"/>
      <sheetData sheetId="2256"/>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sheetData sheetId="2267" refreshError="1"/>
      <sheetData sheetId="2268" refreshError="1"/>
      <sheetData sheetId="2269" refreshError="1"/>
      <sheetData sheetId="2270" refreshError="1"/>
      <sheetData sheetId="2271" refreshError="1"/>
      <sheetData sheetId="2272"/>
      <sheetData sheetId="2273"/>
      <sheetData sheetId="2274"/>
      <sheetData sheetId="2275"/>
      <sheetData sheetId="2276"/>
      <sheetData sheetId="2277" refreshError="1"/>
      <sheetData sheetId="2278"/>
      <sheetData sheetId="2279"/>
      <sheetData sheetId="2280"/>
      <sheetData sheetId="2281" refreshError="1"/>
      <sheetData sheetId="2282"/>
      <sheetData sheetId="2283"/>
      <sheetData sheetId="2284"/>
      <sheetData sheetId="2285"/>
      <sheetData sheetId="2286"/>
      <sheetData sheetId="2287" refreshError="1"/>
      <sheetData sheetId="2288"/>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sheetData sheetId="2299"/>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sheetData sheetId="2330"/>
      <sheetData sheetId="2331"/>
      <sheetData sheetId="2332"/>
      <sheetData sheetId="2333"/>
      <sheetData sheetId="2334"/>
      <sheetData sheetId="2335"/>
      <sheetData sheetId="2336"/>
      <sheetData sheetId="2337"/>
      <sheetData sheetId="2338"/>
      <sheetData sheetId="2339"/>
      <sheetData sheetId="2340" refreshError="1"/>
      <sheetData sheetId="2341" refreshError="1"/>
      <sheetData sheetId="2342"/>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NT"/>
      <sheetName val="DATA"/>
      <sheetName val="00000"/>
      <sheetName val="10000"/>
      <sheetName val="000000"/>
      <sheetName val="1 (3)"/>
      <sheetName val="main"/>
      <sheetName val="00"/>
      <sheetName val="01"/>
      <sheetName val="1"/>
      <sheetName val="2"/>
      <sheetName val="3"/>
      <sheetName val="4"/>
      <sheetName val="4 (2)"/>
      <sheetName val="6"/>
      <sheetName val="6 (2)"/>
      <sheetName val="DRY"/>
      <sheetName val="floor"/>
      <sheetName val="07"/>
      <sheetName val="07 (1)"/>
      <sheetName val="07 (2)"/>
      <sheetName val="1 (2)"/>
      <sheetName val="02"/>
      <sheetName val="견적(A4)"/>
      <sheetName val="전기용량집계"/>
      <sheetName val="내역서"/>
      <sheetName val="FACTOR"/>
    </sheetNames>
    <sheetDataSet>
      <sheetData sheetId="0" refreshError="1"/>
      <sheetData sheetId="1" refreshError="1"/>
      <sheetData sheetId="2" refreshError="1">
        <row r="3">
          <cell r="A3" t="str">
            <v>대구</v>
          </cell>
        </row>
        <row r="4">
          <cell r="A4" t="str">
            <v>부산</v>
          </cell>
        </row>
        <row r="5">
          <cell r="A5" t="str">
            <v>서울</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3_일위대가목록"/>
      <sheetName val="FM"/>
      <sheetName val="당진1,2호기전선관설치및접지4차공사내역서-을지"/>
      <sheetName val="노임이"/>
      <sheetName val="월별생산"/>
      <sheetName val="10현장조직"/>
      <sheetName val="입상내역"/>
      <sheetName val="실행(1)"/>
      <sheetName val="sheet1"/>
      <sheetName val="SHL"/>
      <sheetName val="내역서"/>
      <sheetName val="DATA"/>
      <sheetName val="QT003-SSY-철골3"/>
      <sheetName val="FC-101"/>
      <sheetName val="11월내역"/>
      <sheetName val="데이타"/>
      <sheetName val="#2_일위대가목록"/>
      <sheetName val="BQMPALOC"/>
      <sheetName val="수량산출서"/>
      <sheetName val="조명율표"/>
      <sheetName val="원가"/>
      <sheetName val="물량입력"/>
      <sheetName val="입찰안"/>
      <sheetName val=" 갑지"/>
      <sheetName val="CM 1"/>
      <sheetName val="판매브리핑"/>
      <sheetName val="LD TX"/>
      <sheetName val="영창26"/>
      <sheetName val="기계공사비집계(원안)"/>
      <sheetName val="2.대외공문"/>
      <sheetName val="연봉표"/>
      <sheetName val="조경일람"/>
      <sheetName val="101동"/>
      <sheetName val="CAT_5"/>
      <sheetName val="증감내역서"/>
      <sheetName val="약품공급2"/>
      <sheetName val="실행내역서(DCU)"/>
      <sheetName val="기준정보"/>
      <sheetName val="빌딩 안내"/>
      <sheetName val="주beam"/>
      <sheetName val="계측기"/>
      <sheetName val="VS P-Q"/>
      <sheetName val="연돌일위집계"/>
      <sheetName val="Code"/>
      <sheetName val="일위"/>
      <sheetName val="경상"/>
      <sheetName val="투입실적"/>
      <sheetName val="가설"/>
      <sheetName val="도기류"/>
      <sheetName val="갑지"/>
      <sheetName val="주_부자재"/>
      <sheetName val="ttl"/>
      <sheetName val="용선 C.L"/>
      <sheetName val="1996"/>
      <sheetName val="기준원단위"/>
      <sheetName val="실행내역서 "/>
      <sheetName val="조명시설"/>
      <sheetName val="발주내역"/>
      <sheetName val="내역_ver1.0"/>
      <sheetName val="controll"/>
      <sheetName val="내역전기"/>
      <sheetName val="Weld, NDE (Pipe)"/>
      <sheetName val="공량예산"/>
      <sheetName val="상세출력"/>
      <sheetName val="spc 배관견적"/>
      <sheetName val="총괄"/>
      <sheetName val="CAUDIT"/>
      <sheetName val="Piping"/>
      <sheetName val="일위대가"/>
      <sheetName val="개산공사비"/>
      <sheetName val="#REF"/>
      <sheetName val="본실행경비"/>
      <sheetName val="0111"/>
      <sheetName val="명세서"/>
      <sheetName val="DEVI."/>
      <sheetName val="U.C."/>
      <sheetName val="ELEC"/>
      <sheetName val="산근"/>
      <sheetName val="내역서(100%)"/>
      <sheetName val="운반"/>
      <sheetName val="FAB4생산"/>
      <sheetName val="세골재  T2 변경 현황"/>
      <sheetName val="일반직무리스트"/>
      <sheetName val="집계표"/>
      <sheetName val="Man_P"/>
      <sheetName val="Plan_data"/>
      <sheetName val="Macro"/>
      <sheetName val="Taux"/>
      <sheetName val="지역"/>
      <sheetName val="Customer Databas"/>
      <sheetName val="810"/>
      <sheetName val="급여대장"/>
      <sheetName val="단가일람"/>
      <sheetName val="단가표"/>
      <sheetName val="유림콘도"/>
      <sheetName val="물량표"/>
      <sheetName val="인원데이타"/>
      <sheetName val="갑지(추정)"/>
      <sheetName val="PBS"/>
      <sheetName val="비주거용"/>
      <sheetName val="지급자재"/>
      <sheetName val="계산근거"/>
      <sheetName val="ENE-CAL"/>
      <sheetName val="2.냉난방설비공사"/>
      <sheetName val="7.자동제어공사"/>
      <sheetName val="18 BL 배관 내역"/>
      <sheetName val="LEGEND"/>
      <sheetName val="페인트"/>
      <sheetName val="DRUM"/>
      <sheetName val="AN-01"/>
      <sheetName val="노무비"/>
      <sheetName val="2_냉난방설비공사"/>
      <sheetName val="7_자동제어공사"/>
      <sheetName val="18_BL_배관_내역"/>
      <sheetName val="PIPE"/>
      <sheetName val="FLANGE"/>
      <sheetName val="VALVE"/>
      <sheetName val="예가표"/>
      <sheetName val="일위대가(계측기설치)"/>
      <sheetName val="PC%계산"/>
      <sheetName val="목표세부명세"/>
      <sheetName val="CASH"/>
      <sheetName val="LOADING"/>
      <sheetName val="Cost Breakdown"/>
      <sheetName val="Civil"/>
      <sheetName val="DB_Acess"/>
      <sheetName val="일위대가(가설)"/>
      <sheetName val="Sheet6"/>
      <sheetName val="하자보수"/>
      <sheetName val="현장별공사원가(2012.12"/>
      <sheetName val="공사수입"/>
      <sheetName val="외화환산"/>
      <sheetName val="공동도급"/>
      <sheetName val="재무상태표"/>
      <sheetName val="손익계산서"/>
      <sheetName val="외화매출"/>
      <sheetName val="환율정보"/>
      <sheetName val="도면자료제출일정"/>
      <sheetName val="Hauptdaten"/>
      <sheetName val="EXPAN-1"/>
      <sheetName val="노임"/>
      <sheetName val="95신규호표"/>
      <sheetName val="Takeoff"/>
      <sheetName val="입찰내역 발주처 양식"/>
      <sheetName val="NO.3.PTA PLANT SD COST"/>
      <sheetName val="의왕"/>
      <sheetName val="A (2)"/>
      <sheetName val="1100"/>
      <sheetName val="SILO"/>
      <sheetName val="datasheet"/>
      <sheetName val="INSTR"/>
      <sheetName val="MIBK원단위"/>
      <sheetName val="품셈표"/>
      <sheetName val="L V Separator"/>
      <sheetName val="CAL1"/>
      <sheetName val="Sheet2"/>
      <sheetName val="OtherKPI"/>
      <sheetName val="inter"/>
      <sheetName val="ELECTRIC"/>
      <sheetName val="CTEMCOST"/>
      <sheetName val="SCHEDULE"/>
      <sheetName val="시약구매"/>
      <sheetName val="M-MG1"/>
      <sheetName val="분석"/>
      <sheetName val="단가"/>
      <sheetName val="Input"/>
      <sheetName val="Price Breakdown (IBCI)"/>
      <sheetName val="HO Cost"/>
      <sheetName val="3rd party inspection(1)"/>
      <sheetName val="Training"/>
      <sheetName val="Vendor Sup."/>
      <sheetName val="MH"/>
      <sheetName val="Owner's Office"/>
      <sheetName val="표지"/>
      <sheetName val="은행"/>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DATA"/>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ING"/>
      <sheetName val="DATA"/>
      <sheetName val="금액내역서"/>
      <sheetName val="설계조건"/>
      <sheetName val="내역서"/>
      <sheetName val="영창26"/>
      <sheetName val="할증 "/>
      <sheetName val="CAT_5"/>
      <sheetName val="원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PIPING"/>
    </sheetNames>
    <sheetDataSet>
      <sheetData sheetId="0" refreshError="1"/>
      <sheetData sheetId="1" refreshError="1"/>
      <sheetData sheetId="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원)"/>
      <sheetName val="2office($)"/>
      <sheetName val="3-1chi(원)"/>
      <sheetName val="3-1chi($)"/>
      <sheetName val="3-2boil(원)"/>
      <sheetName val="3-2boil($)"/>
      <sheetName val="3-3pum(원)"/>
      <sheetName val="3-3pum($)"/>
      <sheetName val="4-2gua(원)"/>
      <sheetName val="4-2gua($)"/>
      <sheetName val="4-3eth(원)"/>
      <sheetName val="4-3eth($)"/>
      <sheetName val="4-5pip(원)"/>
      <sheetName val="4-5pip($)"/>
      <sheetName val="광통신 견적내역서1"/>
      <sheetName val="당초"/>
      <sheetName val="FACTOR"/>
      <sheetName val="투찰(하수)"/>
      <sheetName val="PIPING"/>
      <sheetName val="환율change"/>
      <sheetName val="내역"/>
      <sheetName val="DATA"/>
      <sheetName val="내역서"/>
      <sheetName val="FACTOR "/>
      <sheetName val="품셈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1F"/>
      <sheetName val="실행철강하도"/>
      <sheetName val="인사자료총집계"/>
      <sheetName val="차액보증"/>
      <sheetName val="기아대교"/>
      <sheetName val="BID"/>
      <sheetName val="1.수인터널"/>
      <sheetName val="동원인원계획표"/>
      <sheetName val="9GNG운반"/>
      <sheetName val="#REF"/>
      <sheetName val="수문일1"/>
      <sheetName val="간접경상비"/>
      <sheetName val="일위대가"/>
      <sheetName val="설계내역서"/>
      <sheetName val="토목주소"/>
      <sheetName val="프랜트면허"/>
      <sheetName val="설계"/>
      <sheetName val="견적서"/>
      <sheetName val=" ｹ-ﾌﾞﾙ"/>
      <sheetName val="Sheet1"/>
      <sheetName val="갑지"/>
      <sheetName val="BREAKDOWN(철거설치)"/>
      <sheetName val="내역서"/>
      <sheetName val="8.PILE  (돌출)"/>
      <sheetName val="정렬"/>
      <sheetName val="내역표지"/>
      <sheetName val="토목내역서"/>
      <sheetName val="투찰(하수)"/>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change"/>
      <sheetName val="견적갑지"/>
      <sheetName val="SUMM"/>
      <sheetName val="내역 (2)"/>
      <sheetName val="내역-total"/>
      <sheetName val="장비비근거"/>
      <sheetName val="경상비 산출기준-영국"/>
      <sheetName val="할증 "/>
      <sheetName val=" ｹ-ﾌﾞﾙ"/>
    </sheetNames>
    <sheetDataSet>
      <sheetData sheetId="0" refreshError="1">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표지-간지"/>
      <sheetName val="공사원가계산서"/>
      <sheetName val="금액총괄표"/>
      <sheetName val="기계금액총괄"/>
      <sheetName val="기계금액내역서"/>
      <sheetName val="시운전비"/>
      <sheetName val="교육훈련비"/>
      <sheetName val="내외자구분"/>
      <sheetName val="예비품-특수공구"/>
      <sheetName val="일위대가"/>
      <sheetName val="단가표"/>
      <sheetName val="노임단가"/>
      <sheetName val="견적대비"/>
      <sheetName val="환율chan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3271-F4D9-4ED9-8518-A362138CF95B}">
  <sheetPr>
    <tabColor rgb="FFFF0000"/>
  </sheetPr>
  <dimension ref="A1:U49"/>
  <sheetViews>
    <sheetView showGridLines="0" view="pageBreakPreview" topLeftCell="A12" zoomScaleNormal="100" zoomScaleSheetLayoutView="100" workbookViewId="0">
      <selection activeCell="J31" sqref="J31:O31"/>
    </sheetView>
  </sheetViews>
  <sheetFormatPr defaultRowHeight="17.399999999999999" x14ac:dyDescent="0.4"/>
  <cols>
    <col min="1" max="1" width="1.69921875" customWidth="1"/>
    <col min="2" max="2" width="5.19921875" customWidth="1"/>
    <col min="3" max="3" width="6" customWidth="1"/>
    <col min="4" max="4" width="18.69921875" customWidth="1"/>
    <col min="5" max="6" width="9.8984375" customWidth="1"/>
    <col min="7" max="7" width="16.69921875" customWidth="1"/>
    <col min="8" max="8" width="9.69921875" customWidth="1"/>
    <col min="9" max="9" width="16.69921875" customWidth="1"/>
    <col min="10" max="10" width="20.09765625" customWidth="1"/>
    <col min="11" max="11" width="1.69921875" customWidth="1"/>
    <col min="14" max="14" width="21.59765625" bestFit="1" customWidth="1"/>
    <col min="15" max="15" width="16.59765625" bestFit="1" customWidth="1"/>
    <col min="16" max="16" width="15.59765625" bestFit="1" customWidth="1"/>
    <col min="17" max="17" width="15.3984375" bestFit="1" customWidth="1"/>
    <col min="18" max="18" width="12.09765625" bestFit="1" customWidth="1"/>
  </cols>
  <sheetData>
    <row r="1" spans="1:11" ht="34.950000000000003" customHeight="1" x14ac:dyDescent="0.4">
      <c r="K1" s="64" t="s">
        <v>79</v>
      </c>
    </row>
    <row r="2" spans="1:11" ht="55.2" customHeight="1" x14ac:dyDescent="0.4">
      <c r="A2" s="483" t="s">
        <v>80</v>
      </c>
      <c r="B2" s="483"/>
      <c r="C2" s="483"/>
      <c r="D2" s="483"/>
      <c r="E2" s="483"/>
      <c r="F2" s="483"/>
      <c r="G2" s="483"/>
      <c r="H2" s="483"/>
      <c r="I2" s="483"/>
      <c r="J2" s="483"/>
      <c r="K2" s="483"/>
    </row>
    <row r="3" spans="1:11" ht="13.2" customHeight="1" x14ac:dyDescent="0.4"/>
    <row r="4" spans="1:11" ht="15" customHeight="1" x14ac:dyDescent="0.4">
      <c r="B4" s="484" t="s">
        <v>275</v>
      </c>
      <c r="C4" s="484"/>
      <c r="D4" s="484"/>
    </row>
    <row r="5" spans="1:11" ht="13.2" customHeight="1" x14ac:dyDescent="0.4"/>
    <row r="6" spans="1:11" ht="25.2" customHeight="1" thickBot="1" x14ac:dyDescent="0.45">
      <c r="B6" s="485" t="s">
        <v>1</v>
      </c>
      <c r="C6" s="485"/>
      <c r="D6" s="485"/>
      <c r="E6" s="65" t="s">
        <v>81</v>
      </c>
    </row>
    <row r="7" spans="1:11" ht="15" customHeight="1" x14ac:dyDescent="0.4"/>
    <row r="8" spans="1:11" ht="15" customHeight="1" x14ac:dyDescent="0.4">
      <c r="B8" s="66" t="s">
        <v>82</v>
      </c>
    </row>
    <row r="9" spans="1:11" ht="15" customHeight="1" x14ac:dyDescent="0.4"/>
    <row r="10" spans="1:11" ht="28.2" customHeight="1" thickBot="1" x14ac:dyDescent="0.45">
      <c r="B10" s="67" t="s">
        <v>83</v>
      </c>
      <c r="C10" s="68"/>
      <c r="D10" s="69"/>
      <c r="E10" s="68"/>
      <c r="F10" s="68"/>
    </row>
    <row r="11" spans="1:11" ht="7.95" customHeight="1" x14ac:dyDescent="0.4"/>
    <row r="12" spans="1:11" ht="28.2" customHeight="1" thickBot="1" x14ac:dyDescent="0.45">
      <c r="B12" s="70" t="s">
        <v>84</v>
      </c>
      <c r="C12" s="71"/>
      <c r="D12" s="72" t="e">
        <f>"一金  "&amp; NUMBERSTRING(ROUNDDOWN(J42,-5),1)&amp;"원整"</f>
        <v>#REF!</v>
      </c>
      <c r="E12" s="71"/>
      <c r="F12" s="71"/>
    </row>
    <row r="13" spans="1:11" ht="7.95" customHeight="1" x14ac:dyDescent="0.4"/>
    <row r="14" spans="1:11" ht="28.2" customHeight="1" thickBot="1" x14ac:dyDescent="0.45">
      <c r="B14" s="71"/>
      <c r="C14" s="71"/>
      <c r="D14" s="73" t="e">
        <f>"₩  "   &amp;TEXT(J42,"#,###,000,000" ) &amp; " "</f>
        <v>#REF!</v>
      </c>
      <c r="E14" s="71"/>
      <c r="F14" s="71"/>
    </row>
    <row r="15" spans="1:11" ht="7.95" customHeight="1" x14ac:dyDescent="0.4"/>
    <row r="16" spans="1:11" ht="28.2" customHeight="1" thickBot="1" x14ac:dyDescent="0.45">
      <c r="B16" s="70" t="s">
        <v>85</v>
      </c>
      <c r="C16" s="71"/>
      <c r="D16" s="74" t="s">
        <v>86</v>
      </c>
      <c r="E16" s="71"/>
      <c r="F16" s="71"/>
    </row>
    <row r="17" spans="2:21" ht="19.95" customHeight="1" x14ac:dyDescent="0.4"/>
    <row r="18" spans="2:21" ht="40.200000000000003" customHeight="1" x14ac:dyDescent="0.4">
      <c r="B18" s="75" t="s">
        <v>87</v>
      </c>
      <c r="C18" s="486" t="s">
        <v>88</v>
      </c>
      <c r="D18" s="487"/>
      <c r="E18" s="486" t="s">
        <v>89</v>
      </c>
      <c r="F18" s="487"/>
      <c r="G18" s="76" t="s">
        <v>90</v>
      </c>
      <c r="H18" s="76" t="s">
        <v>91</v>
      </c>
      <c r="I18" s="76" t="s">
        <v>92</v>
      </c>
      <c r="J18" s="77" t="s">
        <v>93</v>
      </c>
    </row>
    <row r="19" spans="2:21" ht="22.2" customHeight="1" x14ac:dyDescent="0.4">
      <c r="B19" s="78"/>
      <c r="C19" s="488"/>
      <c r="D19" s="489"/>
      <c r="E19" s="488"/>
      <c r="F19" s="489"/>
      <c r="G19" s="79"/>
      <c r="H19" s="79"/>
      <c r="I19" s="80"/>
      <c r="J19" s="81"/>
    </row>
    <row r="20" spans="2:21" ht="22.2" customHeight="1" x14ac:dyDescent="0.4">
      <c r="B20" s="82" t="str">
        <f>을지!A5</f>
        <v>■ 통영에코파워 SCR 환경설비 개선 제안 (Direct Injection System)</v>
      </c>
      <c r="C20" s="83"/>
      <c r="D20" s="84"/>
      <c r="E20" s="85"/>
      <c r="F20" s="86"/>
      <c r="G20" s="87"/>
      <c r="H20" s="87"/>
      <c r="I20" s="88"/>
      <c r="J20" s="89"/>
    </row>
    <row r="21" spans="2:21" ht="22.2" customHeight="1" x14ac:dyDescent="0.4">
      <c r="B21" s="90"/>
      <c r="C21" s="91" t="s">
        <v>94</v>
      </c>
      <c r="D21" s="92"/>
      <c r="E21" s="477"/>
      <c r="F21" s="478"/>
      <c r="G21" s="87">
        <v>1</v>
      </c>
      <c r="H21" s="87" t="s">
        <v>95</v>
      </c>
      <c r="I21" s="88" t="e">
        <f>공사원가내역서!G35</f>
        <v>#REF!</v>
      </c>
      <c r="J21" s="89" t="e">
        <f>I21</f>
        <v>#REF!</v>
      </c>
    </row>
    <row r="22" spans="2:21" ht="22.2" customHeight="1" x14ac:dyDescent="0.4">
      <c r="B22" s="90"/>
      <c r="C22" s="93"/>
      <c r="D22" s="94"/>
      <c r="E22" s="85"/>
      <c r="F22" s="86"/>
      <c r="G22" s="87"/>
      <c r="H22" s="87"/>
      <c r="I22" s="88"/>
      <c r="J22" s="89"/>
    </row>
    <row r="23" spans="2:21" ht="22.2" customHeight="1" x14ac:dyDescent="0.4">
      <c r="B23" s="90"/>
      <c r="C23" s="93"/>
      <c r="D23" s="95"/>
      <c r="E23" s="477"/>
      <c r="F23" s="478"/>
      <c r="G23" s="87"/>
      <c r="H23" s="87"/>
      <c r="I23" s="88"/>
      <c r="J23" s="89"/>
    </row>
    <row r="24" spans="2:21" ht="22.2" customHeight="1" x14ac:dyDescent="0.4">
      <c r="B24" s="96"/>
      <c r="C24" s="93"/>
      <c r="D24" s="97"/>
      <c r="E24" s="98"/>
      <c r="F24" s="99"/>
      <c r="G24" s="87"/>
      <c r="H24" s="87"/>
      <c r="I24" s="88"/>
      <c r="J24" s="89"/>
    </row>
    <row r="25" spans="2:21" ht="22.2" customHeight="1" x14ac:dyDescent="0.4">
      <c r="B25" s="78"/>
      <c r="C25" s="93"/>
      <c r="D25" s="100"/>
      <c r="E25" s="101"/>
      <c r="F25" s="102"/>
      <c r="G25" s="87"/>
      <c r="H25" s="87"/>
      <c r="I25" s="88"/>
      <c r="J25" s="89"/>
      <c r="N25" s="103"/>
      <c r="O25" s="1"/>
    </row>
    <row r="26" spans="2:21" ht="22.2" customHeight="1" x14ac:dyDescent="0.4">
      <c r="B26" s="78"/>
      <c r="C26" s="93"/>
      <c r="D26" s="100"/>
      <c r="E26" s="101"/>
      <c r="F26" s="102"/>
      <c r="G26" s="87"/>
      <c r="H26" s="87"/>
      <c r="I26" s="88"/>
      <c r="J26" s="89"/>
      <c r="N26" s="103"/>
      <c r="O26" s="1"/>
    </row>
    <row r="27" spans="2:21" ht="22.2" customHeight="1" x14ac:dyDescent="0.4">
      <c r="B27" s="78"/>
      <c r="C27" s="93"/>
      <c r="D27" s="100"/>
      <c r="E27" s="101"/>
      <c r="F27" s="102"/>
      <c r="G27" s="87"/>
      <c r="H27" s="87"/>
      <c r="I27" s="88"/>
      <c r="J27" s="89"/>
      <c r="N27" s="103"/>
      <c r="O27" s="1"/>
    </row>
    <row r="28" spans="2:21" ht="22.2" customHeight="1" x14ac:dyDescent="0.4">
      <c r="B28" s="104"/>
      <c r="C28" s="105"/>
      <c r="D28" s="106"/>
      <c r="E28" s="85"/>
      <c r="F28" s="86"/>
      <c r="G28" s="87"/>
      <c r="H28" s="87"/>
      <c r="I28" s="88"/>
      <c r="J28" s="89"/>
      <c r="N28" s="2"/>
      <c r="O28" s="2"/>
      <c r="P28" s="2"/>
      <c r="Q28" s="2"/>
      <c r="R28" s="2"/>
      <c r="S28" s="2"/>
      <c r="T28" s="2"/>
      <c r="U28" s="2"/>
    </row>
    <row r="29" spans="2:21" ht="22.2" customHeight="1" x14ac:dyDescent="0.4">
      <c r="B29" s="104"/>
      <c r="C29" s="105"/>
      <c r="D29" s="106"/>
      <c r="E29" s="85"/>
      <c r="F29" s="86"/>
      <c r="G29" s="87"/>
      <c r="H29" s="87"/>
      <c r="I29" s="88"/>
      <c r="J29" s="89"/>
      <c r="N29" s="2"/>
      <c r="O29" s="2"/>
      <c r="P29" s="2"/>
      <c r="Q29" s="2"/>
      <c r="R29" s="2"/>
      <c r="S29" s="2"/>
      <c r="T29" s="2"/>
      <c r="U29" s="2"/>
    </row>
    <row r="30" spans="2:21" ht="22.2" customHeight="1" x14ac:dyDescent="0.4">
      <c r="B30" s="104"/>
      <c r="C30" s="105"/>
      <c r="D30" s="106"/>
      <c r="E30" s="85"/>
      <c r="F30" s="86"/>
      <c r="G30" s="87"/>
      <c r="H30" s="87"/>
      <c r="I30" s="88"/>
      <c r="J30" s="89"/>
      <c r="N30" s="2"/>
      <c r="O30" s="2"/>
      <c r="P30" s="2"/>
      <c r="Q30" s="2"/>
      <c r="R30" s="2"/>
      <c r="S30" s="2"/>
      <c r="T30" s="2"/>
      <c r="U30" s="2"/>
    </row>
    <row r="31" spans="2:21" ht="22.2" customHeight="1" x14ac:dyDescent="0.4">
      <c r="B31" s="104"/>
      <c r="C31" s="105"/>
      <c r="D31" s="106"/>
      <c r="E31" s="85"/>
      <c r="F31" s="86"/>
      <c r="G31" s="87"/>
      <c r="H31" s="87"/>
      <c r="I31" s="88"/>
      <c r="J31" s="89"/>
      <c r="N31" s="2"/>
      <c r="O31" s="2"/>
      <c r="P31" s="2"/>
      <c r="Q31" s="2"/>
      <c r="R31" s="2"/>
      <c r="S31" s="2"/>
      <c r="T31" s="2"/>
      <c r="U31" s="2"/>
    </row>
    <row r="32" spans="2:21" ht="22.2" customHeight="1" x14ac:dyDescent="0.4">
      <c r="B32" s="104"/>
      <c r="C32" s="105"/>
      <c r="D32" s="106"/>
      <c r="E32" s="85"/>
      <c r="F32" s="86"/>
      <c r="G32" s="87"/>
      <c r="H32" s="87"/>
      <c r="I32" s="88"/>
      <c r="J32" s="89"/>
      <c r="N32" s="2"/>
      <c r="O32" s="2"/>
      <c r="P32" s="2"/>
      <c r="Q32" s="2"/>
      <c r="R32" s="2"/>
      <c r="S32" s="2"/>
      <c r="T32" s="2"/>
      <c r="U32" s="2"/>
    </row>
    <row r="33" spans="2:21" ht="22.2" customHeight="1" x14ac:dyDescent="0.4">
      <c r="B33" s="104"/>
      <c r="C33" s="105"/>
      <c r="D33" s="106"/>
      <c r="E33" s="85"/>
      <c r="F33" s="86"/>
      <c r="G33" s="87"/>
      <c r="H33" s="87"/>
      <c r="I33" s="88"/>
      <c r="J33" s="89"/>
      <c r="N33" s="2"/>
      <c r="O33" s="2"/>
      <c r="P33" s="2"/>
      <c r="Q33" s="2"/>
      <c r="R33" s="2"/>
      <c r="S33" s="2"/>
      <c r="T33" s="2"/>
      <c r="U33" s="2"/>
    </row>
    <row r="34" spans="2:21" ht="22.2" customHeight="1" x14ac:dyDescent="0.4">
      <c r="B34" s="104"/>
      <c r="C34" s="105"/>
      <c r="D34" s="106"/>
      <c r="E34" s="85"/>
      <c r="F34" s="86"/>
      <c r="G34" s="87"/>
      <c r="H34" s="87"/>
      <c r="I34" s="88"/>
      <c r="J34" s="89"/>
      <c r="N34" s="2"/>
      <c r="O34" s="2"/>
      <c r="P34" s="2"/>
      <c r="Q34" s="2"/>
      <c r="R34" s="2"/>
      <c r="S34" s="2"/>
      <c r="T34" s="2"/>
      <c r="U34" s="2"/>
    </row>
    <row r="35" spans="2:21" ht="22.2" customHeight="1" x14ac:dyDescent="0.4">
      <c r="B35" s="104"/>
      <c r="C35" s="107"/>
      <c r="D35" s="106"/>
      <c r="E35" s="85"/>
      <c r="F35" s="86"/>
      <c r="G35" s="87"/>
      <c r="H35" s="87"/>
      <c r="I35" s="108"/>
      <c r="J35" s="89"/>
      <c r="N35" s="109"/>
      <c r="O35" s="2"/>
      <c r="P35" s="2"/>
      <c r="Q35" s="2"/>
      <c r="R35" s="2"/>
      <c r="S35" s="2"/>
      <c r="T35" s="2"/>
      <c r="U35" s="2"/>
    </row>
    <row r="36" spans="2:21" ht="22.2" customHeight="1" x14ac:dyDescent="0.4">
      <c r="B36" s="104"/>
      <c r="C36" s="107"/>
      <c r="D36" s="106"/>
      <c r="E36" s="85"/>
      <c r="F36" s="86"/>
      <c r="G36" s="87"/>
      <c r="H36" s="87"/>
      <c r="I36" s="108"/>
      <c r="J36" s="89"/>
      <c r="N36" s="2"/>
      <c r="O36" s="2"/>
      <c r="P36" s="2"/>
      <c r="Q36" s="2"/>
      <c r="R36" s="2"/>
      <c r="S36" s="2"/>
      <c r="T36" s="2"/>
      <c r="U36" s="2"/>
    </row>
    <row r="37" spans="2:21" ht="22.2" customHeight="1" x14ac:dyDescent="0.4">
      <c r="B37" s="104"/>
      <c r="C37" s="110"/>
      <c r="D37" s="102"/>
      <c r="E37" s="111"/>
      <c r="F37" s="112"/>
      <c r="G37" s="87"/>
      <c r="H37" s="87"/>
      <c r="I37" s="108"/>
      <c r="J37" s="89"/>
      <c r="N37" s="2"/>
      <c r="O37" s="2"/>
      <c r="P37" s="2"/>
      <c r="Q37" s="2"/>
      <c r="R37" s="2"/>
      <c r="S37" s="2"/>
      <c r="T37" s="2"/>
      <c r="U37" s="2"/>
    </row>
    <row r="38" spans="2:21" ht="22.2" customHeight="1" x14ac:dyDescent="0.4">
      <c r="B38" s="104"/>
      <c r="C38" s="110"/>
      <c r="D38" s="102"/>
      <c r="E38" s="101"/>
      <c r="F38" s="102"/>
      <c r="G38" s="87"/>
      <c r="H38" s="87"/>
      <c r="I38" s="108"/>
      <c r="J38" s="113"/>
      <c r="N38" s="2"/>
      <c r="O38" s="2"/>
      <c r="P38" s="2"/>
      <c r="Q38" s="2"/>
      <c r="R38" s="2"/>
      <c r="S38" s="2"/>
      <c r="T38" s="2"/>
      <c r="U38" s="2"/>
    </row>
    <row r="39" spans="2:21" ht="22.2" customHeight="1" x14ac:dyDescent="0.4">
      <c r="B39" s="104"/>
      <c r="C39" s="105"/>
      <c r="D39" s="86"/>
      <c r="E39" s="85"/>
      <c r="F39" s="86"/>
      <c r="G39" s="114"/>
      <c r="H39" s="114"/>
      <c r="I39" s="115"/>
      <c r="J39" s="116"/>
      <c r="N39" s="2"/>
      <c r="O39" s="109"/>
      <c r="P39" s="2"/>
      <c r="Q39" s="2"/>
      <c r="R39" s="2"/>
      <c r="S39" s="2"/>
      <c r="T39" s="2"/>
      <c r="U39" s="2"/>
    </row>
    <row r="40" spans="2:21" ht="22.2" customHeight="1" x14ac:dyDescent="0.4">
      <c r="B40" s="104"/>
      <c r="C40" s="117"/>
      <c r="D40" s="86"/>
      <c r="E40" s="85"/>
      <c r="F40" s="86"/>
      <c r="G40" s="87"/>
      <c r="H40" s="87"/>
      <c r="I40" s="115"/>
      <c r="J40" s="116"/>
      <c r="N40" s="2"/>
      <c r="O40" s="2"/>
      <c r="P40" s="2"/>
      <c r="Q40" s="2"/>
      <c r="R40" s="2"/>
      <c r="S40" s="2"/>
      <c r="T40" s="2"/>
      <c r="U40" s="2"/>
    </row>
    <row r="41" spans="2:21" ht="22.2" customHeight="1" x14ac:dyDescent="0.4">
      <c r="B41" s="118"/>
      <c r="C41" s="117"/>
      <c r="D41" s="86"/>
      <c r="E41" s="85"/>
      <c r="F41" s="86"/>
      <c r="G41" s="119"/>
      <c r="H41" s="119"/>
      <c r="I41" s="120"/>
      <c r="J41" s="121"/>
      <c r="N41" s="2"/>
      <c r="O41" s="2"/>
      <c r="P41" s="2"/>
      <c r="Q41" s="2"/>
      <c r="R41" s="2"/>
      <c r="S41" s="2"/>
      <c r="T41" s="2"/>
      <c r="U41" s="2"/>
    </row>
    <row r="42" spans="2:21" ht="25.2" customHeight="1" x14ac:dyDescent="0.4">
      <c r="B42" s="122"/>
      <c r="C42" s="479" t="s">
        <v>96</v>
      </c>
      <c r="D42" s="480"/>
      <c r="E42" s="481" t="s">
        <v>97</v>
      </c>
      <c r="F42" s="482"/>
      <c r="G42" s="123"/>
      <c r="H42" s="123"/>
      <c r="I42" s="124" t="s">
        <v>98</v>
      </c>
      <c r="J42" s="125" t="e">
        <f>J21</f>
        <v>#REF!</v>
      </c>
      <c r="N42" s="2">
        <v>1330000000</v>
      </c>
      <c r="O42" s="2"/>
      <c r="P42" s="2"/>
      <c r="Q42" s="2"/>
      <c r="R42" s="2"/>
      <c r="S42" s="2"/>
      <c r="T42" s="2"/>
      <c r="U42" s="2"/>
    </row>
    <row r="43" spans="2:21" ht="124.95" customHeight="1" x14ac:dyDescent="0.4">
      <c r="B43" s="126"/>
      <c r="C43" s="127"/>
      <c r="D43" s="127"/>
      <c r="E43" s="127"/>
      <c r="F43" s="127"/>
      <c r="G43" s="127"/>
      <c r="H43" s="127"/>
      <c r="I43" s="127"/>
      <c r="J43" s="128"/>
      <c r="N43" s="2"/>
      <c r="O43" s="2"/>
      <c r="P43" s="2"/>
      <c r="Q43" s="2"/>
      <c r="R43" s="2"/>
      <c r="S43" s="2"/>
      <c r="T43" s="2"/>
      <c r="U43" s="2"/>
    </row>
    <row r="44" spans="2:21" ht="13.95" customHeight="1" x14ac:dyDescent="0.4"/>
    <row r="45" spans="2:21" ht="22.2" customHeight="1" x14ac:dyDescent="0.4"/>
    <row r="46" spans="2:21" ht="22.2" customHeight="1" x14ac:dyDescent="0.4"/>
    <row r="47" spans="2:21" ht="22.2" customHeight="1" x14ac:dyDescent="0.4"/>
    <row r="48" spans="2:21" ht="22.2" customHeight="1" x14ac:dyDescent="0.4"/>
    <row r="49" ht="22.2" customHeight="1" x14ac:dyDescent="0.4"/>
  </sheetData>
  <mergeCells count="11">
    <mergeCell ref="E21:F21"/>
    <mergeCell ref="E23:F23"/>
    <mergeCell ref="C42:D42"/>
    <mergeCell ref="E42:F42"/>
    <mergeCell ref="A2:K2"/>
    <mergeCell ref="B4:D4"/>
    <mergeCell ref="B6:D6"/>
    <mergeCell ref="C18:D18"/>
    <mergeCell ref="E18:F18"/>
    <mergeCell ref="C19:D19"/>
    <mergeCell ref="E19:F19"/>
  </mergeCells>
  <phoneticPr fontId="2" type="noConversion"/>
  <printOptions horizontalCentered="1"/>
  <pageMargins left="0.31496062992125984" right="0.31496062992125984" top="0.52" bottom="0.47" header="0.31496062992125984" footer="0.31496062992125984"/>
  <pageSetup paperSize="9" scale="69" fitToHeight="0" orientation="portrait"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77FE-B49F-4206-813B-3E2B1A8E843E}">
  <sheetPr>
    <tabColor rgb="FFFF0000"/>
    <pageSetUpPr fitToPage="1"/>
  </sheetPr>
  <dimension ref="A1:N42"/>
  <sheetViews>
    <sheetView view="pageBreakPreview" topLeftCell="A10" zoomScaleSheetLayoutView="100" workbookViewId="0">
      <selection activeCell="J31" sqref="J31:O31"/>
    </sheetView>
  </sheetViews>
  <sheetFormatPr defaultColWidth="7.69921875" defaultRowHeight="17.399999999999999" x14ac:dyDescent="0.4"/>
  <cols>
    <col min="1" max="1" width="5" style="133" customWidth="1"/>
    <col min="2" max="2" width="30.3984375" style="133" customWidth="1"/>
    <col min="3" max="3" width="35.19921875" style="133" customWidth="1"/>
    <col min="4" max="5" width="5.59765625" style="133" customWidth="1"/>
    <col min="6" max="6" width="15.69921875" style="133" customWidth="1"/>
    <col min="7" max="7" width="16.59765625" style="133" bestFit="1" customWidth="1"/>
    <col min="8" max="8" width="17.59765625" style="221" customWidth="1"/>
    <col min="9" max="9" width="5" style="133" customWidth="1"/>
    <col min="10" max="10" width="11.5" style="133" bestFit="1" customWidth="1"/>
    <col min="11" max="11" width="9.69921875" style="133" bestFit="1" customWidth="1"/>
    <col min="12" max="12" width="16.8984375" style="133" bestFit="1" customWidth="1"/>
    <col min="13" max="13" width="15.5" style="133" bestFit="1" customWidth="1"/>
    <col min="14" max="14" width="20.8984375" style="133" customWidth="1"/>
    <col min="15" max="16384" width="7.69921875" style="133"/>
  </cols>
  <sheetData>
    <row r="1" spans="1:12" ht="13.5" customHeight="1" x14ac:dyDescent="0.4">
      <c r="A1" s="129"/>
      <c r="B1" s="130"/>
      <c r="C1" s="129"/>
      <c r="D1" s="129"/>
      <c r="E1" s="129"/>
      <c r="F1" s="131"/>
      <c r="G1" s="131"/>
      <c r="H1" s="132"/>
    </row>
    <row r="2" spans="1:12" ht="50.25" customHeight="1" x14ac:dyDescent="0.4">
      <c r="A2" s="490"/>
      <c r="B2" s="490"/>
      <c r="C2" s="490"/>
      <c r="D2" s="490"/>
      <c r="E2" s="490"/>
      <c r="F2" s="490"/>
      <c r="G2" s="490"/>
      <c r="H2" s="490"/>
    </row>
    <row r="3" spans="1:12" ht="19.95" customHeight="1" thickBot="1" x14ac:dyDescent="0.45">
      <c r="A3" s="491" t="str">
        <f>갑지!B10</f>
        <v>프로젝트 :통영에코파워 SCR 성능개선 (Direct Injection Type)</v>
      </c>
      <c r="B3" s="492"/>
      <c r="C3" s="492"/>
      <c r="D3" s="492"/>
      <c r="E3" s="492"/>
      <c r="F3" s="492"/>
      <c r="G3" s="492"/>
      <c r="H3" s="493"/>
    </row>
    <row r="4" spans="1:12" ht="13.5" customHeight="1" x14ac:dyDescent="0.4">
      <c r="A4" s="494" t="s">
        <v>99</v>
      </c>
      <c r="B4" s="496" t="s">
        <v>100</v>
      </c>
      <c r="C4" s="498" t="s">
        <v>101</v>
      </c>
      <c r="D4" s="500" t="s">
        <v>102</v>
      </c>
      <c r="E4" s="498" t="s">
        <v>103</v>
      </c>
      <c r="F4" s="503" t="s">
        <v>104</v>
      </c>
      <c r="G4" s="503" t="s">
        <v>105</v>
      </c>
      <c r="H4" s="505" t="s">
        <v>106</v>
      </c>
    </row>
    <row r="5" spans="1:12" ht="13.5" customHeight="1" x14ac:dyDescent="0.4">
      <c r="A5" s="495"/>
      <c r="B5" s="497"/>
      <c r="C5" s="499"/>
      <c r="D5" s="501"/>
      <c r="E5" s="502"/>
      <c r="F5" s="504"/>
      <c r="G5" s="504"/>
      <c r="H5" s="506"/>
    </row>
    <row r="6" spans="1:12" ht="36" customHeight="1" x14ac:dyDescent="0.4">
      <c r="A6" s="134" t="s">
        <v>107</v>
      </c>
      <c r="B6" s="135" t="s">
        <v>108</v>
      </c>
      <c r="C6" s="136"/>
      <c r="D6" s="137"/>
      <c r="E6" s="138"/>
      <c r="F6" s="139"/>
      <c r="G6" s="139"/>
      <c r="H6" s="140"/>
    </row>
    <row r="7" spans="1:12" s="149" customFormat="1" ht="36" customHeight="1" x14ac:dyDescent="0.35">
      <c r="A7" s="141" t="s">
        <v>109</v>
      </c>
      <c r="B7" s="142" t="s">
        <v>110</v>
      </c>
      <c r="C7" s="143" t="s">
        <v>111</v>
      </c>
      <c r="D7" s="144">
        <v>1</v>
      </c>
      <c r="E7" s="145" t="s">
        <v>112</v>
      </c>
      <c r="F7" s="146">
        <f>을지!H109</f>
        <v>522385000</v>
      </c>
      <c r="G7" s="147">
        <f>D7*F7</f>
        <v>522385000</v>
      </c>
      <c r="H7" s="148"/>
    </row>
    <row r="8" spans="1:12" s="149" customFormat="1" ht="36" customHeight="1" x14ac:dyDescent="0.35">
      <c r="A8" s="511" t="s">
        <v>113</v>
      </c>
      <c r="B8" s="512"/>
      <c r="C8" s="513"/>
      <c r="D8" s="150"/>
      <c r="E8" s="150"/>
      <c r="F8" s="150"/>
      <c r="G8" s="151">
        <f>SUM(G7:G7)</f>
        <v>522385000</v>
      </c>
      <c r="H8" s="152"/>
    </row>
    <row r="9" spans="1:12" s="149" customFormat="1" ht="36" customHeight="1" x14ac:dyDescent="0.35">
      <c r="A9" s="141" t="s">
        <v>114</v>
      </c>
      <c r="B9" s="153" t="s">
        <v>115</v>
      </c>
      <c r="C9" s="154" t="s">
        <v>116</v>
      </c>
      <c r="D9" s="144">
        <v>1</v>
      </c>
      <c r="E9" s="145" t="s">
        <v>112</v>
      </c>
      <c r="F9" s="146">
        <f>을지!J109</f>
        <v>93000000</v>
      </c>
      <c r="G9" s="147">
        <f>D9*F9</f>
        <v>93000000</v>
      </c>
      <c r="H9" s="155"/>
      <c r="L9" s="156"/>
    </row>
    <row r="10" spans="1:12" s="149" customFormat="1" ht="36" customHeight="1" x14ac:dyDescent="0.35">
      <c r="A10" s="514" t="s">
        <v>113</v>
      </c>
      <c r="B10" s="515"/>
      <c r="C10" s="516"/>
      <c r="D10" s="150"/>
      <c r="E10" s="150"/>
      <c r="F10" s="150"/>
      <c r="G10" s="151">
        <f>G9</f>
        <v>93000000</v>
      </c>
      <c r="H10" s="152"/>
      <c r="L10" s="156"/>
    </row>
    <row r="11" spans="1:12" s="149" customFormat="1" ht="36" customHeight="1" x14ac:dyDescent="0.35">
      <c r="A11" s="141" t="s">
        <v>117</v>
      </c>
      <c r="B11" s="157" t="s">
        <v>0</v>
      </c>
      <c r="C11" s="158" t="s">
        <v>118</v>
      </c>
      <c r="D11" s="144">
        <v>1</v>
      </c>
      <c r="E11" s="145" t="s">
        <v>112</v>
      </c>
      <c r="F11" s="146">
        <f>을지!L109</f>
        <v>316255000</v>
      </c>
      <c r="G11" s="147">
        <f>D11*F11</f>
        <v>316255000</v>
      </c>
      <c r="H11" s="159"/>
      <c r="I11" s="160"/>
      <c r="L11" s="156"/>
    </row>
    <row r="12" spans="1:12" s="149" customFormat="1" ht="36" customHeight="1" x14ac:dyDescent="0.35">
      <c r="A12" s="514" t="s">
        <v>113</v>
      </c>
      <c r="B12" s="515"/>
      <c r="C12" s="516"/>
      <c r="D12" s="150"/>
      <c r="E12" s="150"/>
      <c r="F12" s="150"/>
      <c r="G12" s="151">
        <f>G11</f>
        <v>316255000</v>
      </c>
      <c r="H12" s="152"/>
      <c r="L12" s="156"/>
    </row>
    <row r="13" spans="1:12" s="149" customFormat="1" ht="36" customHeight="1" x14ac:dyDescent="0.35">
      <c r="A13" s="517" t="s">
        <v>119</v>
      </c>
      <c r="B13" s="518"/>
      <c r="C13" s="519"/>
      <c r="D13" s="150"/>
      <c r="E13" s="150"/>
      <c r="F13" s="150"/>
      <c r="G13" s="151">
        <f>G8+G10+G12</f>
        <v>931640000</v>
      </c>
      <c r="H13" s="152"/>
      <c r="L13" s="156"/>
    </row>
    <row r="14" spans="1:12" s="149" customFormat="1" ht="36" customHeight="1" x14ac:dyDescent="0.35">
      <c r="A14" s="134" t="s">
        <v>120</v>
      </c>
      <c r="B14" s="135" t="s">
        <v>121</v>
      </c>
      <c r="C14" s="161"/>
      <c r="D14" s="162"/>
      <c r="E14" s="163"/>
      <c r="F14" s="164"/>
      <c r="G14" s="164"/>
      <c r="H14" s="165"/>
      <c r="L14" s="156"/>
    </row>
    <row r="15" spans="1:12" s="149" customFormat="1" ht="36" customHeight="1" x14ac:dyDescent="0.35">
      <c r="A15" s="166" t="s">
        <v>109</v>
      </c>
      <c r="B15" s="167" t="s">
        <v>122</v>
      </c>
      <c r="C15" s="161" t="s">
        <v>123</v>
      </c>
      <c r="D15" s="144">
        <f>IF(G13&lt;1000000000,16.5,IF(AND(1000000000&lt;=G13,G13&lt;5000000000),16.2,IF(AND(5000000000&lt;=G13,G13&lt;30000000000),16.3,IF(AND(30000000000&lt;=G13,G13&lt;100000000000),15.7,IF(G13&gt;=100000000000,15.7,0)))))</f>
        <v>16.5</v>
      </c>
      <c r="E15" s="145" t="s">
        <v>124</v>
      </c>
      <c r="F15" s="163"/>
      <c r="G15" s="147">
        <f>G10*D15%</f>
        <v>15345000</v>
      </c>
      <c r="H15" s="165"/>
      <c r="L15" s="156"/>
    </row>
    <row r="16" spans="1:12" s="149" customFormat="1" ht="36" customHeight="1" x14ac:dyDescent="0.35">
      <c r="A16" s="166" t="s">
        <v>114</v>
      </c>
      <c r="B16" s="168" t="s">
        <v>125</v>
      </c>
      <c r="C16" s="169" t="s">
        <v>126</v>
      </c>
      <c r="D16" s="170">
        <v>3.56</v>
      </c>
      <c r="E16" s="171" t="s">
        <v>124</v>
      </c>
      <c r="F16" s="163"/>
      <c r="G16" s="172">
        <f>(G10+G15)*D16%</f>
        <v>3857082</v>
      </c>
      <c r="H16" s="173"/>
      <c r="L16" s="156"/>
    </row>
    <row r="17" spans="1:13" s="149" customFormat="1" ht="36" customHeight="1" x14ac:dyDescent="0.35">
      <c r="A17" s="166" t="s">
        <v>117</v>
      </c>
      <c r="B17" s="174" t="s">
        <v>127</v>
      </c>
      <c r="C17" s="169" t="s">
        <v>126</v>
      </c>
      <c r="D17" s="175">
        <f>IF(G13*1.1&lt;14000000000,1.01,IF(G13*1.1&lt;22000000000,1.02,IF(G13*1.1&lt;37000000000,1.03,IF(G13*1.1&lt;57000000000,1.06,IF(G13*1.1&lt;90000000000,1.13,IF(G13*1.1&lt;140000000000,1.3,IF(G13*1.1&gt;=140000000000,1.57,0)))))))</f>
        <v>1.01</v>
      </c>
      <c r="E17" s="171" t="s">
        <v>124</v>
      </c>
      <c r="F17" s="163"/>
      <c r="G17" s="172">
        <f>(G10+G15)*D17%</f>
        <v>1094284.5</v>
      </c>
      <c r="H17" s="173"/>
    </row>
    <row r="18" spans="1:13" s="149" customFormat="1" ht="36" customHeight="1" x14ac:dyDescent="0.35">
      <c r="A18" s="166" t="s">
        <v>128</v>
      </c>
      <c r="B18" s="168" t="s">
        <v>129</v>
      </c>
      <c r="C18" s="169" t="s">
        <v>130</v>
      </c>
      <c r="D18" s="170">
        <v>3.5449999999999999</v>
      </c>
      <c r="E18" s="171" t="s">
        <v>124</v>
      </c>
      <c r="F18" s="163"/>
      <c r="G18" s="172">
        <f>G10*D18%</f>
        <v>3296850</v>
      </c>
      <c r="H18" s="176"/>
    </row>
    <row r="19" spans="1:13" s="149" customFormat="1" ht="36" customHeight="1" x14ac:dyDescent="0.35">
      <c r="A19" s="166" t="s">
        <v>131</v>
      </c>
      <c r="B19" s="174" t="s">
        <v>132</v>
      </c>
      <c r="C19" s="169" t="s">
        <v>130</v>
      </c>
      <c r="D19" s="170">
        <v>4.5</v>
      </c>
      <c r="E19" s="171" t="s">
        <v>124</v>
      </c>
      <c r="F19" s="163"/>
      <c r="G19" s="172">
        <f>G10*D19%</f>
        <v>4185000</v>
      </c>
      <c r="H19" s="176"/>
    </row>
    <row r="20" spans="1:13" s="149" customFormat="1" ht="36" customHeight="1" x14ac:dyDescent="0.35">
      <c r="A20" s="166" t="s">
        <v>133</v>
      </c>
      <c r="B20" s="168" t="s">
        <v>134</v>
      </c>
      <c r="C20" s="169" t="s">
        <v>135</v>
      </c>
      <c r="D20" s="170">
        <v>12.95</v>
      </c>
      <c r="E20" s="171" t="s">
        <v>124</v>
      </c>
      <c r="F20" s="163"/>
      <c r="G20" s="172">
        <f>G18*D20%</f>
        <v>426942.07500000001</v>
      </c>
      <c r="H20" s="176"/>
      <c r="I20" s="156"/>
      <c r="M20" s="160"/>
    </row>
    <row r="21" spans="1:13" s="149" customFormat="1" ht="36" customHeight="1" x14ac:dyDescent="0.35">
      <c r="A21" s="177" t="s">
        <v>136</v>
      </c>
      <c r="B21" s="178" t="s">
        <v>137</v>
      </c>
      <c r="C21" s="179" t="s">
        <v>138</v>
      </c>
      <c r="D21" s="144">
        <f>IF(G8+G10&lt;500000000,3.15,IF(G8+G10&lt;5000000000,2.53,IF(G8+G10&lt;80000000000,2.6,IF(G8+G10&gt;=80000000000,2.73,0))))</f>
        <v>2.5299999999999998</v>
      </c>
      <c r="E21" s="145" t="s">
        <v>124</v>
      </c>
      <c r="F21" s="147"/>
      <c r="G21" s="358">
        <f>IF((G8+G10)*D21%+H21*1000&gt;((G8+G10-G34)*D21%+H21*1000)*1.2,((G8+G10-G34)*D21%+H21*1000)*1.2,(G8+G10)*D21%+H21*1000)</f>
        <v>18869240.5</v>
      </c>
      <c r="H21" s="180">
        <f>IF(AND(500000000&lt;=G8+G10,5000000000&gt;G8+G10),3300,0)</f>
        <v>3300</v>
      </c>
      <c r="I21" s="181"/>
      <c r="J21" s="182"/>
      <c r="K21" s="181"/>
      <c r="M21" s="181"/>
    </row>
    <row r="22" spans="1:13" s="149" customFormat="1" ht="36" customHeight="1" x14ac:dyDescent="0.35">
      <c r="A22" s="166" t="s">
        <v>139</v>
      </c>
      <c r="B22" s="174" t="s">
        <v>140</v>
      </c>
      <c r="C22" s="169" t="s">
        <v>141</v>
      </c>
      <c r="D22" s="170">
        <v>0.4</v>
      </c>
      <c r="E22" s="171" t="s">
        <v>124</v>
      </c>
      <c r="F22" s="183"/>
      <c r="G22" s="172">
        <f>G13*D22%</f>
        <v>3726560</v>
      </c>
      <c r="H22" s="176"/>
    </row>
    <row r="23" spans="1:13" s="149" customFormat="1" ht="36" customHeight="1" x14ac:dyDescent="0.35">
      <c r="A23" s="166" t="s">
        <v>142</v>
      </c>
      <c r="B23" s="174" t="s">
        <v>143</v>
      </c>
      <c r="C23" s="169" t="s">
        <v>130</v>
      </c>
      <c r="D23" s="170">
        <f>IF((G13)*1.1&gt;5000000000,2.3,0)</f>
        <v>0</v>
      </c>
      <c r="E23" s="171" t="s">
        <v>124</v>
      </c>
      <c r="F23" s="183"/>
      <c r="G23" s="172">
        <f>G10*D23%</f>
        <v>0</v>
      </c>
      <c r="H23" s="176"/>
    </row>
    <row r="24" spans="1:13" s="149" customFormat="1" ht="36" customHeight="1" x14ac:dyDescent="0.35">
      <c r="A24" s="166" t="s">
        <v>144</v>
      </c>
      <c r="B24" s="174" t="s">
        <v>145</v>
      </c>
      <c r="C24" s="169" t="s">
        <v>146</v>
      </c>
      <c r="D24" s="170">
        <f>IF(G13*1.1&lt;5000000000,0.081,IF(G13*1.1&lt;10000000000,0.08,IF(G13*1.1&lt;30000000000,0.075,IF(G13*1.1&gt;=30000000000,0.071,0))))</f>
        <v>8.1000000000000003E-2</v>
      </c>
      <c r="E24" s="171" t="s">
        <v>124</v>
      </c>
      <c r="F24" s="183"/>
      <c r="G24" s="172">
        <f>G13*D24%</f>
        <v>754628.4</v>
      </c>
      <c r="H24" s="176"/>
    </row>
    <row r="25" spans="1:13" s="149" customFormat="1" ht="36" customHeight="1" x14ac:dyDescent="0.35">
      <c r="A25" s="166" t="s">
        <v>147</v>
      </c>
      <c r="B25" s="174" t="s">
        <v>148</v>
      </c>
      <c r="C25" s="169" t="s">
        <v>146</v>
      </c>
      <c r="D25" s="170">
        <v>0.16</v>
      </c>
      <c r="E25" s="171" t="s">
        <v>124</v>
      </c>
      <c r="F25" s="183"/>
      <c r="G25" s="172">
        <f>G13*D25%</f>
        <v>1490624</v>
      </c>
      <c r="H25" s="176"/>
    </row>
    <row r="26" spans="1:13" s="149" customFormat="1" ht="36" customHeight="1" x14ac:dyDescent="0.35">
      <c r="A26" s="166"/>
      <c r="B26" s="174"/>
      <c r="C26" s="169"/>
      <c r="D26" s="170"/>
      <c r="E26" s="171"/>
      <c r="F26" s="183"/>
      <c r="G26" s="172"/>
      <c r="H26" s="176"/>
    </row>
    <row r="27" spans="1:13" s="149" customFormat="1" ht="36" customHeight="1" x14ac:dyDescent="0.35">
      <c r="A27" s="166"/>
      <c r="B27" s="174"/>
      <c r="C27" s="169"/>
      <c r="D27" s="170"/>
      <c r="E27" s="171"/>
      <c r="F27" s="183"/>
      <c r="G27" s="172"/>
      <c r="H27" s="176"/>
    </row>
    <row r="28" spans="1:13" s="149" customFormat="1" ht="36" customHeight="1" x14ac:dyDescent="0.35">
      <c r="A28" s="166" t="s">
        <v>149</v>
      </c>
      <c r="B28" s="174" t="s">
        <v>150</v>
      </c>
      <c r="C28" s="169" t="s">
        <v>151</v>
      </c>
      <c r="D28" s="184">
        <f>IF(G13&lt;1000000000,5.2,IF(G13&lt;5000000000,5.3,IF(G13&lt;30000000000,5.7,IF(G13&lt;100000000000,6,IF(G13&gt;=100000000000,6.1,0)))))</f>
        <v>5.2</v>
      </c>
      <c r="E28" s="171" t="s">
        <v>124</v>
      </c>
      <c r="F28" s="183"/>
      <c r="G28" s="172">
        <f>(G8+G10+G15)*D28%</f>
        <v>32797960.000000004</v>
      </c>
      <c r="H28" s="176"/>
      <c r="I28" s="185"/>
    </row>
    <row r="29" spans="1:13" s="149" customFormat="1" ht="36" customHeight="1" x14ac:dyDescent="0.35">
      <c r="A29" s="166" t="s">
        <v>152</v>
      </c>
      <c r="B29" s="174" t="s">
        <v>153</v>
      </c>
      <c r="C29" s="169" t="s">
        <v>154</v>
      </c>
      <c r="D29" s="186" t="s">
        <v>155</v>
      </c>
      <c r="E29" s="187" t="s">
        <v>155</v>
      </c>
      <c r="F29" s="183"/>
      <c r="G29" s="172" t="e">
        <f>#REF!</f>
        <v>#REF!</v>
      </c>
      <c r="H29" s="176"/>
      <c r="I29" s="185"/>
    </row>
    <row r="30" spans="1:13" s="149" customFormat="1" ht="36" customHeight="1" x14ac:dyDescent="0.35">
      <c r="A30" s="517" t="s">
        <v>156</v>
      </c>
      <c r="B30" s="518"/>
      <c r="C30" s="519"/>
      <c r="D30" s="188"/>
      <c r="E30" s="189"/>
      <c r="F30" s="190"/>
      <c r="G30" s="151" t="e">
        <f>SUM(G15:G29)-2054756</f>
        <v>#REF!</v>
      </c>
      <c r="H30" s="191"/>
    </row>
    <row r="31" spans="1:13" s="149" customFormat="1" ht="36" customHeight="1" x14ac:dyDescent="0.35">
      <c r="A31" s="517" t="s">
        <v>157</v>
      </c>
      <c r="B31" s="518"/>
      <c r="C31" s="519"/>
      <c r="D31" s="192"/>
      <c r="E31" s="193"/>
      <c r="F31" s="194"/>
      <c r="G31" s="195" t="e">
        <f>G30+G13</f>
        <v>#REF!</v>
      </c>
      <c r="H31" s="196"/>
      <c r="J31" s="156" t="e">
        <f>G30+G12</f>
        <v>#REF!</v>
      </c>
    </row>
    <row r="32" spans="1:13" s="199" customFormat="1" ht="36" customHeight="1" x14ac:dyDescent="0.35">
      <c r="A32" s="134" t="s">
        <v>158</v>
      </c>
      <c r="B32" s="197" t="s">
        <v>159</v>
      </c>
      <c r="C32" s="169" t="s">
        <v>160</v>
      </c>
      <c r="D32" s="170">
        <f>IF(G13&lt;5000000000,8,IF(AND(5000000000&lt;=G13,G13&lt;30000000000),6.5,IF(AND(30000000000&lt;=G13,G13&lt;100000000000),5,IF(G13&gt;=100000000000,4.5,0))))</f>
        <v>8</v>
      </c>
      <c r="E32" s="171" t="s">
        <v>124</v>
      </c>
      <c r="F32" s="164"/>
      <c r="G32" s="164">
        <f>(G8+G10+G12)*D32%</f>
        <v>74531200</v>
      </c>
      <c r="H32" s="198"/>
      <c r="J32" s="200"/>
    </row>
    <row r="33" spans="1:14" s="199" customFormat="1" ht="36" customHeight="1" x14ac:dyDescent="0.35">
      <c r="A33" s="134" t="s">
        <v>161</v>
      </c>
      <c r="B33" s="201" t="s">
        <v>162</v>
      </c>
      <c r="C33" s="202" t="s">
        <v>163</v>
      </c>
      <c r="D33" s="144">
        <v>0</v>
      </c>
      <c r="E33" s="145" t="s">
        <v>124</v>
      </c>
      <c r="F33" s="203"/>
      <c r="G33" s="203" t="e">
        <f>(G31+G32)*D33%</f>
        <v>#REF!</v>
      </c>
      <c r="H33" s="204"/>
      <c r="J33" s="205"/>
    </row>
    <row r="34" spans="1:14" s="199" customFormat="1" ht="36" customHeight="1" x14ac:dyDescent="0.35">
      <c r="A34" s="206" t="s">
        <v>164</v>
      </c>
      <c r="B34" s="201" t="s">
        <v>165</v>
      </c>
      <c r="C34" s="207"/>
      <c r="D34" s="144"/>
      <c r="E34" s="145"/>
      <c r="F34" s="203"/>
      <c r="G34" s="203"/>
      <c r="H34" s="204"/>
      <c r="J34" s="205"/>
    </row>
    <row r="35" spans="1:14" ht="36" customHeight="1" thickBot="1" x14ac:dyDescent="0.45">
      <c r="A35" s="507" t="s">
        <v>166</v>
      </c>
      <c r="B35" s="508"/>
      <c r="C35" s="509"/>
      <c r="D35" s="208"/>
      <c r="E35" s="209"/>
      <c r="F35" s="210"/>
      <c r="G35" s="211" t="e">
        <f>G31+G32+G33</f>
        <v>#REF!</v>
      </c>
      <c r="H35" s="212"/>
      <c r="I35" s="213"/>
      <c r="L35" s="214"/>
    </row>
    <row r="36" spans="1:14" ht="4.5" customHeight="1" x14ac:dyDescent="0.4">
      <c r="A36" s="215"/>
      <c r="B36" s="216"/>
      <c r="C36" s="216"/>
      <c r="D36" s="217"/>
      <c r="E36" s="215"/>
      <c r="F36" s="218"/>
      <c r="G36" s="218"/>
      <c r="H36" s="219"/>
    </row>
    <row r="38" spans="1:14" x14ac:dyDescent="0.4">
      <c r="G38" s="220"/>
      <c r="J38" s="222"/>
    </row>
    <row r="39" spans="1:14" ht="3.6" customHeight="1" x14ac:dyDescent="0.4">
      <c r="G39" s="220"/>
      <c r="J39" s="222"/>
    </row>
    <row r="40" spans="1:14" x14ac:dyDescent="0.4">
      <c r="G40" s="223"/>
      <c r="J40" s="224"/>
      <c r="K40" s="510"/>
      <c r="L40" s="510"/>
      <c r="M40" s="510"/>
      <c r="N40" s="225"/>
    </row>
    <row r="41" spans="1:14" x14ac:dyDescent="0.4">
      <c r="J41" s="224"/>
      <c r="K41" s="510"/>
      <c r="L41" s="510"/>
      <c r="M41" s="510"/>
      <c r="N41" s="225"/>
    </row>
    <row r="42" spans="1:14" x14ac:dyDescent="0.4">
      <c r="M42" s="226"/>
      <c r="N42" s="225"/>
    </row>
  </sheetData>
  <mergeCells count="19">
    <mergeCell ref="A35:C35"/>
    <mergeCell ref="K40:M40"/>
    <mergeCell ref="K41:M41"/>
    <mergeCell ref="A8:C8"/>
    <mergeCell ref="A10:C10"/>
    <mergeCell ref="A12:C12"/>
    <mergeCell ref="A13:C13"/>
    <mergeCell ref="A30:C30"/>
    <mergeCell ref="A31:C31"/>
    <mergeCell ref="A2:H2"/>
    <mergeCell ref="A3:H3"/>
    <mergeCell ref="A4:A5"/>
    <mergeCell ref="B4:B5"/>
    <mergeCell ref="C4:C5"/>
    <mergeCell ref="D4:D5"/>
    <mergeCell ref="E4:E5"/>
    <mergeCell ref="F4:F5"/>
    <mergeCell ref="G4:G5"/>
    <mergeCell ref="H4:H5"/>
  </mergeCells>
  <phoneticPr fontId="2" type="noConversion"/>
  <conditionalFormatting sqref="H21">
    <cfRule type="cellIs" dxfId="6" priority="1" operator="equal">
      <formula>0</formula>
    </cfRule>
  </conditionalFormatting>
  <printOptions horizontalCentered="1"/>
  <pageMargins left="0.39370078740157483" right="0.19685039370078741" top="0.27559055118110237" bottom="0.31496062992125984" header="0.15748031496062992" footer="0.19685039370078741"/>
  <pageSetup paperSize="9" scale="68" orientation="portrait" r:id="rId1"/>
  <headerFooter>
    <oddFooter>&amp;R&amp;P /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4EBB-E8AD-42C8-AC5C-EB67B4BB099A}">
  <sheetPr>
    <tabColor theme="8" tint="-0.249977111117893"/>
    <pageSetUpPr fitToPage="1"/>
  </sheetPr>
  <dimension ref="A1:V119"/>
  <sheetViews>
    <sheetView view="pageBreakPreview" zoomScale="85" zoomScaleNormal="55" zoomScaleSheetLayoutView="85" workbookViewId="0">
      <pane ySplit="4" topLeftCell="A75" activePane="bottomLeft" state="frozen"/>
      <selection activeCell="J31" sqref="J31:O31"/>
      <selection pane="bottomLeft" activeCell="J31" sqref="J31:O31"/>
    </sheetView>
  </sheetViews>
  <sheetFormatPr defaultColWidth="8.8984375" defaultRowHeight="20.25" customHeight="1" x14ac:dyDescent="0.4"/>
  <cols>
    <col min="1" max="2" width="30.69921875" style="227" customWidth="1"/>
    <col min="3" max="3" width="23.09765625" style="228" customWidth="1"/>
    <col min="4" max="4" width="6.3984375" style="228" customWidth="1"/>
    <col min="5" max="5" width="11.69921875" style="228" customWidth="1"/>
    <col min="6" max="6" width="13.69921875" style="228" customWidth="1"/>
    <col min="7" max="7" width="14.09765625" style="228" customWidth="1"/>
    <col min="8" max="8" width="12.5" style="228" customWidth="1"/>
    <col min="9" max="9" width="12" style="228" customWidth="1"/>
    <col min="10" max="10" width="11.69921875" style="228" customWidth="1"/>
    <col min="11" max="11" width="12.5" style="228" customWidth="1"/>
    <col min="12" max="12" width="13.69921875" style="228" customWidth="1"/>
    <col min="13" max="13" width="20.69921875" style="229" customWidth="1"/>
    <col min="14" max="14" width="8.8984375" style="227"/>
    <col min="15" max="15" width="13.3984375" style="230" bestFit="1" customWidth="1"/>
    <col min="16" max="18" width="11.5" style="230" customWidth="1"/>
    <col min="19" max="19" width="14.19921875" style="227" bestFit="1" customWidth="1"/>
    <col min="20" max="20" width="11.8984375" style="227" bestFit="1" customWidth="1"/>
    <col min="21" max="21" width="12.09765625" style="227" bestFit="1" customWidth="1"/>
    <col min="22" max="22" width="11.8984375" style="227" bestFit="1" customWidth="1"/>
    <col min="23" max="248" width="8.8984375" style="227"/>
    <col min="249" max="249" width="18.69921875" style="227" customWidth="1"/>
    <col min="250" max="250" width="32.69921875" style="227" customWidth="1"/>
    <col min="251" max="252" width="6.3984375" style="227" customWidth="1"/>
    <col min="253" max="253" width="11.69921875" style="227" customWidth="1"/>
    <col min="254" max="254" width="13.09765625" style="227" customWidth="1"/>
    <col min="255" max="255" width="11.69921875" style="227" customWidth="1"/>
    <col min="256" max="256" width="12.69921875" style="227" customWidth="1"/>
    <col min="257" max="260" width="11.69921875" style="227" customWidth="1"/>
    <col min="261" max="261" width="12.69921875" style="227" customWidth="1"/>
    <col min="262" max="262" width="8.8984375" style="227"/>
    <col min="263" max="263" width="14.19921875" style="227" customWidth="1"/>
    <col min="264" max="264" width="16.8984375" style="227" customWidth="1"/>
    <col min="265" max="504" width="8.8984375" style="227"/>
    <col min="505" max="505" width="18.69921875" style="227" customWidth="1"/>
    <col min="506" max="506" width="32.69921875" style="227" customWidth="1"/>
    <col min="507" max="508" width="6.3984375" style="227" customWidth="1"/>
    <col min="509" max="509" width="11.69921875" style="227" customWidth="1"/>
    <col min="510" max="510" width="13.09765625" style="227" customWidth="1"/>
    <col min="511" max="511" width="11.69921875" style="227" customWidth="1"/>
    <col min="512" max="512" width="12.69921875" style="227" customWidth="1"/>
    <col min="513" max="516" width="11.69921875" style="227" customWidth="1"/>
    <col min="517" max="517" width="12.69921875" style="227" customWidth="1"/>
    <col min="518" max="518" width="8.8984375" style="227"/>
    <col min="519" max="519" width="14.19921875" style="227" customWidth="1"/>
    <col min="520" max="520" width="16.8984375" style="227" customWidth="1"/>
    <col min="521" max="760" width="8.8984375" style="227"/>
    <col min="761" max="761" width="18.69921875" style="227" customWidth="1"/>
    <col min="762" max="762" width="32.69921875" style="227" customWidth="1"/>
    <col min="763" max="764" width="6.3984375" style="227" customWidth="1"/>
    <col min="765" max="765" width="11.69921875" style="227" customWidth="1"/>
    <col min="766" max="766" width="13.09765625" style="227" customWidth="1"/>
    <col min="767" max="767" width="11.69921875" style="227" customWidth="1"/>
    <col min="768" max="768" width="12.69921875" style="227" customWidth="1"/>
    <col min="769" max="772" width="11.69921875" style="227" customWidth="1"/>
    <col min="773" max="773" width="12.69921875" style="227" customWidth="1"/>
    <col min="774" max="774" width="8.8984375" style="227"/>
    <col min="775" max="775" width="14.19921875" style="227" customWidth="1"/>
    <col min="776" max="776" width="16.8984375" style="227" customWidth="1"/>
    <col min="777" max="1016" width="8.8984375" style="227"/>
    <col min="1017" max="1017" width="18.69921875" style="227" customWidth="1"/>
    <col min="1018" max="1018" width="32.69921875" style="227" customWidth="1"/>
    <col min="1019" max="1020" width="6.3984375" style="227" customWidth="1"/>
    <col min="1021" max="1021" width="11.69921875" style="227" customWidth="1"/>
    <col min="1022" max="1022" width="13.09765625" style="227" customWidth="1"/>
    <col min="1023" max="1023" width="11.69921875" style="227" customWidth="1"/>
    <col min="1024" max="1024" width="12.69921875" style="227" customWidth="1"/>
    <col min="1025" max="1028" width="11.69921875" style="227" customWidth="1"/>
    <col min="1029" max="1029" width="12.69921875" style="227" customWidth="1"/>
    <col min="1030" max="1030" width="8.8984375" style="227"/>
    <col min="1031" max="1031" width="14.19921875" style="227" customWidth="1"/>
    <col min="1032" max="1032" width="16.8984375" style="227" customWidth="1"/>
    <col min="1033" max="1272" width="8.8984375" style="227"/>
    <col min="1273" max="1273" width="18.69921875" style="227" customWidth="1"/>
    <col min="1274" max="1274" width="32.69921875" style="227" customWidth="1"/>
    <col min="1275" max="1276" width="6.3984375" style="227" customWidth="1"/>
    <col min="1277" max="1277" width="11.69921875" style="227" customWidth="1"/>
    <col min="1278" max="1278" width="13.09765625" style="227" customWidth="1"/>
    <col min="1279" max="1279" width="11.69921875" style="227" customWidth="1"/>
    <col min="1280" max="1280" width="12.69921875" style="227" customWidth="1"/>
    <col min="1281" max="1284" width="11.69921875" style="227" customWidth="1"/>
    <col min="1285" max="1285" width="12.69921875" style="227" customWidth="1"/>
    <col min="1286" max="1286" width="8.8984375" style="227"/>
    <col min="1287" max="1287" width="14.19921875" style="227" customWidth="1"/>
    <col min="1288" max="1288" width="16.8984375" style="227" customWidth="1"/>
    <col min="1289" max="1528" width="8.8984375" style="227"/>
    <col min="1529" max="1529" width="18.69921875" style="227" customWidth="1"/>
    <col min="1530" max="1530" width="32.69921875" style="227" customWidth="1"/>
    <col min="1531" max="1532" width="6.3984375" style="227" customWidth="1"/>
    <col min="1533" max="1533" width="11.69921875" style="227" customWidth="1"/>
    <col min="1534" max="1534" width="13.09765625" style="227" customWidth="1"/>
    <col min="1535" max="1535" width="11.69921875" style="227" customWidth="1"/>
    <col min="1536" max="1536" width="12.69921875" style="227" customWidth="1"/>
    <col min="1537" max="1540" width="11.69921875" style="227" customWidth="1"/>
    <col min="1541" max="1541" width="12.69921875" style="227" customWidth="1"/>
    <col min="1542" max="1542" width="8.8984375" style="227"/>
    <col min="1543" max="1543" width="14.19921875" style="227" customWidth="1"/>
    <col min="1544" max="1544" width="16.8984375" style="227" customWidth="1"/>
    <col min="1545" max="1784" width="8.8984375" style="227"/>
    <col min="1785" max="1785" width="18.69921875" style="227" customWidth="1"/>
    <col min="1786" max="1786" width="32.69921875" style="227" customWidth="1"/>
    <col min="1787" max="1788" width="6.3984375" style="227" customWidth="1"/>
    <col min="1789" max="1789" width="11.69921875" style="227" customWidth="1"/>
    <col min="1790" max="1790" width="13.09765625" style="227" customWidth="1"/>
    <col min="1791" max="1791" width="11.69921875" style="227" customWidth="1"/>
    <col min="1792" max="1792" width="12.69921875" style="227" customWidth="1"/>
    <col min="1793" max="1796" width="11.69921875" style="227" customWidth="1"/>
    <col min="1797" max="1797" width="12.69921875" style="227" customWidth="1"/>
    <col min="1798" max="1798" width="8.8984375" style="227"/>
    <col min="1799" max="1799" width="14.19921875" style="227" customWidth="1"/>
    <col min="1800" max="1800" width="16.8984375" style="227" customWidth="1"/>
    <col min="1801" max="2040" width="8.8984375" style="227"/>
    <col min="2041" max="2041" width="18.69921875" style="227" customWidth="1"/>
    <col min="2042" max="2042" width="32.69921875" style="227" customWidth="1"/>
    <col min="2043" max="2044" width="6.3984375" style="227" customWidth="1"/>
    <col min="2045" max="2045" width="11.69921875" style="227" customWidth="1"/>
    <col min="2046" max="2046" width="13.09765625" style="227" customWidth="1"/>
    <col min="2047" max="2047" width="11.69921875" style="227" customWidth="1"/>
    <col min="2048" max="2048" width="12.69921875" style="227" customWidth="1"/>
    <col min="2049" max="2052" width="11.69921875" style="227" customWidth="1"/>
    <col min="2053" max="2053" width="12.69921875" style="227" customWidth="1"/>
    <col min="2054" max="2054" width="8.8984375" style="227"/>
    <col min="2055" max="2055" width="14.19921875" style="227" customWidth="1"/>
    <col min="2056" max="2056" width="16.8984375" style="227" customWidth="1"/>
    <col min="2057" max="2296" width="8.8984375" style="227"/>
    <col min="2297" max="2297" width="18.69921875" style="227" customWidth="1"/>
    <col min="2298" max="2298" width="32.69921875" style="227" customWidth="1"/>
    <col min="2299" max="2300" width="6.3984375" style="227" customWidth="1"/>
    <col min="2301" max="2301" width="11.69921875" style="227" customWidth="1"/>
    <col min="2302" max="2302" width="13.09765625" style="227" customWidth="1"/>
    <col min="2303" max="2303" width="11.69921875" style="227" customWidth="1"/>
    <col min="2304" max="2304" width="12.69921875" style="227" customWidth="1"/>
    <col min="2305" max="2308" width="11.69921875" style="227" customWidth="1"/>
    <col min="2309" max="2309" width="12.69921875" style="227" customWidth="1"/>
    <col min="2310" max="2310" width="8.8984375" style="227"/>
    <col min="2311" max="2311" width="14.19921875" style="227" customWidth="1"/>
    <col min="2312" max="2312" width="16.8984375" style="227" customWidth="1"/>
    <col min="2313" max="2552" width="8.8984375" style="227"/>
    <col min="2553" max="2553" width="18.69921875" style="227" customWidth="1"/>
    <col min="2554" max="2554" width="32.69921875" style="227" customWidth="1"/>
    <col min="2555" max="2556" width="6.3984375" style="227" customWidth="1"/>
    <col min="2557" max="2557" width="11.69921875" style="227" customWidth="1"/>
    <col min="2558" max="2558" width="13.09765625" style="227" customWidth="1"/>
    <col min="2559" max="2559" width="11.69921875" style="227" customWidth="1"/>
    <col min="2560" max="2560" width="12.69921875" style="227" customWidth="1"/>
    <col min="2561" max="2564" width="11.69921875" style="227" customWidth="1"/>
    <col min="2565" max="2565" width="12.69921875" style="227" customWidth="1"/>
    <col min="2566" max="2566" width="8.8984375" style="227"/>
    <col min="2567" max="2567" width="14.19921875" style="227" customWidth="1"/>
    <col min="2568" max="2568" width="16.8984375" style="227" customWidth="1"/>
    <col min="2569" max="2808" width="8.8984375" style="227"/>
    <col min="2809" max="2809" width="18.69921875" style="227" customWidth="1"/>
    <col min="2810" max="2810" width="32.69921875" style="227" customWidth="1"/>
    <col min="2811" max="2812" width="6.3984375" style="227" customWidth="1"/>
    <col min="2813" max="2813" width="11.69921875" style="227" customWidth="1"/>
    <col min="2814" max="2814" width="13.09765625" style="227" customWidth="1"/>
    <col min="2815" max="2815" width="11.69921875" style="227" customWidth="1"/>
    <col min="2816" max="2816" width="12.69921875" style="227" customWidth="1"/>
    <col min="2817" max="2820" width="11.69921875" style="227" customWidth="1"/>
    <col min="2821" max="2821" width="12.69921875" style="227" customWidth="1"/>
    <col min="2822" max="2822" width="8.8984375" style="227"/>
    <col min="2823" max="2823" width="14.19921875" style="227" customWidth="1"/>
    <col min="2824" max="2824" width="16.8984375" style="227" customWidth="1"/>
    <col min="2825" max="3064" width="8.8984375" style="227"/>
    <col min="3065" max="3065" width="18.69921875" style="227" customWidth="1"/>
    <col min="3066" max="3066" width="32.69921875" style="227" customWidth="1"/>
    <col min="3067" max="3068" width="6.3984375" style="227" customWidth="1"/>
    <col min="3069" max="3069" width="11.69921875" style="227" customWidth="1"/>
    <col min="3070" max="3070" width="13.09765625" style="227" customWidth="1"/>
    <col min="3071" max="3071" width="11.69921875" style="227" customWidth="1"/>
    <col min="3072" max="3072" width="12.69921875" style="227" customWidth="1"/>
    <col min="3073" max="3076" width="11.69921875" style="227" customWidth="1"/>
    <col min="3077" max="3077" width="12.69921875" style="227" customWidth="1"/>
    <col min="3078" max="3078" width="8.8984375" style="227"/>
    <col min="3079" max="3079" width="14.19921875" style="227" customWidth="1"/>
    <col min="3080" max="3080" width="16.8984375" style="227" customWidth="1"/>
    <col min="3081" max="3320" width="8.8984375" style="227"/>
    <col min="3321" max="3321" width="18.69921875" style="227" customWidth="1"/>
    <col min="3322" max="3322" width="32.69921875" style="227" customWidth="1"/>
    <col min="3323" max="3324" width="6.3984375" style="227" customWidth="1"/>
    <col min="3325" max="3325" width="11.69921875" style="227" customWidth="1"/>
    <col min="3326" max="3326" width="13.09765625" style="227" customWidth="1"/>
    <col min="3327" max="3327" width="11.69921875" style="227" customWidth="1"/>
    <col min="3328" max="3328" width="12.69921875" style="227" customWidth="1"/>
    <col min="3329" max="3332" width="11.69921875" style="227" customWidth="1"/>
    <col min="3333" max="3333" width="12.69921875" style="227" customWidth="1"/>
    <col min="3334" max="3334" width="8.8984375" style="227"/>
    <col min="3335" max="3335" width="14.19921875" style="227" customWidth="1"/>
    <col min="3336" max="3336" width="16.8984375" style="227" customWidth="1"/>
    <col min="3337" max="3576" width="8.8984375" style="227"/>
    <col min="3577" max="3577" width="18.69921875" style="227" customWidth="1"/>
    <col min="3578" max="3578" width="32.69921875" style="227" customWidth="1"/>
    <col min="3579" max="3580" width="6.3984375" style="227" customWidth="1"/>
    <col min="3581" max="3581" width="11.69921875" style="227" customWidth="1"/>
    <col min="3582" max="3582" width="13.09765625" style="227" customWidth="1"/>
    <col min="3583" max="3583" width="11.69921875" style="227" customWidth="1"/>
    <col min="3584" max="3584" width="12.69921875" style="227" customWidth="1"/>
    <col min="3585" max="3588" width="11.69921875" style="227" customWidth="1"/>
    <col min="3589" max="3589" width="12.69921875" style="227" customWidth="1"/>
    <col min="3590" max="3590" width="8.8984375" style="227"/>
    <col min="3591" max="3591" width="14.19921875" style="227" customWidth="1"/>
    <col min="3592" max="3592" width="16.8984375" style="227" customWidth="1"/>
    <col min="3593" max="3832" width="8.8984375" style="227"/>
    <col min="3833" max="3833" width="18.69921875" style="227" customWidth="1"/>
    <col min="3834" max="3834" width="32.69921875" style="227" customWidth="1"/>
    <col min="3835" max="3836" width="6.3984375" style="227" customWidth="1"/>
    <col min="3837" max="3837" width="11.69921875" style="227" customWidth="1"/>
    <col min="3838" max="3838" width="13.09765625" style="227" customWidth="1"/>
    <col min="3839" max="3839" width="11.69921875" style="227" customWidth="1"/>
    <col min="3840" max="3840" width="12.69921875" style="227" customWidth="1"/>
    <col min="3841" max="3844" width="11.69921875" style="227" customWidth="1"/>
    <col min="3845" max="3845" width="12.69921875" style="227" customWidth="1"/>
    <col min="3846" max="3846" width="8.8984375" style="227"/>
    <col min="3847" max="3847" width="14.19921875" style="227" customWidth="1"/>
    <col min="3848" max="3848" width="16.8984375" style="227" customWidth="1"/>
    <col min="3849" max="4088" width="8.8984375" style="227"/>
    <col min="4089" max="4089" width="18.69921875" style="227" customWidth="1"/>
    <col min="4090" max="4090" width="32.69921875" style="227" customWidth="1"/>
    <col min="4091" max="4092" width="6.3984375" style="227" customWidth="1"/>
    <col min="4093" max="4093" width="11.69921875" style="227" customWidth="1"/>
    <col min="4094" max="4094" width="13.09765625" style="227" customWidth="1"/>
    <col min="4095" max="4095" width="11.69921875" style="227" customWidth="1"/>
    <col min="4096" max="4096" width="12.69921875" style="227" customWidth="1"/>
    <col min="4097" max="4100" width="11.69921875" style="227" customWidth="1"/>
    <col min="4101" max="4101" width="12.69921875" style="227" customWidth="1"/>
    <col min="4102" max="4102" width="8.8984375" style="227"/>
    <col min="4103" max="4103" width="14.19921875" style="227" customWidth="1"/>
    <col min="4104" max="4104" width="16.8984375" style="227" customWidth="1"/>
    <col min="4105" max="4344" width="8.8984375" style="227"/>
    <col min="4345" max="4345" width="18.69921875" style="227" customWidth="1"/>
    <col min="4346" max="4346" width="32.69921875" style="227" customWidth="1"/>
    <col min="4347" max="4348" width="6.3984375" style="227" customWidth="1"/>
    <col min="4349" max="4349" width="11.69921875" style="227" customWidth="1"/>
    <col min="4350" max="4350" width="13.09765625" style="227" customWidth="1"/>
    <col min="4351" max="4351" width="11.69921875" style="227" customWidth="1"/>
    <col min="4352" max="4352" width="12.69921875" style="227" customWidth="1"/>
    <col min="4353" max="4356" width="11.69921875" style="227" customWidth="1"/>
    <col min="4357" max="4357" width="12.69921875" style="227" customWidth="1"/>
    <col min="4358" max="4358" width="8.8984375" style="227"/>
    <col min="4359" max="4359" width="14.19921875" style="227" customWidth="1"/>
    <col min="4360" max="4360" width="16.8984375" style="227" customWidth="1"/>
    <col min="4361" max="4600" width="8.8984375" style="227"/>
    <col min="4601" max="4601" width="18.69921875" style="227" customWidth="1"/>
    <col min="4602" max="4602" width="32.69921875" style="227" customWidth="1"/>
    <col min="4603" max="4604" width="6.3984375" style="227" customWidth="1"/>
    <col min="4605" max="4605" width="11.69921875" style="227" customWidth="1"/>
    <col min="4606" max="4606" width="13.09765625" style="227" customWidth="1"/>
    <col min="4607" max="4607" width="11.69921875" style="227" customWidth="1"/>
    <col min="4608" max="4608" width="12.69921875" style="227" customWidth="1"/>
    <col min="4609" max="4612" width="11.69921875" style="227" customWidth="1"/>
    <col min="4613" max="4613" width="12.69921875" style="227" customWidth="1"/>
    <col min="4614" max="4614" width="8.8984375" style="227"/>
    <col min="4615" max="4615" width="14.19921875" style="227" customWidth="1"/>
    <col min="4616" max="4616" width="16.8984375" style="227" customWidth="1"/>
    <col min="4617" max="4856" width="8.8984375" style="227"/>
    <col min="4857" max="4857" width="18.69921875" style="227" customWidth="1"/>
    <col min="4858" max="4858" width="32.69921875" style="227" customWidth="1"/>
    <col min="4859" max="4860" width="6.3984375" style="227" customWidth="1"/>
    <col min="4861" max="4861" width="11.69921875" style="227" customWidth="1"/>
    <col min="4862" max="4862" width="13.09765625" style="227" customWidth="1"/>
    <col min="4863" max="4863" width="11.69921875" style="227" customWidth="1"/>
    <col min="4864" max="4864" width="12.69921875" style="227" customWidth="1"/>
    <col min="4865" max="4868" width="11.69921875" style="227" customWidth="1"/>
    <col min="4869" max="4869" width="12.69921875" style="227" customWidth="1"/>
    <col min="4870" max="4870" width="8.8984375" style="227"/>
    <col min="4871" max="4871" width="14.19921875" style="227" customWidth="1"/>
    <col min="4872" max="4872" width="16.8984375" style="227" customWidth="1"/>
    <col min="4873" max="5112" width="8.8984375" style="227"/>
    <col min="5113" max="5113" width="18.69921875" style="227" customWidth="1"/>
    <col min="5114" max="5114" width="32.69921875" style="227" customWidth="1"/>
    <col min="5115" max="5116" width="6.3984375" style="227" customWidth="1"/>
    <col min="5117" max="5117" width="11.69921875" style="227" customWidth="1"/>
    <col min="5118" max="5118" width="13.09765625" style="227" customWidth="1"/>
    <col min="5119" max="5119" width="11.69921875" style="227" customWidth="1"/>
    <col min="5120" max="5120" width="12.69921875" style="227" customWidth="1"/>
    <col min="5121" max="5124" width="11.69921875" style="227" customWidth="1"/>
    <col min="5125" max="5125" width="12.69921875" style="227" customWidth="1"/>
    <col min="5126" max="5126" width="8.8984375" style="227"/>
    <col min="5127" max="5127" width="14.19921875" style="227" customWidth="1"/>
    <col min="5128" max="5128" width="16.8984375" style="227" customWidth="1"/>
    <col min="5129" max="5368" width="8.8984375" style="227"/>
    <col min="5369" max="5369" width="18.69921875" style="227" customWidth="1"/>
    <col min="5370" max="5370" width="32.69921875" style="227" customWidth="1"/>
    <col min="5371" max="5372" width="6.3984375" style="227" customWidth="1"/>
    <col min="5373" max="5373" width="11.69921875" style="227" customWidth="1"/>
    <col min="5374" max="5374" width="13.09765625" style="227" customWidth="1"/>
    <col min="5375" max="5375" width="11.69921875" style="227" customWidth="1"/>
    <col min="5376" max="5376" width="12.69921875" style="227" customWidth="1"/>
    <col min="5377" max="5380" width="11.69921875" style="227" customWidth="1"/>
    <col min="5381" max="5381" width="12.69921875" style="227" customWidth="1"/>
    <col min="5382" max="5382" width="8.8984375" style="227"/>
    <col min="5383" max="5383" width="14.19921875" style="227" customWidth="1"/>
    <col min="5384" max="5384" width="16.8984375" style="227" customWidth="1"/>
    <col min="5385" max="5624" width="8.8984375" style="227"/>
    <col min="5625" max="5625" width="18.69921875" style="227" customWidth="1"/>
    <col min="5626" max="5626" width="32.69921875" style="227" customWidth="1"/>
    <col min="5627" max="5628" width="6.3984375" style="227" customWidth="1"/>
    <col min="5629" max="5629" width="11.69921875" style="227" customWidth="1"/>
    <col min="5630" max="5630" width="13.09765625" style="227" customWidth="1"/>
    <col min="5631" max="5631" width="11.69921875" style="227" customWidth="1"/>
    <col min="5632" max="5632" width="12.69921875" style="227" customWidth="1"/>
    <col min="5633" max="5636" width="11.69921875" style="227" customWidth="1"/>
    <col min="5637" max="5637" width="12.69921875" style="227" customWidth="1"/>
    <col min="5638" max="5638" width="8.8984375" style="227"/>
    <col min="5639" max="5639" width="14.19921875" style="227" customWidth="1"/>
    <col min="5640" max="5640" width="16.8984375" style="227" customWidth="1"/>
    <col min="5641" max="5880" width="8.8984375" style="227"/>
    <col min="5881" max="5881" width="18.69921875" style="227" customWidth="1"/>
    <col min="5882" max="5882" width="32.69921875" style="227" customWidth="1"/>
    <col min="5883" max="5884" width="6.3984375" style="227" customWidth="1"/>
    <col min="5885" max="5885" width="11.69921875" style="227" customWidth="1"/>
    <col min="5886" max="5886" width="13.09765625" style="227" customWidth="1"/>
    <col min="5887" max="5887" width="11.69921875" style="227" customWidth="1"/>
    <col min="5888" max="5888" width="12.69921875" style="227" customWidth="1"/>
    <col min="5889" max="5892" width="11.69921875" style="227" customWidth="1"/>
    <col min="5893" max="5893" width="12.69921875" style="227" customWidth="1"/>
    <col min="5894" max="5894" width="8.8984375" style="227"/>
    <col min="5895" max="5895" width="14.19921875" style="227" customWidth="1"/>
    <col min="5896" max="5896" width="16.8984375" style="227" customWidth="1"/>
    <col min="5897" max="6136" width="8.8984375" style="227"/>
    <col min="6137" max="6137" width="18.69921875" style="227" customWidth="1"/>
    <col min="6138" max="6138" width="32.69921875" style="227" customWidth="1"/>
    <col min="6139" max="6140" width="6.3984375" style="227" customWidth="1"/>
    <col min="6141" max="6141" width="11.69921875" style="227" customWidth="1"/>
    <col min="6142" max="6142" width="13.09765625" style="227" customWidth="1"/>
    <col min="6143" max="6143" width="11.69921875" style="227" customWidth="1"/>
    <col min="6144" max="6144" width="12.69921875" style="227" customWidth="1"/>
    <col min="6145" max="6148" width="11.69921875" style="227" customWidth="1"/>
    <col min="6149" max="6149" width="12.69921875" style="227" customWidth="1"/>
    <col min="6150" max="6150" width="8.8984375" style="227"/>
    <col min="6151" max="6151" width="14.19921875" style="227" customWidth="1"/>
    <col min="6152" max="6152" width="16.8984375" style="227" customWidth="1"/>
    <col min="6153" max="6392" width="8.8984375" style="227"/>
    <col min="6393" max="6393" width="18.69921875" style="227" customWidth="1"/>
    <col min="6394" max="6394" width="32.69921875" style="227" customWidth="1"/>
    <col min="6395" max="6396" width="6.3984375" style="227" customWidth="1"/>
    <col min="6397" max="6397" width="11.69921875" style="227" customWidth="1"/>
    <col min="6398" max="6398" width="13.09765625" style="227" customWidth="1"/>
    <col min="6399" max="6399" width="11.69921875" style="227" customWidth="1"/>
    <col min="6400" max="6400" width="12.69921875" style="227" customWidth="1"/>
    <col min="6401" max="6404" width="11.69921875" style="227" customWidth="1"/>
    <col min="6405" max="6405" width="12.69921875" style="227" customWidth="1"/>
    <col min="6406" max="6406" width="8.8984375" style="227"/>
    <col min="6407" max="6407" width="14.19921875" style="227" customWidth="1"/>
    <col min="6408" max="6408" width="16.8984375" style="227" customWidth="1"/>
    <col min="6409" max="6648" width="8.8984375" style="227"/>
    <col min="6649" max="6649" width="18.69921875" style="227" customWidth="1"/>
    <col min="6650" max="6650" width="32.69921875" style="227" customWidth="1"/>
    <col min="6651" max="6652" width="6.3984375" style="227" customWidth="1"/>
    <col min="6653" max="6653" width="11.69921875" style="227" customWidth="1"/>
    <col min="6654" max="6654" width="13.09765625" style="227" customWidth="1"/>
    <col min="6655" max="6655" width="11.69921875" style="227" customWidth="1"/>
    <col min="6656" max="6656" width="12.69921875" style="227" customWidth="1"/>
    <col min="6657" max="6660" width="11.69921875" style="227" customWidth="1"/>
    <col min="6661" max="6661" width="12.69921875" style="227" customWidth="1"/>
    <col min="6662" max="6662" width="8.8984375" style="227"/>
    <col min="6663" max="6663" width="14.19921875" style="227" customWidth="1"/>
    <col min="6664" max="6664" width="16.8984375" style="227" customWidth="1"/>
    <col min="6665" max="6904" width="8.8984375" style="227"/>
    <col min="6905" max="6905" width="18.69921875" style="227" customWidth="1"/>
    <col min="6906" max="6906" width="32.69921875" style="227" customWidth="1"/>
    <col min="6907" max="6908" width="6.3984375" style="227" customWidth="1"/>
    <col min="6909" max="6909" width="11.69921875" style="227" customWidth="1"/>
    <col min="6910" max="6910" width="13.09765625" style="227" customWidth="1"/>
    <col min="6911" max="6911" width="11.69921875" style="227" customWidth="1"/>
    <col min="6912" max="6912" width="12.69921875" style="227" customWidth="1"/>
    <col min="6913" max="6916" width="11.69921875" style="227" customWidth="1"/>
    <col min="6917" max="6917" width="12.69921875" style="227" customWidth="1"/>
    <col min="6918" max="6918" width="8.8984375" style="227"/>
    <col min="6919" max="6919" width="14.19921875" style="227" customWidth="1"/>
    <col min="6920" max="6920" width="16.8984375" style="227" customWidth="1"/>
    <col min="6921" max="7160" width="8.8984375" style="227"/>
    <col min="7161" max="7161" width="18.69921875" style="227" customWidth="1"/>
    <col min="7162" max="7162" width="32.69921875" style="227" customWidth="1"/>
    <col min="7163" max="7164" width="6.3984375" style="227" customWidth="1"/>
    <col min="7165" max="7165" width="11.69921875" style="227" customWidth="1"/>
    <col min="7166" max="7166" width="13.09765625" style="227" customWidth="1"/>
    <col min="7167" max="7167" width="11.69921875" style="227" customWidth="1"/>
    <col min="7168" max="7168" width="12.69921875" style="227" customWidth="1"/>
    <col min="7169" max="7172" width="11.69921875" style="227" customWidth="1"/>
    <col min="7173" max="7173" width="12.69921875" style="227" customWidth="1"/>
    <col min="7174" max="7174" width="8.8984375" style="227"/>
    <col min="7175" max="7175" width="14.19921875" style="227" customWidth="1"/>
    <col min="7176" max="7176" width="16.8984375" style="227" customWidth="1"/>
    <col min="7177" max="7416" width="8.8984375" style="227"/>
    <col min="7417" max="7417" width="18.69921875" style="227" customWidth="1"/>
    <col min="7418" max="7418" width="32.69921875" style="227" customWidth="1"/>
    <col min="7419" max="7420" width="6.3984375" style="227" customWidth="1"/>
    <col min="7421" max="7421" width="11.69921875" style="227" customWidth="1"/>
    <col min="7422" max="7422" width="13.09765625" style="227" customWidth="1"/>
    <col min="7423" max="7423" width="11.69921875" style="227" customWidth="1"/>
    <col min="7424" max="7424" width="12.69921875" style="227" customWidth="1"/>
    <col min="7425" max="7428" width="11.69921875" style="227" customWidth="1"/>
    <col min="7429" max="7429" width="12.69921875" style="227" customWidth="1"/>
    <col min="7430" max="7430" width="8.8984375" style="227"/>
    <col min="7431" max="7431" width="14.19921875" style="227" customWidth="1"/>
    <col min="7432" max="7432" width="16.8984375" style="227" customWidth="1"/>
    <col min="7433" max="7672" width="8.8984375" style="227"/>
    <col min="7673" max="7673" width="18.69921875" style="227" customWidth="1"/>
    <col min="7674" max="7674" width="32.69921875" style="227" customWidth="1"/>
    <col min="7675" max="7676" width="6.3984375" style="227" customWidth="1"/>
    <col min="7677" max="7677" width="11.69921875" style="227" customWidth="1"/>
    <col min="7678" max="7678" width="13.09765625" style="227" customWidth="1"/>
    <col min="7679" max="7679" width="11.69921875" style="227" customWidth="1"/>
    <col min="7680" max="7680" width="12.69921875" style="227" customWidth="1"/>
    <col min="7681" max="7684" width="11.69921875" style="227" customWidth="1"/>
    <col min="7685" max="7685" width="12.69921875" style="227" customWidth="1"/>
    <col min="7686" max="7686" width="8.8984375" style="227"/>
    <col min="7687" max="7687" width="14.19921875" style="227" customWidth="1"/>
    <col min="7688" max="7688" width="16.8984375" style="227" customWidth="1"/>
    <col min="7689" max="7928" width="8.8984375" style="227"/>
    <col min="7929" max="7929" width="18.69921875" style="227" customWidth="1"/>
    <col min="7930" max="7930" width="32.69921875" style="227" customWidth="1"/>
    <col min="7931" max="7932" width="6.3984375" style="227" customWidth="1"/>
    <col min="7933" max="7933" width="11.69921875" style="227" customWidth="1"/>
    <col min="7934" max="7934" width="13.09765625" style="227" customWidth="1"/>
    <col min="7935" max="7935" width="11.69921875" style="227" customWidth="1"/>
    <col min="7936" max="7936" width="12.69921875" style="227" customWidth="1"/>
    <col min="7937" max="7940" width="11.69921875" style="227" customWidth="1"/>
    <col min="7941" max="7941" width="12.69921875" style="227" customWidth="1"/>
    <col min="7942" max="7942" width="8.8984375" style="227"/>
    <col min="7943" max="7943" width="14.19921875" style="227" customWidth="1"/>
    <col min="7944" max="7944" width="16.8984375" style="227" customWidth="1"/>
    <col min="7945" max="8184" width="8.8984375" style="227"/>
    <col min="8185" max="8185" width="18.69921875" style="227" customWidth="1"/>
    <col min="8186" max="8186" width="32.69921875" style="227" customWidth="1"/>
    <col min="8187" max="8188" width="6.3984375" style="227" customWidth="1"/>
    <col min="8189" max="8189" width="11.69921875" style="227" customWidth="1"/>
    <col min="8190" max="8190" width="13.09765625" style="227" customWidth="1"/>
    <col min="8191" max="8191" width="11.69921875" style="227" customWidth="1"/>
    <col min="8192" max="8192" width="12.69921875" style="227" customWidth="1"/>
    <col min="8193" max="8196" width="11.69921875" style="227" customWidth="1"/>
    <col min="8197" max="8197" width="12.69921875" style="227" customWidth="1"/>
    <col min="8198" max="8198" width="8.8984375" style="227"/>
    <col min="8199" max="8199" width="14.19921875" style="227" customWidth="1"/>
    <col min="8200" max="8200" width="16.8984375" style="227" customWidth="1"/>
    <col min="8201" max="8440" width="8.8984375" style="227"/>
    <col min="8441" max="8441" width="18.69921875" style="227" customWidth="1"/>
    <col min="8442" max="8442" width="32.69921875" style="227" customWidth="1"/>
    <col min="8443" max="8444" width="6.3984375" style="227" customWidth="1"/>
    <col min="8445" max="8445" width="11.69921875" style="227" customWidth="1"/>
    <col min="8446" max="8446" width="13.09765625" style="227" customWidth="1"/>
    <col min="8447" max="8447" width="11.69921875" style="227" customWidth="1"/>
    <col min="8448" max="8448" width="12.69921875" style="227" customWidth="1"/>
    <col min="8449" max="8452" width="11.69921875" style="227" customWidth="1"/>
    <col min="8453" max="8453" width="12.69921875" style="227" customWidth="1"/>
    <col min="8454" max="8454" width="8.8984375" style="227"/>
    <col min="8455" max="8455" width="14.19921875" style="227" customWidth="1"/>
    <col min="8456" max="8456" width="16.8984375" style="227" customWidth="1"/>
    <col min="8457" max="8696" width="8.8984375" style="227"/>
    <col min="8697" max="8697" width="18.69921875" style="227" customWidth="1"/>
    <col min="8698" max="8698" width="32.69921875" style="227" customWidth="1"/>
    <col min="8699" max="8700" width="6.3984375" style="227" customWidth="1"/>
    <col min="8701" max="8701" width="11.69921875" style="227" customWidth="1"/>
    <col min="8702" max="8702" width="13.09765625" style="227" customWidth="1"/>
    <col min="8703" max="8703" width="11.69921875" style="227" customWidth="1"/>
    <col min="8704" max="8704" width="12.69921875" style="227" customWidth="1"/>
    <col min="8705" max="8708" width="11.69921875" style="227" customWidth="1"/>
    <col min="8709" max="8709" width="12.69921875" style="227" customWidth="1"/>
    <col min="8710" max="8710" width="8.8984375" style="227"/>
    <col min="8711" max="8711" width="14.19921875" style="227" customWidth="1"/>
    <col min="8712" max="8712" width="16.8984375" style="227" customWidth="1"/>
    <col min="8713" max="8952" width="8.8984375" style="227"/>
    <col min="8953" max="8953" width="18.69921875" style="227" customWidth="1"/>
    <col min="8954" max="8954" width="32.69921875" style="227" customWidth="1"/>
    <col min="8955" max="8956" width="6.3984375" style="227" customWidth="1"/>
    <col min="8957" max="8957" width="11.69921875" style="227" customWidth="1"/>
    <col min="8958" max="8958" width="13.09765625" style="227" customWidth="1"/>
    <col min="8959" max="8959" width="11.69921875" style="227" customWidth="1"/>
    <col min="8960" max="8960" width="12.69921875" style="227" customWidth="1"/>
    <col min="8961" max="8964" width="11.69921875" style="227" customWidth="1"/>
    <col min="8965" max="8965" width="12.69921875" style="227" customWidth="1"/>
    <col min="8966" max="8966" width="8.8984375" style="227"/>
    <col min="8967" max="8967" width="14.19921875" style="227" customWidth="1"/>
    <col min="8968" max="8968" width="16.8984375" style="227" customWidth="1"/>
    <col min="8969" max="9208" width="8.8984375" style="227"/>
    <col min="9209" max="9209" width="18.69921875" style="227" customWidth="1"/>
    <col min="9210" max="9210" width="32.69921875" style="227" customWidth="1"/>
    <col min="9211" max="9212" width="6.3984375" style="227" customWidth="1"/>
    <col min="9213" max="9213" width="11.69921875" style="227" customWidth="1"/>
    <col min="9214" max="9214" width="13.09765625" style="227" customWidth="1"/>
    <col min="9215" max="9215" width="11.69921875" style="227" customWidth="1"/>
    <col min="9216" max="9216" width="12.69921875" style="227" customWidth="1"/>
    <col min="9217" max="9220" width="11.69921875" style="227" customWidth="1"/>
    <col min="9221" max="9221" width="12.69921875" style="227" customWidth="1"/>
    <col min="9222" max="9222" width="8.8984375" style="227"/>
    <col min="9223" max="9223" width="14.19921875" style="227" customWidth="1"/>
    <col min="9224" max="9224" width="16.8984375" style="227" customWidth="1"/>
    <col min="9225" max="9464" width="8.8984375" style="227"/>
    <col min="9465" max="9465" width="18.69921875" style="227" customWidth="1"/>
    <col min="9466" max="9466" width="32.69921875" style="227" customWidth="1"/>
    <col min="9467" max="9468" width="6.3984375" style="227" customWidth="1"/>
    <col min="9469" max="9469" width="11.69921875" style="227" customWidth="1"/>
    <col min="9470" max="9470" width="13.09765625" style="227" customWidth="1"/>
    <col min="9471" max="9471" width="11.69921875" style="227" customWidth="1"/>
    <col min="9472" max="9472" width="12.69921875" style="227" customWidth="1"/>
    <col min="9473" max="9476" width="11.69921875" style="227" customWidth="1"/>
    <col min="9477" max="9477" width="12.69921875" style="227" customWidth="1"/>
    <col min="9478" max="9478" width="8.8984375" style="227"/>
    <col min="9479" max="9479" width="14.19921875" style="227" customWidth="1"/>
    <col min="9480" max="9480" width="16.8984375" style="227" customWidth="1"/>
    <col min="9481" max="9720" width="8.8984375" style="227"/>
    <col min="9721" max="9721" width="18.69921875" style="227" customWidth="1"/>
    <col min="9722" max="9722" width="32.69921875" style="227" customWidth="1"/>
    <col min="9723" max="9724" width="6.3984375" style="227" customWidth="1"/>
    <col min="9725" max="9725" width="11.69921875" style="227" customWidth="1"/>
    <col min="9726" max="9726" width="13.09765625" style="227" customWidth="1"/>
    <col min="9727" max="9727" width="11.69921875" style="227" customWidth="1"/>
    <col min="9728" max="9728" width="12.69921875" style="227" customWidth="1"/>
    <col min="9729" max="9732" width="11.69921875" style="227" customWidth="1"/>
    <col min="9733" max="9733" width="12.69921875" style="227" customWidth="1"/>
    <col min="9734" max="9734" width="8.8984375" style="227"/>
    <col min="9735" max="9735" width="14.19921875" style="227" customWidth="1"/>
    <col min="9736" max="9736" width="16.8984375" style="227" customWidth="1"/>
    <col min="9737" max="9976" width="8.8984375" style="227"/>
    <col min="9977" max="9977" width="18.69921875" style="227" customWidth="1"/>
    <col min="9978" max="9978" width="32.69921875" style="227" customWidth="1"/>
    <col min="9979" max="9980" width="6.3984375" style="227" customWidth="1"/>
    <col min="9981" max="9981" width="11.69921875" style="227" customWidth="1"/>
    <col min="9982" max="9982" width="13.09765625" style="227" customWidth="1"/>
    <col min="9983" max="9983" width="11.69921875" style="227" customWidth="1"/>
    <col min="9984" max="9984" width="12.69921875" style="227" customWidth="1"/>
    <col min="9985" max="9988" width="11.69921875" style="227" customWidth="1"/>
    <col min="9989" max="9989" width="12.69921875" style="227" customWidth="1"/>
    <col min="9990" max="9990" width="8.8984375" style="227"/>
    <col min="9991" max="9991" width="14.19921875" style="227" customWidth="1"/>
    <col min="9992" max="9992" width="16.8984375" style="227" customWidth="1"/>
    <col min="9993" max="10232" width="8.8984375" style="227"/>
    <col min="10233" max="10233" width="18.69921875" style="227" customWidth="1"/>
    <col min="10234" max="10234" width="32.69921875" style="227" customWidth="1"/>
    <col min="10235" max="10236" width="6.3984375" style="227" customWidth="1"/>
    <col min="10237" max="10237" width="11.69921875" style="227" customWidth="1"/>
    <col min="10238" max="10238" width="13.09765625" style="227" customWidth="1"/>
    <col min="10239" max="10239" width="11.69921875" style="227" customWidth="1"/>
    <col min="10240" max="10240" width="12.69921875" style="227" customWidth="1"/>
    <col min="10241" max="10244" width="11.69921875" style="227" customWidth="1"/>
    <col min="10245" max="10245" width="12.69921875" style="227" customWidth="1"/>
    <col min="10246" max="10246" width="8.8984375" style="227"/>
    <col min="10247" max="10247" width="14.19921875" style="227" customWidth="1"/>
    <col min="10248" max="10248" width="16.8984375" style="227" customWidth="1"/>
    <col min="10249" max="10488" width="8.8984375" style="227"/>
    <col min="10489" max="10489" width="18.69921875" style="227" customWidth="1"/>
    <col min="10490" max="10490" width="32.69921875" style="227" customWidth="1"/>
    <col min="10491" max="10492" width="6.3984375" style="227" customWidth="1"/>
    <col min="10493" max="10493" width="11.69921875" style="227" customWidth="1"/>
    <col min="10494" max="10494" width="13.09765625" style="227" customWidth="1"/>
    <col min="10495" max="10495" width="11.69921875" style="227" customWidth="1"/>
    <col min="10496" max="10496" width="12.69921875" style="227" customWidth="1"/>
    <col min="10497" max="10500" width="11.69921875" style="227" customWidth="1"/>
    <col min="10501" max="10501" width="12.69921875" style="227" customWidth="1"/>
    <col min="10502" max="10502" width="8.8984375" style="227"/>
    <col min="10503" max="10503" width="14.19921875" style="227" customWidth="1"/>
    <col min="10504" max="10504" width="16.8984375" style="227" customWidth="1"/>
    <col min="10505" max="10744" width="8.8984375" style="227"/>
    <col min="10745" max="10745" width="18.69921875" style="227" customWidth="1"/>
    <col min="10746" max="10746" width="32.69921875" style="227" customWidth="1"/>
    <col min="10747" max="10748" width="6.3984375" style="227" customWidth="1"/>
    <col min="10749" max="10749" width="11.69921875" style="227" customWidth="1"/>
    <col min="10750" max="10750" width="13.09765625" style="227" customWidth="1"/>
    <col min="10751" max="10751" width="11.69921875" style="227" customWidth="1"/>
    <col min="10752" max="10752" width="12.69921875" style="227" customWidth="1"/>
    <col min="10753" max="10756" width="11.69921875" style="227" customWidth="1"/>
    <col min="10757" max="10757" width="12.69921875" style="227" customWidth="1"/>
    <col min="10758" max="10758" width="8.8984375" style="227"/>
    <col min="10759" max="10759" width="14.19921875" style="227" customWidth="1"/>
    <col min="10760" max="10760" width="16.8984375" style="227" customWidth="1"/>
    <col min="10761" max="11000" width="8.8984375" style="227"/>
    <col min="11001" max="11001" width="18.69921875" style="227" customWidth="1"/>
    <col min="11002" max="11002" width="32.69921875" style="227" customWidth="1"/>
    <col min="11003" max="11004" width="6.3984375" style="227" customWidth="1"/>
    <col min="11005" max="11005" width="11.69921875" style="227" customWidth="1"/>
    <col min="11006" max="11006" width="13.09765625" style="227" customWidth="1"/>
    <col min="11007" max="11007" width="11.69921875" style="227" customWidth="1"/>
    <col min="11008" max="11008" width="12.69921875" style="227" customWidth="1"/>
    <col min="11009" max="11012" width="11.69921875" style="227" customWidth="1"/>
    <col min="11013" max="11013" width="12.69921875" style="227" customWidth="1"/>
    <col min="11014" max="11014" width="8.8984375" style="227"/>
    <col min="11015" max="11015" width="14.19921875" style="227" customWidth="1"/>
    <col min="11016" max="11016" width="16.8984375" style="227" customWidth="1"/>
    <col min="11017" max="11256" width="8.8984375" style="227"/>
    <col min="11257" max="11257" width="18.69921875" style="227" customWidth="1"/>
    <col min="11258" max="11258" width="32.69921875" style="227" customWidth="1"/>
    <col min="11259" max="11260" width="6.3984375" style="227" customWidth="1"/>
    <col min="11261" max="11261" width="11.69921875" style="227" customWidth="1"/>
    <col min="11262" max="11262" width="13.09765625" style="227" customWidth="1"/>
    <col min="11263" max="11263" width="11.69921875" style="227" customWidth="1"/>
    <col min="11264" max="11264" width="12.69921875" style="227" customWidth="1"/>
    <col min="11265" max="11268" width="11.69921875" style="227" customWidth="1"/>
    <col min="11269" max="11269" width="12.69921875" style="227" customWidth="1"/>
    <col min="11270" max="11270" width="8.8984375" style="227"/>
    <col min="11271" max="11271" width="14.19921875" style="227" customWidth="1"/>
    <col min="11272" max="11272" width="16.8984375" style="227" customWidth="1"/>
    <col min="11273" max="11512" width="8.8984375" style="227"/>
    <col min="11513" max="11513" width="18.69921875" style="227" customWidth="1"/>
    <col min="11514" max="11514" width="32.69921875" style="227" customWidth="1"/>
    <col min="11515" max="11516" width="6.3984375" style="227" customWidth="1"/>
    <col min="11517" max="11517" width="11.69921875" style="227" customWidth="1"/>
    <col min="11518" max="11518" width="13.09765625" style="227" customWidth="1"/>
    <col min="11519" max="11519" width="11.69921875" style="227" customWidth="1"/>
    <col min="11520" max="11520" width="12.69921875" style="227" customWidth="1"/>
    <col min="11521" max="11524" width="11.69921875" style="227" customWidth="1"/>
    <col min="11525" max="11525" width="12.69921875" style="227" customWidth="1"/>
    <col min="11526" max="11526" width="8.8984375" style="227"/>
    <col min="11527" max="11527" width="14.19921875" style="227" customWidth="1"/>
    <col min="11528" max="11528" width="16.8984375" style="227" customWidth="1"/>
    <col min="11529" max="11768" width="8.8984375" style="227"/>
    <col min="11769" max="11769" width="18.69921875" style="227" customWidth="1"/>
    <col min="11770" max="11770" width="32.69921875" style="227" customWidth="1"/>
    <col min="11771" max="11772" width="6.3984375" style="227" customWidth="1"/>
    <col min="11773" max="11773" width="11.69921875" style="227" customWidth="1"/>
    <col min="11774" max="11774" width="13.09765625" style="227" customWidth="1"/>
    <col min="11775" max="11775" width="11.69921875" style="227" customWidth="1"/>
    <col min="11776" max="11776" width="12.69921875" style="227" customWidth="1"/>
    <col min="11777" max="11780" width="11.69921875" style="227" customWidth="1"/>
    <col min="11781" max="11781" width="12.69921875" style="227" customWidth="1"/>
    <col min="11782" max="11782" width="8.8984375" style="227"/>
    <col min="11783" max="11783" width="14.19921875" style="227" customWidth="1"/>
    <col min="11784" max="11784" width="16.8984375" style="227" customWidth="1"/>
    <col min="11785" max="12024" width="8.8984375" style="227"/>
    <col min="12025" max="12025" width="18.69921875" style="227" customWidth="1"/>
    <col min="12026" max="12026" width="32.69921875" style="227" customWidth="1"/>
    <col min="12027" max="12028" width="6.3984375" style="227" customWidth="1"/>
    <col min="12029" max="12029" width="11.69921875" style="227" customWidth="1"/>
    <col min="12030" max="12030" width="13.09765625" style="227" customWidth="1"/>
    <col min="12031" max="12031" width="11.69921875" style="227" customWidth="1"/>
    <col min="12032" max="12032" width="12.69921875" style="227" customWidth="1"/>
    <col min="12033" max="12036" width="11.69921875" style="227" customWidth="1"/>
    <col min="12037" max="12037" width="12.69921875" style="227" customWidth="1"/>
    <col min="12038" max="12038" width="8.8984375" style="227"/>
    <col min="12039" max="12039" width="14.19921875" style="227" customWidth="1"/>
    <col min="12040" max="12040" width="16.8984375" style="227" customWidth="1"/>
    <col min="12041" max="12280" width="8.8984375" style="227"/>
    <col min="12281" max="12281" width="18.69921875" style="227" customWidth="1"/>
    <col min="12282" max="12282" width="32.69921875" style="227" customWidth="1"/>
    <col min="12283" max="12284" width="6.3984375" style="227" customWidth="1"/>
    <col min="12285" max="12285" width="11.69921875" style="227" customWidth="1"/>
    <col min="12286" max="12286" width="13.09765625" style="227" customWidth="1"/>
    <col min="12287" max="12287" width="11.69921875" style="227" customWidth="1"/>
    <col min="12288" max="12288" width="12.69921875" style="227" customWidth="1"/>
    <col min="12289" max="12292" width="11.69921875" style="227" customWidth="1"/>
    <col min="12293" max="12293" width="12.69921875" style="227" customWidth="1"/>
    <col min="12294" max="12294" width="8.8984375" style="227"/>
    <col min="12295" max="12295" width="14.19921875" style="227" customWidth="1"/>
    <col min="12296" max="12296" width="16.8984375" style="227" customWidth="1"/>
    <col min="12297" max="12536" width="8.8984375" style="227"/>
    <col min="12537" max="12537" width="18.69921875" style="227" customWidth="1"/>
    <col min="12538" max="12538" width="32.69921875" style="227" customWidth="1"/>
    <col min="12539" max="12540" width="6.3984375" style="227" customWidth="1"/>
    <col min="12541" max="12541" width="11.69921875" style="227" customWidth="1"/>
    <col min="12542" max="12542" width="13.09765625" style="227" customWidth="1"/>
    <col min="12543" max="12543" width="11.69921875" style="227" customWidth="1"/>
    <col min="12544" max="12544" width="12.69921875" style="227" customWidth="1"/>
    <col min="12545" max="12548" width="11.69921875" style="227" customWidth="1"/>
    <col min="12549" max="12549" width="12.69921875" style="227" customWidth="1"/>
    <col min="12550" max="12550" width="8.8984375" style="227"/>
    <col min="12551" max="12551" width="14.19921875" style="227" customWidth="1"/>
    <col min="12552" max="12552" width="16.8984375" style="227" customWidth="1"/>
    <col min="12553" max="12792" width="8.8984375" style="227"/>
    <col min="12793" max="12793" width="18.69921875" style="227" customWidth="1"/>
    <col min="12794" max="12794" width="32.69921875" style="227" customWidth="1"/>
    <col min="12795" max="12796" width="6.3984375" style="227" customWidth="1"/>
    <col min="12797" max="12797" width="11.69921875" style="227" customWidth="1"/>
    <col min="12798" max="12798" width="13.09765625" style="227" customWidth="1"/>
    <col min="12799" max="12799" width="11.69921875" style="227" customWidth="1"/>
    <col min="12800" max="12800" width="12.69921875" style="227" customWidth="1"/>
    <col min="12801" max="12804" width="11.69921875" style="227" customWidth="1"/>
    <col min="12805" max="12805" width="12.69921875" style="227" customWidth="1"/>
    <col min="12806" max="12806" width="8.8984375" style="227"/>
    <col min="12807" max="12807" width="14.19921875" style="227" customWidth="1"/>
    <col min="12808" max="12808" width="16.8984375" style="227" customWidth="1"/>
    <col min="12809" max="13048" width="8.8984375" style="227"/>
    <col min="13049" max="13049" width="18.69921875" style="227" customWidth="1"/>
    <col min="13050" max="13050" width="32.69921875" style="227" customWidth="1"/>
    <col min="13051" max="13052" width="6.3984375" style="227" customWidth="1"/>
    <col min="13053" max="13053" width="11.69921875" style="227" customWidth="1"/>
    <col min="13054" max="13054" width="13.09765625" style="227" customWidth="1"/>
    <col min="13055" max="13055" width="11.69921875" style="227" customWidth="1"/>
    <col min="13056" max="13056" width="12.69921875" style="227" customWidth="1"/>
    <col min="13057" max="13060" width="11.69921875" style="227" customWidth="1"/>
    <col min="13061" max="13061" width="12.69921875" style="227" customWidth="1"/>
    <col min="13062" max="13062" width="8.8984375" style="227"/>
    <col min="13063" max="13063" width="14.19921875" style="227" customWidth="1"/>
    <col min="13064" max="13064" width="16.8984375" style="227" customWidth="1"/>
    <col min="13065" max="13304" width="8.8984375" style="227"/>
    <col min="13305" max="13305" width="18.69921875" style="227" customWidth="1"/>
    <col min="13306" max="13306" width="32.69921875" style="227" customWidth="1"/>
    <col min="13307" max="13308" width="6.3984375" style="227" customWidth="1"/>
    <col min="13309" max="13309" width="11.69921875" style="227" customWidth="1"/>
    <col min="13310" max="13310" width="13.09765625" style="227" customWidth="1"/>
    <col min="13311" max="13311" width="11.69921875" style="227" customWidth="1"/>
    <col min="13312" max="13312" width="12.69921875" style="227" customWidth="1"/>
    <col min="13313" max="13316" width="11.69921875" style="227" customWidth="1"/>
    <col min="13317" max="13317" width="12.69921875" style="227" customWidth="1"/>
    <col min="13318" max="13318" width="8.8984375" style="227"/>
    <col min="13319" max="13319" width="14.19921875" style="227" customWidth="1"/>
    <col min="13320" max="13320" width="16.8984375" style="227" customWidth="1"/>
    <col min="13321" max="13560" width="8.8984375" style="227"/>
    <col min="13561" max="13561" width="18.69921875" style="227" customWidth="1"/>
    <col min="13562" max="13562" width="32.69921875" style="227" customWidth="1"/>
    <col min="13563" max="13564" width="6.3984375" style="227" customWidth="1"/>
    <col min="13565" max="13565" width="11.69921875" style="227" customWidth="1"/>
    <col min="13566" max="13566" width="13.09765625" style="227" customWidth="1"/>
    <col min="13567" max="13567" width="11.69921875" style="227" customWidth="1"/>
    <col min="13568" max="13568" width="12.69921875" style="227" customWidth="1"/>
    <col min="13569" max="13572" width="11.69921875" style="227" customWidth="1"/>
    <col min="13573" max="13573" width="12.69921875" style="227" customWidth="1"/>
    <col min="13574" max="13574" width="8.8984375" style="227"/>
    <col min="13575" max="13575" width="14.19921875" style="227" customWidth="1"/>
    <col min="13576" max="13576" width="16.8984375" style="227" customWidth="1"/>
    <col min="13577" max="13816" width="8.8984375" style="227"/>
    <col min="13817" max="13817" width="18.69921875" style="227" customWidth="1"/>
    <col min="13818" max="13818" width="32.69921875" style="227" customWidth="1"/>
    <col min="13819" max="13820" width="6.3984375" style="227" customWidth="1"/>
    <col min="13821" max="13821" width="11.69921875" style="227" customWidth="1"/>
    <col min="13822" max="13822" width="13.09765625" style="227" customWidth="1"/>
    <col min="13823" max="13823" width="11.69921875" style="227" customWidth="1"/>
    <col min="13824" max="13824" width="12.69921875" style="227" customWidth="1"/>
    <col min="13825" max="13828" width="11.69921875" style="227" customWidth="1"/>
    <col min="13829" max="13829" width="12.69921875" style="227" customWidth="1"/>
    <col min="13830" max="13830" width="8.8984375" style="227"/>
    <col min="13831" max="13831" width="14.19921875" style="227" customWidth="1"/>
    <col min="13832" max="13832" width="16.8984375" style="227" customWidth="1"/>
    <col min="13833" max="14072" width="8.8984375" style="227"/>
    <col min="14073" max="14073" width="18.69921875" style="227" customWidth="1"/>
    <col min="14074" max="14074" width="32.69921875" style="227" customWidth="1"/>
    <col min="14075" max="14076" width="6.3984375" style="227" customWidth="1"/>
    <col min="14077" max="14077" width="11.69921875" style="227" customWidth="1"/>
    <col min="14078" max="14078" width="13.09765625" style="227" customWidth="1"/>
    <col min="14079" max="14079" width="11.69921875" style="227" customWidth="1"/>
    <col min="14080" max="14080" width="12.69921875" style="227" customWidth="1"/>
    <col min="14081" max="14084" width="11.69921875" style="227" customWidth="1"/>
    <col min="14085" max="14085" width="12.69921875" style="227" customWidth="1"/>
    <col min="14086" max="14086" width="8.8984375" style="227"/>
    <col min="14087" max="14087" width="14.19921875" style="227" customWidth="1"/>
    <col min="14088" max="14088" width="16.8984375" style="227" customWidth="1"/>
    <col min="14089" max="14328" width="8.8984375" style="227"/>
    <col min="14329" max="14329" width="18.69921875" style="227" customWidth="1"/>
    <col min="14330" max="14330" width="32.69921875" style="227" customWidth="1"/>
    <col min="14331" max="14332" width="6.3984375" style="227" customWidth="1"/>
    <col min="14333" max="14333" width="11.69921875" style="227" customWidth="1"/>
    <col min="14334" max="14334" width="13.09765625" style="227" customWidth="1"/>
    <col min="14335" max="14335" width="11.69921875" style="227" customWidth="1"/>
    <col min="14336" max="14336" width="12.69921875" style="227" customWidth="1"/>
    <col min="14337" max="14340" width="11.69921875" style="227" customWidth="1"/>
    <col min="14341" max="14341" width="12.69921875" style="227" customWidth="1"/>
    <col min="14342" max="14342" width="8.8984375" style="227"/>
    <col min="14343" max="14343" width="14.19921875" style="227" customWidth="1"/>
    <col min="14344" max="14344" width="16.8984375" style="227" customWidth="1"/>
    <col min="14345" max="14584" width="8.8984375" style="227"/>
    <col min="14585" max="14585" width="18.69921875" style="227" customWidth="1"/>
    <col min="14586" max="14586" width="32.69921875" style="227" customWidth="1"/>
    <col min="14587" max="14588" width="6.3984375" style="227" customWidth="1"/>
    <col min="14589" max="14589" width="11.69921875" style="227" customWidth="1"/>
    <col min="14590" max="14590" width="13.09765625" style="227" customWidth="1"/>
    <col min="14591" max="14591" width="11.69921875" style="227" customWidth="1"/>
    <col min="14592" max="14592" width="12.69921875" style="227" customWidth="1"/>
    <col min="14593" max="14596" width="11.69921875" style="227" customWidth="1"/>
    <col min="14597" max="14597" width="12.69921875" style="227" customWidth="1"/>
    <col min="14598" max="14598" width="8.8984375" style="227"/>
    <col min="14599" max="14599" width="14.19921875" style="227" customWidth="1"/>
    <col min="14600" max="14600" width="16.8984375" style="227" customWidth="1"/>
    <col min="14601" max="14840" width="8.8984375" style="227"/>
    <col min="14841" max="14841" width="18.69921875" style="227" customWidth="1"/>
    <col min="14842" max="14842" width="32.69921875" style="227" customWidth="1"/>
    <col min="14843" max="14844" width="6.3984375" style="227" customWidth="1"/>
    <col min="14845" max="14845" width="11.69921875" style="227" customWidth="1"/>
    <col min="14846" max="14846" width="13.09765625" style="227" customWidth="1"/>
    <col min="14847" max="14847" width="11.69921875" style="227" customWidth="1"/>
    <col min="14848" max="14848" width="12.69921875" style="227" customWidth="1"/>
    <col min="14849" max="14852" width="11.69921875" style="227" customWidth="1"/>
    <col min="14853" max="14853" width="12.69921875" style="227" customWidth="1"/>
    <col min="14854" max="14854" width="8.8984375" style="227"/>
    <col min="14855" max="14855" width="14.19921875" style="227" customWidth="1"/>
    <col min="14856" max="14856" width="16.8984375" style="227" customWidth="1"/>
    <col min="14857" max="15096" width="8.8984375" style="227"/>
    <col min="15097" max="15097" width="18.69921875" style="227" customWidth="1"/>
    <col min="15098" max="15098" width="32.69921875" style="227" customWidth="1"/>
    <col min="15099" max="15100" width="6.3984375" style="227" customWidth="1"/>
    <col min="15101" max="15101" width="11.69921875" style="227" customWidth="1"/>
    <col min="15102" max="15102" width="13.09765625" style="227" customWidth="1"/>
    <col min="15103" max="15103" width="11.69921875" style="227" customWidth="1"/>
    <col min="15104" max="15104" width="12.69921875" style="227" customWidth="1"/>
    <col min="15105" max="15108" width="11.69921875" style="227" customWidth="1"/>
    <col min="15109" max="15109" width="12.69921875" style="227" customWidth="1"/>
    <col min="15110" max="15110" width="8.8984375" style="227"/>
    <col min="15111" max="15111" width="14.19921875" style="227" customWidth="1"/>
    <col min="15112" max="15112" width="16.8984375" style="227" customWidth="1"/>
    <col min="15113" max="15352" width="8.8984375" style="227"/>
    <col min="15353" max="15353" width="18.69921875" style="227" customWidth="1"/>
    <col min="15354" max="15354" width="32.69921875" style="227" customWidth="1"/>
    <col min="15355" max="15356" width="6.3984375" style="227" customWidth="1"/>
    <col min="15357" max="15357" width="11.69921875" style="227" customWidth="1"/>
    <col min="15358" max="15358" width="13.09765625" style="227" customWidth="1"/>
    <col min="15359" max="15359" width="11.69921875" style="227" customWidth="1"/>
    <col min="15360" max="15360" width="12.69921875" style="227" customWidth="1"/>
    <col min="15361" max="15364" width="11.69921875" style="227" customWidth="1"/>
    <col min="15365" max="15365" width="12.69921875" style="227" customWidth="1"/>
    <col min="15366" max="15366" width="8.8984375" style="227"/>
    <col min="15367" max="15367" width="14.19921875" style="227" customWidth="1"/>
    <col min="15368" max="15368" width="16.8984375" style="227" customWidth="1"/>
    <col min="15369" max="15608" width="8.8984375" style="227"/>
    <col min="15609" max="15609" width="18.69921875" style="227" customWidth="1"/>
    <col min="15610" max="15610" width="32.69921875" style="227" customWidth="1"/>
    <col min="15611" max="15612" width="6.3984375" style="227" customWidth="1"/>
    <col min="15613" max="15613" width="11.69921875" style="227" customWidth="1"/>
    <col min="15614" max="15614" width="13.09765625" style="227" customWidth="1"/>
    <col min="15615" max="15615" width="11.69921875" style="227" customWidth="1"/>
    <col min="15616" max="15616" width="12.69921875" style="227" customWidth="1"/>
    <col min="15617" max="15620" width="11.69921875" style="227" customWidth="1"/>
    <col min="15621" max="15621" width="12.69921875" style="227" customWidth="1"/>
    <col min="15622" max="15622" width="8.8984375" style="227"/>
    <col min="15623" max="15623" width="14.19921875" style="227" customWidth="1"/>
    <col min="15624" max="15624" width="16.8984375" style="227" customWidth="1"/>
    <col min="15625" max="15864" width="8.8984375" style="227"/>
    <col min="15865" max="15865" width="18.69921875" style="227" customWidth="1"/>
    <col min="15866" max="15866" width="32.69921875" style="227" customWidth="1"/>
    <col min="15867" max="15868" width="6.3984375" style="227" customWidth="1"/>
    <col min="15869" max="15869" width="11.69921875" style="227" customWidth="1"/>
    <col min="15870" max="15870" width="13.09765625" style="227" customWidth="1"/>
    <col min="15871" max="15871" width="11.69921875" style="227" customWidth="1"/>
    <col min="15872" max="15872" width="12.69921875" style="227" customWidth="1"/>
    <col min="15873" max="15876" width="11.69921875" style="227" customWidth="1"/>
    <col min="15877" max="15877" width="12.69921875" style="227" customWidth="1"/>
    <col min="15878" max="15878" width="8.8984375" style="227"/>
    <col min="15879" max="15879" width="14.19921875" style="227" customWidth="1"/>
    <col min="15880" max="15880" width="16.8984375" style="227" customWidth="1"/>
    <col min="15881" max="16120" width="8.8984375" style="227"/>
    <col min="16121" max="16121" width="18.69921875" style="227" customWidth="1"/>
    <col min="16122" max="16122" width="32.69921875" style="227" customWidth="1"/>
    <col min="16123" max="16124" width="6.3984375" style="227" customWidth="1"/>
    <col min="16125" max="16125" width="11.69921875" style="227" customWidth="1"/>
    <col min="16126" max="16126" width="13.09765625" style="227" customWidth="1"/>
    <col min="16127" max="16127" width="11.69921875" style="227" customWidth="1"/>
    <col min="16128" max="16128" width="12.69921875" style="227" customWidth="1"/>
    <col min="16129" max="16132" width="11.69921875" style="227" customWidth="1"/>
    <col min="16133" max="16133" width="12.69921875" style="227" customWidth="1"/>
    <col min="16134" max="16134" width="8.8984375" style="227"/>
    <col min="16135" max="16135" width="14.19921875" style="227" customWidth="1"/>
    <col min="16136" max="16136" width="16.8984375" style="227" customWidth="1"/>
    <col min="16137" max="16384" width="8.8984375" style="227"/>
  </cols>
  <sheetData>
    <row r="1" spans="1:22" ht="42.75" customHeight="1" x14ac:dyDescent="0.4">
      <c r="K1" s="228" t="s">
        <v>167</v>
      </c>
      <c r="S1" s="227" t="s">
        <v>168</v>
      </c>
    </row>
    <row r="2" spans="1:22" ht="23.4" customHeight="1" x14ac:dyDescent="0.4">
      <c r="A2" s="231"/>
      <c r="B2" s="231"/>
      <c r="C2" s="231"/>
      <c r="D2" s="231"/>
      <c r="G2" s="231"/>
      <c r="H2" s="231"/>
      <c r="I2" s="231"/>
      <c r="J2" s="231"/>
      <c r="K2" s="232"/>
      <c r="M2" s="229" t="s">
        <v>169</v>
      </c>
    </row>
    <row r="3" spans="1:22" s="233" customFormat="1" ht="20.100000000000001" customHeight="1" x14ac:dyDescent="0.4">
      <c r="A3" s="522" t="s">
        <v>170</v>
      </c>
      <c r="B3" s="524" t="s">
        <v>171</v>
      </c>
      <c r="C3" s="524" t="s">
        <v>172</v>
      </c>
      <c r="D3" s="524" t="s">
        <v>103</v>
      </c>
      <c r="E3" s="524" t="s">
        <v>173</v>
      </c>
      <c r="F3" s="524"/>
      <c r="G3" s="524" t="s">
        <v>174</v>
      </c>
      <c r="H3" s="524"/>
      <c r="I3" s="524" t="s">
        <v>175</v>
      </c>
      <c r="J3" s="524"/>
      <c r="K3" s="524" t="s">
        <v>176</v>
      </c>
      <c r="L3" s="524"/>
      <c r="M3" s="526" t="s">
        <v>177</v>
      </c>
      <c r="O3" s="234" t="s">
        <v>178</v>
      </c>
      <c r="P3" s="234"/>
      <c r="Q3" s="234" t="s">
        <v>179</v>
      </c>
      <c r="R3" s="234"/>
      <c r="S3" s="233" t="s">
        <v>180</v>
      </c>
    </row>
    <row r="4" spans="1:22" s="233" customFormat="1" ht="20.100000000000001" customHeight="1" x14ac:dyDescent="0.4">
      <c r="A4" s="523"/>
      <c r="B4" s="525"/>
      <c r="C4" s="525"/>
      <c r="D4" s="525"/>
      <c r="E4" s="235" t="s">
        <v>181</v>
      </c>
      <c r="F4" s="235" t="s">
        <v>182</v>
      </c>
      <c r="G4" s="235" t="s">
        <v>181</v>
      </c>
      <c r="H4" s="235" t="s">
        <v>182</v>
      </c>
      <c r="I4" s="235" t="s">
        <v>181</v>
      </c>
      <c r="J4" s="235" t="s">
        <v>182</v>
      </c>
      <c r="K4" s="235" t="s">
        <v>181</v>
      </c>
      <c r="L4" s="235" t="s">
        <v>182</v>
      </c>
      <c r="M4" s="527"/>
      <c r="O4" s="234" t="s">
        <v>183</v>
      </c>
      <c r="P4" s="234"/>
      <c r="Q4" s="234" t="s">
        <v>183</v>
      </c>
      <c r="R4" s="234"/>
      <c r="S4" s="233" t="s">
        <v>183</v>
      </c>
    </row>
    <row r="5" spans="1:22" ht="21.6" customHeight="1" x14ac:dyDescent="0.4">
      <c r="A5" s="236" t="s">
        <v>184</v>
      </c>
      <c r="B5" s="237"/>
      <c r="C5" s="238"/>
      <c r="D5" s="239"/>
      <c r="E5" s="240"/>
      <c r="F5" s="241"/>
      <c r="G5" s="242"/>
      <c r="H5" s="242"/>
      <c r="I5" s="242"/>
      <c r="J5" s="242"/>
      <c r="K5" s="242"/>
      <c r="L5" s="243"/>
      <c r="M5" s="244"/>
    </row>
    <row r="6" spans="1:22" ht="21.6" customHeight="1" x14ac:dyDescent="0.4">
      <c r="A6" s="245" t="str">
        <f>A15</f>
        <v xml:space="preserve"> 1. Urea Storage &amp; Supply System</v>
      </c>
      <c r="B6" s="246"/>
      <c r="C6" s="247">
        <v>1</v>
      </c>
      <c r="D6" s="248" t="s">
        <v>185</v>
      </c>
      <c r="E6" s="249">
        <f t="shared" ref="E6:E11" si="0">F6/C6</f>
        <v>0</v>
      </c>
      <c r="F6" s="250">
        <f>H6+J6+L6</f>
        <v>0</v>
      </c>
      <c r="G6" s="251"/>
      <c r="H6" s="251">
        <f>H21</f>
        <v>0</v>
      </c>
      <c r="I6" s="251"/>
      <c r="J6" s="251">
        <f>J21</f>
        <v>0</v>
      </c>
      <c r="K6" s="251"/>
      <c r="L6" s="251">
        <f>L21</f>
        <v>0</v>
      </c>
      <c r="M6" s="252" t="s">
        <v>186</v>
      </c>
      <c r="N6" s="253"/>
      <c r="S6" s="254"/>
      <c r="V6" s="255"/>
    </row>
    <row r="7" spans="1:22" ht="21.6" customHeight="1" x14ac:dyDescent="0.4">
      <c r="A7" s="245" t="str">
        <f>A22</f>
        <v xml:space="preserve"> 2. SCR and Auxiliary System</v>
      </c>
      <c r="B7" s="246"/>
      <c r="C7" s="247">
        <v>1</v>
      </c>
      <c r="D7" s="248" t="s">
        <v>185</v>
      </c>
      <c r="E7" s="249">
        <f t="shared" si="0"/>
        <v>0</v>
      </c>
      <c r="F7" s="250">
        <f t="shared" ref="F7:F11" si="1">H7+J7+L7</f>
        <v>0</v>
      </c>
      <c r="G7" s="251"/>
      <c r="H7" s="251">
        <f>H32</f>
        <v>0</v>
      </c>
      <c r="I7" s="251"/>
      <c r="J7" s="251">
        <f>J32</f>
        <v>0</v>
      </c>
      <c r="K7" s="251"/>
      <c r="L7" s="251">
        <f>L32</f>
        <v>0</v>
      </c>
      <c r="M7" s="252" t="s">
        <v>186</v>
      </c>
      <c r="N7" s="253"/>
      <c r="S7" s="254"/>
      <c r="V7" s="255"/>
    </row>
    <row r="8" spans="1:22" ht="21.6" customHeight="1" x14ac:dyDescent="0.4">
      <c r="A8" s="245" t="str">
        <f>A33</f>
        <v xml:space="preserve"> 3. Urea Injection System</v>
      </c>
      <c r="B8" s="246"/>
      <c r="C8" s="247">
        <v>1</v>
      </c>
      <c r="D8" s="248" t="s">
        <v>185</v>
      </c>
      <c r="E8" s="249">
        <f>F8/C8</f>
        <v>282000000</v>
      </c>
      <c r="F8" s="250">
        <f t="shared" si="1"/>
        <v>282000000</v>
      </c>
      <c r="G8" s="251"/>
      <c r="H8" s="251">
        <f>H61</f>
        <v>282000000</v>
      </c>
      <c r="I8" s="251"/>
      <c r="J8" s="251">
        <f>J61</f>
        <v>0</v>
      </c>
      <c r="K8" s="251"/>
      <c r="L8" s="251">
        <f>L61</f>
        <v>0</v>
      </c>
      <c r="M8" s="252"/>
      <c r="N8" s="253"/>
      <c r="S8" s="254"/>
      <c r="V8" s="255"/>
    </row>
    <row r="9" spans="1:22" ht="21.6" customHeight="1" x14ac:dyDescent="0.4">
      <c r="A9" s="245" t="str">
        <f>A62</f>
        <v xml:space="preserve"> 4. Electric &amp; Instrument</v>
      </c>
      <c r="B9" s="246"/>
      <c r="C9" s="247">
        <v>1</v>
      </c>
      <c r="D9" s="248" t="s">
        <v>185</v>
      </c>
      <c r="E9" s="249">
        <f t="shared" si="0"/>
        <v>60000000</v>
      </c>
      <c r="F9" s="250">
        <f t="shared" si="1"/>
        <v>60000000</v>
      </c>
      <c r="G9" s="251"/>
      <c r="H9" s="251">
        <f>H67</f>
        <v>60000000</v>
      </c>
      <c r="I9" s="251"/>
      <c r="J9" s="251">
        <f>J67</f>
        <v>0</v>
      </c>
      <c r="K9" s="251"/>
      <c r="L9" s="251">
        <f>L67</f>
        <v>0</v>
      </c>
      <c r="M9" s="252"/>
      <c r="S9" s="254"/>
      <c r="T9" s="255"/>
      <c r="U9" s="255"/>
      <c r="V9" s="255"/>
    </row>
    <row r="10" spans="1:22" ht="21.6" customHeight="1" x14ac:dyDescent="0.4">
      <c r="A10" s="245" t="str">
        <f>A68</f>
        <v xml:space="preserve"> 5. Bulk Material</v>
      </c>
      <c r="B10" s="246"/>
      <c r="C10" s="247">
        <v>1</v>
      </c>
      <c r="D10" s="248" t="s">
        <v>185</v>
      </c>
      <c r="E10" s="249">
        <f t="shared" si="0"/>
        <v>69000000</v>
      </c>
      <c r="F10" s="250">
        <f t="shared" si="1"/>
        <v>69000000</v>
      </c>
      <c r="G10" s="251"/>
      <c r="H10" s="250">
        <f>H87</f>
        <v>69000000</v>
      </c>
      <c r="I10" s="251"/>
      <c r="J10" s="250">
        <f>J87</f>
        <v>0</v>
      </c>
      <c r="K10" s="251"/>
      <c r="L10" s="250">
        <f>L87</f>
        <v>0</v>
      </c>
      <c r="M10" s="252"/>
      <c r="S10" s="254"/>
      <c r="T10" s="255"/>
      <c r="U10" s="255"/>
      <c r="V10" s="255"/>
    </row>
    <row r="11" spans="1:22" ht="21.6" customHeight="1" x14ac:dyDescent="0.4">
      <c r="A11" s="245" t="str">
        <f>A88</f>
        <v xml:space="preserve"> 6. Miscellaneous</v>
      </c>
      <c r="B11" s="246"/>
      <c r="C11" s="247">
        <v>1</v>
      </c>
      <c r="D11" s="248" t="s">
        <v>185</v>
      </c>
      <c r="E11" s="249">
        <f t="shared" si="0"/>
        <v>4000000</v>
      </c>
      <c r="F11" s="250">
        <f t="shared" si="1"/>
        <v>4000000</v>
      </c>
      <c r="G11" s="251"/>
      <c r="H11" s="250">
        <f>H95</f>
        <v>4000000</v>
      </c>
      <c r="I11" s="251"/>
      <c r="J11" s="250">
        <f>J95</f>
        <v>0</v>
      </c>
      <c r="K11" s="251"/>
      <c r="L11" s="250">
        <f>L95</f>
        <v>0</v>
      </c>
      <c r="M11" s="252"/>
      <c r="S11" s="254"/>
      <c r="T11" s="255"/>
      <c r="U11" s="255"/>
      <c r="V11" s="255"/>
    </row>
    <row r="12" spans="1:22" ht="21.6" customHeight="1" x14ac:dyDescent="0.4">
      <c r="A12" s="245" t="str">
        <f>A96</f>
        <v xml:space="preserve"> 7. Emgineering Service</v>
      </c>
      <c r="B12" s="246"/>
      <c r="C12" s="247">
        <v>1</v>
      </c>
      <c r="D12" s="248" t="s">
        <v>185</v>
      </c>
      <c r="E12" s="249">
        <f>F12/C12</f>
        <v>95000000</v>
      </c>
      <c r="F12" s="250">
        <f>H12+J12+L12</f>
        <v>95000000</v>
      </c>
      <c r="G12" s="251"/>
      <c r="H12" s="250">
        <f>H103</f>
        <v>0</v>
      </c>
      <c r="I12" s="251"/>
      <c r="J12" s="250">
        <f>J103</f>
        <v>0</v>
      </c>
      <c r="K12" s="251"/>
      <c r="L12" s="250">
        <f>L103</f>
        <v>95000000</v>
      </c>
      <c r="M12" s="252"/>
      <c r="S12" s="254"/>
      <c r="T12" s="255"/>
      <c r="U12" s="255"/>
      <c r="V12" s="255"/>
    </row>
    <row r="13" spans="1:22" ht="21.6" customHeight="1" x14ac:dyDescent="0.4">
      <c r="A13" s="245" t="str">
        <f>A104</f>
        <v xml:space="preserve"> 8. Installation Fee</v>
      </c>
      <c r="B13" s="246"/>
      <c r="C13" s="247">
        <v>1</v>
      </c>
      <c r="D13" s="248" t="s">
        <v>185</v>
      </c>
      <c r="E13" s="249"/>
      <c r="F13" s="250">
        <f>H13+J13+L13</f>
        <v>421640000</v>
      </c>
      <c r="G13" s="251"/>
      <c r="H13" s="250">
        <f>H108</f>
        <v>107385000</v>
      </c>
      <c r="I13" s="251"/>
      <c r="J13" s="250">
        <f>J108</f>
        <v>93000000</v>
      </c>
      <c r="K13" s="251"/>
      <c r="L13" s="250">
        <f>L108</f>
        <v>221255000</v>
      </c>
      <c r="M13" s="252"/>
      <c r="S13" s="254"/>
      <c r="T13" s="255"/>
      <c r="U13" s="255"/>
      <c r="V13" s="255"/>
    </row>
    <row r="14" spans="1:22" s="253" customFormat="1" ht="21.6" customHeight="1" x14ac:dyDescent="0.4">
      <c r="A14" s="528" t="s">
        <v>187</v>
      </c>
      <c r="B14" s="529"/>
      <c r="C14" s="256"/>
      <c r="D14" s="256"/>
      <c r="E14" s="257"/>
      <c r="F14" s="257">
        <f>SUM(F6:F13)</f>
        <v>931640000</v>
      </c>
      <c r="G14" s="257"/>
      <c r="H14" s="257">
        <f>SUM(H6:H13)</f>
        <v>522385000</v>
      </c>
      <c r="I14" s="257"/>
      <c r="J14" s="257">
        <f>SUM(J6:J13)</f>
        <v>93000000</v>
      </c>
      <c r="K14" s="257"/>
      <c r="L14" s="257">
        <f>SUM(L6:L13)</f>
        <v>316255000</v>
      </c>
      <c r="M14" s="258"/>
      <c r="O14" s="259">
        <f>L14+J14+H14</f>
        <v>931640000</v>
      </c>
      <c r="P14" s="259"/>
      <c r="Q14" s="259"/>
      <c r="R14" s="259"/>
      <c r="S14" s="254"/>
    </row>
    <row r="15" spans="1:22" ht="21.6" customHeight="1" x14ac:dyDescent="0.4">
      <c r="A15" s="245" t="s">
        <v>188</v>
      </c>
      <c r="B15" s="260"/>
      <c r="C15" s="261"/>
      <c r="D15" s="261"/>
      <c r="E15" s="249"/>
      <c r="F15" s="249"/>
      <c r="G15" s="249"/>
      <c r="H15" s="249"/>
      <c r="I15" s="249"/>
      <c r="J15" s="249"/>
      <c r="K15" s="249"/>
      <c r="L15" s="249"/>
      <c r="M15" s="262" t="s">
        <v>186</v>
      </c>
      <c r="S15" s="254"/>
    </row>
    <row r="16" spans="1:22" ht="21.6" customHeight="1" x14ac:dyDescent="0.4">
      <c r="A16" s="263" t="s">
        <v>189</v>
      </c>
      <c r="B16" s="246"/>
      <c r="C16" s="247"/>
      <c r="D16" s="247"/>
      <c r="E16" s="249"/>
      <c r="F16" s="250"/>
      <c r="G16" s="264"/>
      <c r="H16" s="265"/>
      <c r="I16" s="249"/>
      <c r="J16" s="264"/>
      <c r="K16" s="249"/>
      <c r="L16" s="264"/>
      <c r="M16" s="266"/>
      <c r="O16" s="267"/>
      <c r="P16" s="267"/>
      <c r="Q16" s="267"/>
      <c r="R16" s="267"/>
      <c r="S16" s="268"/>
    </row>
    <row r="17" spans="1:19" ht="21.6" customHeight="1" x14ac:dyDescent="0.4">
      <c r="A17" s="263" t="s">
        <v>190</v>
      </c>
      <c r="B17" s="269"/>
      <c r="C17" s="247">
        <v>1</v>
      </c>
      <c r="D17" s="247" t="s">
        <v>191</v>
      </c>
      <c r="E17" s="249">
        <v>0</v>
      </c>
      <c r="F17" s="250">
        <f>H17+J17+L17</f>
        <v>0</v>
      </c>
      <c r="G17" s="249">
        <v>0</v>
      </c>
      <c r="H17" s="265">
        <f>G17*C17</f>
        <v>0</v>
      </c>
      <c r="I17" s="264">
        <v>0</v>
      </c>
      <c r="J17" s="264">
        <f t="shared" ref="J17:J19" si="2">I17*C17</f>
        <v>0</v>
      </c>
      <c r="K17" s="249">
        <v>0</v>
      </c>
      <c r="L17" s="264">
        <f>K17*C17</f>
        <v>0</v>
      </c>
      <c r="M17" s="270"/>
      <c r="O17" s="267"/>
      <c r="P17" s="267"/>
      <c r="Q17" s="267"/>
      <c r="R17" s="267"/>
      <c r="S17" s="268"/>
    </row>
    <row r="18" spans="1:19" ht="21.6" customHeight="1" x14ac:dyDescent="0.4">
      <c r="A18" s="263" t="s">
        <v>192</v>
      </c>
      <c r="B18" s="271"/>
      <c r="C18" s="247">
        <v>1</v>
      </c>
      <c r="D18" s="261" t="s">
        <v>191</v>
      </c>
      <c r="E18" s="249">
        <v>0</v>
      </c>
      <c r="F18" s="250">
        <f t="shared" ref="F18:F19" si="3">H18+J18+L18</f>
        <v>0</v>
      </c>
      <c r="G18" s="249">
        <v>0</v>
      </c>
      <c r="H18" s="264">
        <f t="shared" ref="H18" si="4">G18*C18</f>
        <v>0</v>
      </c>
      <c r="I18" s="249">
        <v>0</v>
      </c>
      <c r="J18" s="264">
        <f t="shared" si="2"/>
        <v>0</v>
      </c>
      <c r="K18" s="249">
        <v>0</v>
      </c>
      <c r="L18" s="264">
        <f t="shared" ref="L18:L19" si="5">K18*C18</f>
        <v>0</v>
      </c>
      <c r="M18" s="270"/>
      <c r="O18" s="267"/>
      <c r="P18" s="267"/>
      <c r="Q18" s="267"/>
      <c r="R18" s="267"/>
      <c r="S18" s="268"/>
    </row>
    <row r="19" spans="1:19" ht="21.6" customHeight="1" x14ac:dyDescent="0.4">
      <c r="A19" s="263" t="s">
        <v>193</v>
      </c>
      <c r="B19" s="272"/>
      <c r="C19" s="247">
        <v>2</v>
      </c>
      <c r="D19" s="247" t="s">
        <v>194</v>
      </c>
      <c r="E19" s="249">
        <v>0</v>
      </c>
      <c r="F19" s="250">
        <f t="shared" si="3"/>
        <v>0</v>
      </c>
      <c r="G19" s="249">
        <v>0</v>
      </c>
      <c r="H19" s="265">
        <f>G19*C19</f>
        <v>0</v>
      </c>
      <c r="I19" s="249">
        <v>0</v>
      </c>
      <c r="J19" s="264">
        <f t="shared" si="2"/>
        <v>0</v>
      </c>
      <c r="K19" s="249">
        <v>0</v>
      </c>
      <c r="L19" s="264">
        <f t="shared" si="5"/>
        <v>0</v>
      </c>
      <c r="M19" s="270"/>
      <c r="O19" s="267"/>
      <c r="P19" s="267"/>
      <c r="Q19" s="267"/>
      <c r="R19" s="267"/>
      <c r="S19" s="268"/>
    </row>
    <row r="20" spans="1:19" ht="21.6" customHeight="1" x14ac:dyDescent="0.4">
      <c r="A20" s="273" t="s">
        <v>195</v>
      </c>
      <c r="B20" s="274"/>
      <c r="C20" s="275"/>
      <c r="D20" s="275"/>
      <c r="E20" s="276"/>
      <c r="F20" s="277">
        <f>SUM(F17:F19)</f>
        <v>0</v>
      </c>
      <c r="G20" s="276"/>
      <c r="H20" s="277">
        <f>SUM(H17:H19)</f>
        <v>0</v>
      </c>
      <c r="I20" s="276"/>
      <c r="J20" s="277">
        <f>SUM(J17:J19)</f>
        <v>0</v>
      </c>
      <c r="K20" s="276"/>
      <c r="L20" s="277">
        <f>SUM(L17:L19)</f>
        <v>0</v>
      </c>
      <c r="M20" s="278"/>
      <c r="O20" s="267"/>
      <c r="P20" s="267"/>
      <c r="Q20" s="267"/>
      <c r="R20" s="267"/>
      <c r="S20" s="268"/>
    </row>
    <row r="21" spans="1:19" ht="21.6" customHeight="1" x14ac:dyDescent="0.4">
      <c r="A21" s="530" t="s">
        <v>196</v>
      </c>
      <c r="B21" s="531"/>
      <c r="C21" s="279"/>
      <c r="D21" s="279"/>
      <c r="E21" s="280"/>
      <c r="F21" s="280">
        <f>+F20</f>
        <v>0</v>
      </c>
      <c r="G21" s="280"/>
      <c r="H21" s="280">
        <f>+H20</f>
        <v>0</v>
      </c>
      <c r="I21" s="280"/>
      <c r="J21" s="280">
        <f>+J20</f>
        <v>0</v>
      </c>
      <c r="K21" s="280"/>
      <c r="L21" s="280">
        <f>+L20</f>
        <v>0</v>
      </c>
      <c r="M21" s="281"/>
      <c r="P21" s="267"/>
      <c r="R21" s="267"/>
      <c r="S21" s="268"/>
    </row>
    <row r="22" spans="1:19" ht="21.6" customHeight="1" x14ac:dyDescent="0.4">
      <c r="A22" s="282" t="s">
        <v>197</v>
      </c>
      <c r="B22" s="283"/>
      <c r="C22" s="283"/>
      <c r="D22" s="283"/>
      <c r="E22" s="283"/>
      <c r="F22" s="283"/>
      <c r="G22" s="283"/>
      <c r="H22" s="283"/>
      <c r="I22" s="283"/>
      <c r="J22" s="283"/>
      <c r="K22" s="283"/>
      <c r="L22" s="283"/>
      <c r="M22" s="284"/>
      <c r="P22" s="267"/>
      <c r="R22" s="267"/>
      <c r="S22" s="268"/>
    </row>
    <row r="23" spans="1:19" ht="21.6" customHeight="1" x14ac:dyDescent="0.4">
      <c r="A23" s="263" t="s">
        <v>198</v>
      </c>
      <c r="B23" s="271"/>
      <c r="C23" s="285"/>
      <c r="D23" s="286"/>
      <c r="E23" s="249"/>
      <c r="F23" s="250"/>
      <c r="G23" s="265"/>
      <c r="H23" s="265"/>
      <c r="I23" s="250"/>
      <c r="J23" s="250"/>
      <c r="K23" s="250"/>
      <c r="L23" s="250"/>
      <c r="M23" s="287"/>
      <c r="N23" s="288"/>
      <c r="O23" s="289"/>
      <c r="P23" s="290"/>
      <c r="Q23" s="291"/>
      <c r="R23" s="292"/>
      <c r="S23" s="293"/>
    </row>
    <row r="24" spans="1:19" ht="21.6" customHeight="1" x14ac:dyDescent="0.4">
      <c r="A24" s="263" t="s">
        <v>199</v>
      </c>
      <c r="B24" s="271"/>
      <c r="C24" s="285">
        <v>1</v>
      </c>
      <c r="D24" s="286" t="s">
        <v>185</v>
      </c>
      <c r="E24" s="249">
        <f>F24/C24</f>
        <v>0</v>
      </c>
      <c r="F24" s="250">
        <f>H24+J24+L24</f>
        <v>0</v>
      </c>
      <c r="G24" s="265">
        <v>0</v>
      </c>
      <c r="H24" s="265">
        <f>G24*C24</f>
        <v>0</v>
      </c>
      <c r="I24" s="250">
        <v>0</v>
      </c>
      <c r="J24" s="264">
        <f t="shared" ref="J24" si="6">I24*C24</f>
        <v>0</v>
      </c>
      <c r="K24" s="250">
        <v>0</v>
      </c>
      <c r="L24" s="264">
        <f t="shared" ref="L24" si="7">K24*C24</f>
        <v>0</v>
      </c>
      <c r="M24" s="262" t="s">
        <v>186</v>
      </c>
      <c r="N24" s="288"/>
      <c r="O24" s="289"/>
      <c r="P24" s="290"/>
      <c r="Q24" s="291"/>
      <c r="R24" s="292"/>
      <c r="S24" s="293"/>
    </row>
    <row r="25" spans="1:19" ht="21.6" customHeight="1" x14ac:dyDescent="0.4">
      <c r="A25" s="273" t="s">
        <v>195</v>
      </c>
      <c r="B25" s="274"/>
      <c r="C25" s="275"/>
      <c r="D25" s="275"/>
      <c r="E25" s="276"/>
      <c r="F25" s="277">
        <f>SUM(F24:F24)</f>
        <v>0</v>
      </c>
      <c r="G25" s="276"/>
      <c r="H25" s="277">
        <f>SUM(H24:H24)</f>
        <v>0</v>
      </c>
      <c r="I25" s="276"/>
      <c r="J25" s="277">
        <f>SUM(J24:J24)</f>
        <v>0</v>
      </c>
      <c r="K25" s="276"/>
      <c r="L25" s="277">
        <f>SUM(L24:L24)</f>
        <v>0</v>
      </c>
      <c r="M25" s="278"/>
      <c r="O25" s="267"/>
      <c r="P25" s="267"/>
      <c r="Q25" s="267"/>
      <c r="R25" s="267"/>
      <c r="S25" s="268"/>
    </row>
    <row r="26" spans="1:19" ht="21.6" customHeight="1" x14ac:dyDescent="0.4">
      <c r="A26" s="273"/>
      <c r="B26" s="274"/>
      <c r="C26" s="275"/>
      <c r="D26" s="275"/>
      <c r="E26" s="276"/>
      <c r="F26" s="277"/>
      <c r="G26" s="276"/>
      <c r="H26" s="277"/>
      <c r="I26" s="276"/>
      <c r="J26" s="277"/>
      <c r="K26" s="276"/>
      <c r="L26" s="277"/>
      <c r="M26" s="278"/>
      <c r="O26" s="267"/>
      <c r="P26" s="267"/>
      <c r="Q26" s="267"/>
      <c r="R26" s="267"/>
      <c r="S26" s="268"/>
    </row>
    <row r="27" spans="1:19" ht="21.6" customHeight="1" x14ac:dyDescent="0.4">
      <c r="A27" s="273"/>
      <c r="B27" s="274"/>
      <c r="C27" s="275"/>
      <c r="D27" s="275"/>
      <c r="E27" s="276"/>
      <c r="F27" s="277"/>
      <c r="G27" s="276"/>
      <c r="H27" s="277"/>
      <c r="I27" s="276"/>
      <c r="J27" s="277"/>
      <c r="K27" s="276"/>
      <c r="L27" s="277"/>
      <c r="M27" s="278"/>
      <c r="O27" s="267"/>
      <c r="P27" s="267"/>
      <c r="Q27" s="267"/>
      <c r="R27" s="267"/>
      <c r="S27" s="268"/>
    </row>
    <row r="28" spans="1:19" ht="21.6" customHeight="1" x14ac:dyDescent="0.4">
      <c r="A28" s="263" t="s">
        <v>200</v>
      </c>
      <c r="B28" s="271"/>
      <c r="C28" s="285">
        <v>1</v>
      </c>
      <c r="D28" s="286" t="s">
        <v>201</v>
      </c>
      <c r="E28" s="249">
        <f t="shared" ref="E28" si="8">F28/C28</f>
        <v>0</v>
      </c>
      <c r="F28" s="250">
        <f>H28+J28+L28</f>
        <v>0</v>
      </c>
      <c r="G28" s="265">
        <v>0</v>
      </c>
      <c r="H28" s="265">
        <f>G28*C28</f>
        <v>0</v>
      </c>
      <c r="I28" s="250">
        <v>0</v>
      </c>
      <c r="J28" s="250">
        <f>I28*C28</f>
        <v>0</v>
      </c>
      <c r="K28" s="250">
        <v>0</v>
      </c>
      <c r="L28" s="250">
        <f>K28*C28</f>
        <v>0</v>
      </c>
      <c r="M28" s="262" t="s">
        <v>186</v>
      </c>
      <c r="N28" s="288"/>
      <c r="O28" s="289"/>
      <c r="P28" s="290"/>
      <c r="Q28" s="291"/>
      <c r="R28" s="292"/>
      <c r="S28" s="293"/>
    </row>
    <row r="29" spans="1:19" ht="21.6" customHeight="1" x14ac:dyDescent="0.4">
      <c r="A29" s="273" t="s">
        <v>195</v>
      </c>
      <c r="B29" s="274"/>
      <c r="C29" s="275"/>
      <c r="D29" s="275"/>
      <c r="E29" s="276"/>
      <c r="F29" s="277">
        <f>F28</f>
        <v>0</v>
      </c>
      <c r="G29" s="276"/>
      <c r="H29" s="277">
        <f>H28</f>
        <v>0</v>
      </c>
      <c r="I29" s="276"/>
      <c r="J29" s="277">
        <f>J28</f>
        <v>0</v>
      </c>
      <c r="K29" s="276"/>
      <c r="L29" s="277">
        <f>L28</f>
        <v>0</v>
      </c>
      <c r="M29" s="278"/>
      <c r="O29" s="267"/>
      <c r="P29" s="267"/>
      <c r="Q29" s="267"/>
      <c r="R29" s="267"/>
      <c r="S29" s="268"/>
    </row>
    <row r="30" spans="1:19" ht="21.6" customHeight="1" x14ac:dyDescent="0.4">
      <c r="A30" s="263" t="s">
        <v>202</v>
      </c>
      <c r="B30" s="271"/>
      <c r="C30" s="285">
        <v>1</v>
      </c>
      <c r="D30" s="286" t="s">
        <v>185</v>
      </c>
      <c r="E30" s="249">
        <f t="shared" ref="E30" si="9">F30/C30</f>
        <v>0</v>
      </c>
      <c r="F30" s="250">
        <f>H30+J30+L30</f>
        <v>0</v>
      </c>
      <c r="G30" s="265">
        <v>0</v>
      </c>
      <c r="H30" s="265">
        <f>G30*C30</f>
        <v>0</v>
      </c>
      <c r="I30" s="250">
        <v>0</v>
      </c>
      <c r="J30" s="250">
        <f>I30*C30</f>
        <v>0</v>
      </c>
      <c r="K30" s="250">
        <v>0</v>
      </c>
      <c r="L30" s="250">
        <f>K30*C30</f>
        <v>0</v>
      </c>
      <c r="M30" s="262" t="s">
        <v>186</v>
      </c>
      <c r="N30" s="288"/>
      <c r="O30" s="289"/>
      <c r="P30" s="290"/>
      <c r="Q30" s="291"/>
      <c r="R30" s="292"/>
      <c r="S30" s="293"/>
    </row>
    <row r="31" spans="1:19" ht="21.6" customHeight="1" x14ac:dyDescent="0.4">
      <c r="A31" s="273" t="s">
        <v>195</v>
      </c>
      <c r="B31" s="274"/>
      <c r="C31" s="275"/>
      <c r="D31" s="275"/>
      <c r="E31" s="276"/>
      <c r="F31" s="277">
        <f>F30</f>
        <v>0</v>
      </c>
      <c r="G31" s="276"/>
      <c r="H31" s="277">
        <f>H30</f>
        <v>0</v>
      </c>
      <c r="I31" s="276"/>
      <c r="J31" s="277">
        <f>J30</f>
        <v>0</v>
      </c>
      <c r="K31" s="276"/>
      <c r="L31" s="277">
        <f>L30</f>
        <v>0</v>
      </c>
      <c r="M31" s="278"/>
      <c r="O31" s="267"/>
      <c r="P31" s="267"/>
      <c r="Q31" s="267"/>
      <c r="R31" s="267"/>
      <c r="S31" s="268"/>
    </row>
    <row r="32" spans="1:19" ht="21.6" customHeight="1" x14ac:dyDescent="0.4">
      <c r="A32" s="520" t="s">
        <v>196</v>
      </c>
      <c r="B32" s="521"/>
      <c r="C32" s="294"/>
      <c r="D32" s="294"/>
      <c r="E32" s="295"/>
      <c r="F32" s="295">
        <f>F31+F29+F25</f>
        <v>0</v>
      </c>
      <c r="G32" s="295"/>
      <c r="H32" s="295">
        <f>H31+H29+H25</f>
        <v>0</v>
      </c>
      <c r="I32" s="295"/>
      <c r="J32" s="295">
        <f>J31+J29+J25</f>
        <v>0</v>
      </c>
      <c r="K32" s="295"/>
      <c r="L32" s="295">
        <f>L31+L29+L25</f>
        <v>0</v>
      </c>
      <c r="M32" s="296"/>
      <c r="P32" s="267"/>
      <c r="R32" s="267"/>
      <c r="S32" s="268"/>
    </row>
    <row r="33" spans="1:19" ht="21.6" customHeight="1" x14ac:dyDescent="0.4">
      <c r="A33" s="245" t="s">
        <v>203</v>
      </c>
      <c r="B33" s="297"/>
      <c r="C33" s="297"/>
      <c r="D33" s="297"/>
      <c r="E33" s="297"/>
      <c r="F33" s="297"/>
      <c r="G33" s="297"/>
      <c r="H33" s="297"/>
      <c r="I33" s="297"/>
      <c r="J33" s="297"/>
      <c r="K33" s="297"/>
      <c r="L33" s="297"/>
      <c r="M33" s="298"/>
      <c r="P33" s="267"/>
      <c r="R33" s="267"/>
      <c r="S33" s="268"/>
    </row>
    <row r="34" spans="1:19" ht="21.6" customHeight="1" x14ac:dyDescent="0.4">
      <c r="A34" s="299" t="s">
        <v>204</v>
      </c>
      <c r="B34" s="300"/>
      <c r="C34" s="285">
        <v>1</v>
      </c>
      <c r="D34" s="286" t="s">
        <v>95</v>
      </c>
      <c r="E34" s="301"/>
      <c r="F34" s="250"/>
      <c r="G34" s="265"/>
      <c r="H34" s="265"/>
      <c r="I34" s="250"/>
      <c r="J34" s="250"/>
      <c r="K34" s="250"/>
      <c r="L34" s="250"/>
      <c r="M34" s="262"/>
      <c r="N34" s="302"/>
      <c r="O34" s="289"/>
      <c r="P34" s="303"/>
      <c r="Q34" s="291"/>
      <c r="R34" s="292"/>
      <c r="S34" s="293"/>
    </row>
    <row r="35" spans="1:19" ht="21.6" customHeight="1" x14ac:dyDescent="0.4">
      <c r="A35" s="299" t="s">
        <v>205</v>
      </c>
      <c r="B35" s="246"/>
      <c r="C35" s="285">
        <v>3</v>
      </c>
      <c r="D35" s="286" t="s">
        <v>191</v>
      </c>
      <c r="E35" s="249">
        <f t="shared" ref="E35:E36" si="10">F35/C35</f>
        <v>0</v>
      </c>
      <c r="F35" s="250">
        <f t="shared" ref="F35:F36" si="11">H35+J35+L35</f>
        <v>0</v>
      </c>
      <c r="G35" s="265">
        <v>0</v>
      </c>
      <c r="H35" s="265">
        <f t="shared" ref="H35:H36" si="12">G35*C35</f>
        <v>0</v>
      </c>
      <c r="I35" s="250">
        <v>0</v>
      </c>
      <c r="J35" s="250">
        <f t="shared" ref="J35:J36" si="13">I35*C35</f>
        <v>0</v>
      </c>
      <c r="K35" s="250">
        <v>0</v>
      </c>
      <c r="L35" s="250">
        <f t="shared" ref="L35" si="14">K35*C35</f>
        <v>0</v>
      </c>
      <c r="M35" s="262" t="s">
        <v>186</v>
      </c>
      <c r="N35" s="302"/>
      <c r="O35" s="289"/>
      <c r="P35" s="303"/>
      <c r="Q35" s="291"/>
      <c r="R35" s="292"/>
      <c r="S35" s="293"/>
    </row>
    <row r="36" spans="1:19" ht="21.6" customHeight="1" x14ac:dyDescent="0.4">
      <c r="A36" s="299" t="s">
        <v>206</v>
      </c>
      <c r="B36" s="246"/>
      <c r="C36" s="285">
        <v>1</v>
      </c>
      <c r="D36" s="286" t="s">
        <v>185</v>
      </c>
      <c r="E36" s="249">
        <f t="shared" si="10"/>
        <v>0</v>
      </c>
      <c r="F36" s="250">
        <f t="shared" si="11"/>
        <v>0</v>
      </c>
      <c r="G36" s="265">
        <v>0</v>
      </c>
      <c r="H36" s="265">
        <f t="shared" si="12"/>
        <v>0</v>
      </c>
      <c r="I36" s="250">
        <v>0</v>
      </c>
      <c r="J36" s="264">
        <f t="shared" si="13"/>
        <v>0</v>
      </c>
      <c r="K36" s="250">
        <v>0</v>
      </c>
      <c r="L36" s="250">
        <v>0</v>
      </c>
      <c r="M36" s="262" t="s">
        <v>186</v>
      </c>
      <c r="N36" s="302"/>
      <c r="O36" s="289"/>
      <c r="P36" s="303"/>
      <c r="Q36" s="291"/>
      <c r="R36" s="292"/>
      <c r="S36" s="293"/>
    </row>
    <row r="37" spans="1:19" ht="20.25" customHeight="1" x14ac:dyDescent="0.4">
      <c r="A37" s="273" t="s">
        <v>195</v>
      </c>
      <c r="B37" s="304"/>
      <c r="C37" s="305"/>
      <c r="D37" s="306"/>
      <c r="E37" s="307"/>
      <c r="F37" s="277">
        <f>F36+F35</f>
        <v>0</v>
      </c>
      <c r="G37" s="308"/>
      <c r="H37" s="277">
        <f>H36+H35</f>
        <v>0</v>
      </c>
      <c r="I37" s="277"/>
      <c r="J37" s="277">
        <f>J36+J35</f>
        <v>0</v>
      </c>
      <c r="K37" s="277"/>
      <c r="L37" s="277">
        <f>L36+L35</f>
        <v>0</v>
      </c>
      <c r="M37" s="309"/>
      <c r="N37" s="302"/>
      <c r="O37" s="289"/>
      <c r="P37" s="290"/>
      <c r="Q37" s="291"/>
      <c r="R37" s="292"/>
      <c r="S37" s="293"/>
    </row>
    <row r="38" spans="1:19" ht="20.25" customHeight="1" x14ac:dyDescent="0.4">
      <c r="A38" s="263" t="s">
        <v>207</v>
      </c>
      <c r="B38" s="310"/>
      <c r="C38" s="285"/>
      <c r="D38" s="286"/>
      <c r="E38" s="311"/>
      <c r="F38" s="250"/>
      <c r="G38" s="265"/>
      <c r="H38" s="265"/>
      <c r="I38" s="250"/>
      <c r="J38" s="250"/>
      <c r="K38" s="250"/>
      <c r="L38" s="250"/>
      <c r="M38" s="287"/>
      <c r="N38" s="302"/>
      <c r="O38" s="289"/>
      <c r="P38" s="290"/>
      <c r="Q38" s="291"/>
      <c r="R38" s="292"/>
      <c r="S38" s="293"/>
    </row>
    <row r="39" spans="1:19" ht="21.6" customHeight="1" x14ac:dyDescent="0.4">
      <c r="A39" s="299" t="s">
        <v>208</v>
      </c>
      <c r="B39" s="246" t="s">
        <v>209</v>
      </c>
      <c r="C39" s="285">
        <v>2</v>
      </c>
      <c r="D39" s="286" t="s">
        <v>185</v>
      </c>
      <c r="E39" s="249">
        <f t="shared" ref="E39" si="15">F39/C39</f>
        <v>36000000</v>
      </c>
      <c r="F39" s="250">
        <f t="shared" ref="F39" si="16">H39+J39+L39</f>
        <v>72000000</v>
      </c>
      <c r="G39" s="265">
        <v>36000000</v>
      </c>
      <c r="H39" s="265">
        <f t="shared" ref="H39" si="17">G39*C39</f>
        <v>72000000</v>
      </c>
      <c r="I39" s="250">
        <v>0</v>
      </c>
      <c r="J39" s="250">
        <v>0</v>
      </c>
      <c r="K39" s="250">
        <v>0</v>
      </c>
      <c r="L39" s="250">
        <f t="shared" ref="L39" si="18">K39*C39</f>
        <v>0</v>
      </c>
      <c r="M39" s="262"/>
      <c r="N39" s="302"/>
      <c r="O39" s="289"/>
      <c r="P39" s="303"/>
      <c r="Q39" s="291"/>
      <c r="R39" s="292"/>
      <c r="S39" s="293"/>
    </row>
    <row r="40" spans="1:19" ht="21.6" customHeight="1" x14ac:dyDescent="0.4">
      <c r="A40" s="299" t="s">
        <v>210</v>
      </c>
      <c r="B40" s="246" t="s">
        <v>211</v>
      </c>
      <c r="C40" s="285">
        <v>2</v>
      </c>
      <c r="D40" s="286" t="s">
        <v>212</v>
      </c>
      <c r="E40" s="249"/>
      <c r="F40" s="250"/>
      <c r="G40" s="265"/>
      <c r="H40" s="265"/>
      <c r="I40" s="250"/>
      <c r="J40" s="250"/>
      <c r="K40" s="250"/>
      <c r="L40" s="250"/>
      <c r="M40" s="262"/>
      <c r="N40" s="302"/>
      <c r="O40" s="289"/>
      <c r="P40" s="303"/>
      <c r="Q40" s="291"/>
      <c r="R40" s="292"/>
      <c r="S40" s="293"/>
    </row>
    <row r="41" spans="1:19" ht="21.6" customHeight="1" x14ac:dyDescent="0.4">
      <c r="A41" s="299" t="s">
        <v>213</v>
      </c>
      <c r="B41" s="312" t="s">
        <v>214</v>
      </c>
      <c r="C41" s="285">
        <v>2</v>
      </c>
      <c r="D41" s="286" t="s">
        <v>212</v>
      </c>
      <c r="E41" s="249"/>
      <c r="F41" s="250"/>
      <c r="G41" s="265"/>
      <c r="H41" s="265"/>
      <c r="I41" s="250"/>
      <c r="J41" s="250"/>
      <c r="K41" s="250"/>
      <c r="L41" s="250"/>
      <c r="M41" s="287"/>
      <c r="N41" s="302"/>
      <c r="O41" s="289"/>
      <c r="P41" s="290"/>
      <c r="Q41" s="291"/>
      <c r="R41" s="292"/>
      <c r="S41" s="293"/>
    </row>
    <row r="42" spans="1:19" ht="21.6" customHeight="1" x14ac:dyDescent="0.4">
      <c r="A42" s="299" t="s">
        <v>215</v>
      </c>
      <c r="B42" s="313" t="s">
        <v>214</v>
      </c>
      <c r="C42" s="285">
        <v>2</v>
      </c>
      <c r="D42" s="286" t="s">
        <v>212</v>
      </c>
      <c r="E42" s="249"/>
      <c r="F42" s="250"/>
      <c r="G42" s="265"/>
      <c r="H42" s="265"/>
      <c r="I42" s="250"/>
      <c r="J42" s="250"/>
      <c r="K42" s="250"/>
      <c r="L42" s="250"/>
      <c r="M42" s="287"/>
      <c r="N42" s="302"/>
      <c r="O42" s="289"/>
      <c r="P42" s="290"/>
      <c r="Q42" s="291"/>
      <c r="R42" s="292"/>
      <c r="S42" s="293"/>
    </row>
    <row r="43" spans="1:19" ht="21.6" customHeight="1" x14ac:dyDescent="0.4">
      <c r="A43" s="299" t="s">
        <v>216</v>
      </c>
      <c r="B43" s="313"/>
      <c r="C43" s="285">
        <v>5</v>
      </c>
      <c r="D43" s="286" t="s">
        <v>212</v>
      </c>
      <c r="E43" s="249"/>
      <c r="F43" s="250"/>
      <c r="G43" s="265"/>
      <c r="H43" s="265"/>
      <c r="I43" s="250"/>
      <c r="J43" s="250"/>
      <c r="K43" s="250"/>
      <c r="L43" s="250"/>
      <c r="M43" s="287"/>
      <c r="N43" s="302"/>
      <c r="O43" s="289"/>
      <c r="P43" s="290"/>
      <c r="Q43" s="291"/>
      <c r="R43" s="292"/>
      <c r="S43" s="293"/>
    </row>
    <row r="44" spans="1:19" ht="21.6" customHeight="1" x14ac:dyDescent="0.4">
      <c r="A44" s="299" t="s">
        <v>217</v>
      </c>
      <c r="B44" s="313"/>
      <c r="C44" s="285">
        <v>6</v>
      </c>
      <c r="D44" s="286" t="s">
        <v>212</v>
      </c>
      <c r="E44" s="249"/>
      <c r="F44" s="250"/>
      <c r="G44" s="265"/>
      <c r="H44" s="265"/>
      <c r="I44" s="250"/>
      <c r="J44" s="250"/>
      <c r="K44" s="250"/>
      <c r="L44" s="250"/>
      <c r="M44" s="287"/>
      <c r="N44" s="302"/>
      <c r="O44" s="289"/>
      <c r="P44" s="290"/>
      <c r="Q44" s="291"/>
      <c r="R44" s="292"/>
      <c r="S44" s="293"/>
    </row>
    <row r="45" spans="1:19" ht="21.6" customHeight="1" x14ac:dyDescent="0.4">
      <c r="A45" s="299" t="s">
        <v>218</v>
      </c>
      <c r="B45" s="313"/>
      <c r="C45" s="285">
        <v>2</v>
      </c>
      <c r="D45" s="286" t="s">
        <v>212</v>
      </c>
      <c r="E45" s="249"/>
      <c r="F45" s="250"/>
      <c r="G45" s="265"/>
      <c r="H45" s="265"/>
      <c r="I45" s="250"/>
      <c r="J45" s="250"/>
      <c r="K45" s="250"/>
      <c r="L45" s="250"/>
      <c r="M45" s="287"/>
      <c r="N45" s="302"/>
      <c r="O45" s="289"/>
      <c r="P45" s="290"/>
      <c r="Q45" s="291"/>
      <c r="R45" s="292"/>
      <c r="S45" s="293"/>
    </row>
    <row r="46" spans="1:19" ht="21.6" customHeight="1" x14ac:dyDescent="0.4">
      <c r="A46" s="263" t="s">
        <v>219</v>
      </c>
      <c r="B46" s="314"/>
      <c r="C46" s="285">
        <v>1</v>
      </c>
      <c r="D46" s="286" t="s">
        <v>185</v>
      </c>
      <c r="E46" s="249"/>
      <c r="F46" s="250"/>
      <c r="G46" s="265"/>
      <c r="H46" s="265"/>
      <c r="I46" s="250"/>
      <c r="J46" s="250"/>
      <c r="K46" s="250"/>
      <c r="L46" s="250"/>
      <c r="M46" s="262"/>
      <c r="N46" s="302"/>
      <c r="O46" s="289"/>
      <c r="P46" s="290"/>
      <c r="Q46" s="291"/>
      <c r="R46" s="292"/>
      <c r="S46" s="293"/>
    </row>
    <row r="47" spans="1:19" ht="20.25" customHeight="1" x14ac:dyDescent="0.4">
      <c r="A47" s="315" t="s">
        <v>195</v>
      </c>
      <c r="B47" s="316"/>
      <c r="C47" s="317"/>
      <c r="D47" s="318"/>
      <c r="E47" s="319"/>
      <c r="F47" s="320">
        <f>F39</f>
        <v>72000000</v>
      </c>
      <c r="G47" s="321"/>
      <c r="H47" s="320">
        <f>H39</f>
        <v>72000000</v>
      </c>
      <c r="I47" s="320"/>
      <c r="J47" s="320">
        <f>J39</f>
        <v>0</v>
      </c>
      <c r="K47" s="320"/>
      <c r="L47" s="320">
        <f>L39</f>
        <v>0</v>
      </c>
      <c r="M47" s="322"/>
      <c r="N47" s="302"/>
      <c r="O47" s="289"/>
      <c r="P47" s="290"/>
      <c r="Q47" s="291"/>
      <c r="R47" s="292"/>
      <c r="S47" s="293"/>
    </row>
    <row r="48" spans="1:19" ht="20.25" customHeight="1" x14ac:dyDescent="0.4">
      <c r="A48" s="323" t="s">
        <v>220</v>
      </c>
      <c r="B48" s="324"/>
      <c r="C48" s="325"/>
      <c r="D48" s="326"/>
      <c r="E48" s="327"/>
      <c r="F48" s="328"/>
      <c r="G48" s="329"/>
      <c r="H48" s="329"/>
      <c r="I48" s="328"/>
      <c r="J48" s="328"/>
      <c r="K48" s="328"/>
      <c r="L48" s="328"/>
      <c r="M48" s="330"/>
      <c r="N48" s="302"/>
      <c r="O48" s="289"/>
      <c r="P48" s="290"/>
      <c r="Q48" s="291"/>
      <c r="R48" s="292"/>
      <c r="S48" s="293"/>
    </row>
    <row r="49" spans="1:19" ht="21.6" customHeight="1" x14ac:dyDescent="0.4">
      <c r="A49" s="299" t="s">
        <v>221</v>
      </c>
      <c r="B49" s="246"/>
      <c r="C49" s="285">
        <v>2</v>
      </c>
      <c r="D49" s="286" t="s">
        <v>185</v>
      </c>
      <c r="E49" s="249">
        <f t="shared" ref="E49" si="19">F49/C49</f>
        <v>45000000</v>
      </c>
      <c r="F49" s="250">
        <f t="shared" ref="F49" si="20">H49+J49+L49</f>
        <v>90000000</v>
      </c>
      <c r="G49" s="265">
        <v>45000000</v>
      </c>
      <c r="H49" s="265">
        <f t="shared" ref="H49" si="21">G49*C49</f>
        <v>90000000</v>
      </c>
      <c r="I49" s="250"/>
      <c r="J49" s="250">
        <f t="shared" ref="J49" si="22">I49*C49</f>
        <v>0</v>
      </c>
      <c r="K49" s="250"/>
      <c r="L49" s="250">
        <f t="shared" ref="L49" si="23">K49*C49</f>
        <v>0</v>
      </c>
      <c r="M49" s="262"/>
      <c r="N49" s="302"/>
      <c r="O49" s="289"/>
      <c r="P49" s="303"/>
      <c r="Q49" s="291"/>
      <c r="R49" s="292"/>
      <c r="S49" s="293"/>
    </row>
    <row r="50" spans="1:19" ht="21.6" customHeight="1" x14ac:dyDescent="0.4">
      <c r="A50" s="299" t="s">
        <v>210</v>
      </c>
      <c r="B50" s="246"/>
      <c r="C50" s="285">
        <v>1</v>
      </c>
      <c r="D50" s="286" t="s">
        <v>212</v>
      </c>
      <c r="E50" s="249"/>
      <c r="F50" s="250"/>
      <c r="G50" s="265"/>
      <c r="H50" s="265"/>
      <c r="I50" s="250"/>
      <c r="J50" s="250"/>
      <c r="K50" s="250"/>
      <c r="L50" s="250"/>
      <c r="M50" s="262"/>
      <c r="N50" s="302"/>
      <c r="O50" s="289"/>
      <c r="P50" s="303"/>
      <c r="Q50" s="291"/>
      <c r="R50" s="292"/>
      <c r="S50" s="293"/>
    </row>
    <row r="51" spans="1:19" ht="21.6" customHeight="1" x14ac:dyDescent="0.4">
      <c r="A51" s="299" t="s">
        <v>222</v>
      </c>
      <c r="B51" s="312"/>
      <c r="C51" s="285">
        <v>20</v>
      </c>
      <c r="D51" s="286" t="s">
        <v>212</v>
      </c>
      <c r="E51" s="249"/>
      <c r="F51" s="250"/>
      <c r="G51" s="265"/>
      <c r="H51" s="265"/>
      <c r="I51" s="250"/>
      <c r="J51" s="250"/>
      <c r="K51" s="250"/>
      <c r="L51" s="250"/>
      <c r="M51" s="287"/>
      <c r="N51" s="302"/>
      <c r="O51" s="289"/>
      <c r="P51" s="290"/>
      <c r="Q51" s="291"/>
      <c r="R51" s="292"/>
      <c r="S51" s="293"/>
    </row>
    <row r="52" spans="1:19" ht="21.6" customHeight="1" x14ac:dyDescent="0.4">
      <c r="A52" s="299" t="s">
        <v>217</v>
      </c>
      <c r="B52" s="313" t="s">
        <v>223</v>
      </c>
      <c r="C52" s="285">
        <v>20</v>
      </c>
      <c r="D52" s="286" t="s">
        <v>212</v>
      </c>
      <c r="E52" s="249"/>
      <c r="F52" s="250"/>
      <c r="G52" s="265"/>
      <c r="H52" s="265"/>
      <c r="I52" s="250"/>
      <c r="J52" s="250"/>
      <c r="K52" s="250"/>
      <c r="L52" s="250"/>
      <c r="M52" s="287"/>
      <c r="N52" s="302"/>
      <c r="O52" s="289"/>
      <c r="P52" s="290"/>
      <c r="Q52" s="291"/>
      <c r="R52" s="292"/>
      <c r="S52" s="293"/>
    </row>
    <row r="53" spans="1:19" ht="21.6" customHeight="1" x14ac:dyDescent="0.4">
      <c r="A53" s="299" t="s">
        <v>224</v>
      </c>
      <c r="B53" s="313" t="s">
        <v>223</v>
      </c>
      <c r="C53" s="285">
        <v>10</v>
      </c>
      <c r="D53" s="286" t="s">
        <v>212</v>
      </c>
      <c r="E53" s="249"/>
      <c r="F53" s="250"/>
      <c r="G53" s="265"/>
      <c r="H53" s="265"/>
      <c r="I53" s="250"/>
      <c r="J53" s="250"/>
      <c r="K53" s="250"/>
      <c r="L53" s="250"/>
      <c r="M53" s="287"/>
      <c r="N53" s="302"/>
      <c r="O53" s="289"/>
      <c r="P53" s="290"/>
      <c r="Q53" s="291"/>
      <c r="R53" s="292"/>
      <c r="S53" s="293"/>
    </row>
    <row r="54" spans="1:19" ht="21.6" customHeight="1" x14ac:dyDescent="0.4">
      <c r="A54" s="299" t="s">
        <v>225</v>
      </c>
      <c r="B54" s="313" t="s">
        <v>223</v>
      </c>
      <c r="C54" s="285">
        <v>20</v>
      </c>
      <c r="D54" s="286" t="s">
        <v>226</v>
      </c>
      <c r="E54" s="249"/>
      <c r="F54" s="250"/>
      <c r="G54" s="265"/>
      <c r="H54" s="265"/>
      <c r="I54" s="250"/>
      <c r="J54" s="250"/>
      <c r="K54" s="250"/>
      <c r="L54" s="250"/>
      <c r="M54" s="262"/>
      <c r="N54" s="302"/>
      <c r="O54" s="289"/>
      <c r="P54" s="290"/>
      <c r="Q54" s="291"/>
      <c r="R54" s="292"/>
      <c r="S54" s="293"/>
    </row>
    <row r="55" spans="1:19" ht="21.6" customHeight="1" x14ac:dyDescent="0.4">
      <c r="A55" s="299" t="s">
        <v>227</v>
      </c>
      <c r="B55" s="314"/>
      <c r="C55" s="285">
        <v>2</v>
      </c>
      <c r="D55" s="286" t="s">
        <v>226</v>
      </c>
      <c r="E55" s="249"/>
      <c r="F55" s="250"/>
      <c r="G55" s="265"/>
      <c r="H55" s="265"/>
      <c r="I55" s="250"/>
      <c r="J55" s="250"/>
      <c r="K55" s="250"/>
      <c r="L55" s="250"/>
      <c r="M55" s="262"/>
      <c r="N55" s="302"/>
      <c r="O55" s="289"/>
      <c r="P55" s="290"/>
      <c r="Q55" s="291"/>
      <c r="R55" s="292"/>
      <c r="S55" s="293"/>
    </row>
    <row r="56" spans="1:19" ht="21.6" customHeight="1" x14ac:dyDescent="0.4">
      <c r="A56" s="263" t="s">
        <v>219</v>
      </c>
      <c r="B56" s="314"/>
      <c r="C56" s="285">
        <v>1</v>
      </c>
      <c r="D56" s="286" t="s">
        <v>185</v>
      </c>
      <c r="E56" s="249"/>
      <c r="F56" s="250"/>
      <c r="G56" s="265"/>
      <c r="H56" s="265"/>
      <c r="I56" s="250"/>
      <c r="J56" s="250"/>
      <c r="K56" s="250"/>
      <c r="L56" s="250"/>
      <c r="M56" s="262"/>
      <c r="N56" s="302"/>
      <c r="O56" s="289"/>
      <c r="P56" s="290"/>
      <c r="Q56" s="291"/>
      <c r="R56" s="292"/>
      <c r="S56" s="293"/>
    </row>
    <row r="57" spans="1:19" ht="21.6" customHeight="1" x14ac:dyDescent="0.4">
      <c r="A57" s="315" t="s">
        <v>195</v>
      </c>
      <c r="B57" s="316"/>
      <c r="C57" s="317"/>
      <c r="D57" s="318"/>
      <c r="E57" s="319"/>
      <c r="F57" s="320">
        <f>F49</f>
        <v>90000000</v>
      </c>
      <c r="G57" s="321"/>
      <c r="H57" s="320">
        <f>H49</f>
        <v>90000000</v>
      </c>
      <c r="I57" s="320"/>
      <c r="J57" s="320">
        <f>J49</f>
        <v>0</v>
      </c>
      <c r="K57" s="320"/>
      <c r="L57" s="320">
        <f>L49</f>
        <v>0</v>
      </c>
      <c r="M57" s="322"/>
      <c r="N57" s="302"/>
      <c r="O57" s="289"/>
      <c r="P57" s="290"/>
      <c r="Q57" s="291"/>
      <c r="R57" s="292"/>
      <c r="S57" s="293"/>
    </row>
    <row r="58" spans="1:19" ht="21.6" customHeight="1" x14ac:dyDescent="0.4">
      <c r="A58" s="323" t="s">
        <v>228</v>
      </c>
      <c r="B58" s="324"/>
      <c r="C58" s="325"/>
      <c r="D58" s="326"/>
      <c r="E58" s="327"/>
      <c r="F58" s="328"/>
      <c r="G58" s="265"/>
      <c r="H58" s="265"/>
      <c r="I58" s="250"/>
      <c r="J58" s="250"/>
      <c r="K58" s="250"/>
      <c r="L58" s="250"/>
      <c r="M58" s="262"/>
      <c r="N58" s="302"/>
      <c r="O58" s="289"/>
      <c r="P58" s="290"/>
      <c r="Q58" s="291"/>
      <c r="R58" s="292"/>
      <c r="S58" s="293"/>
    </row>
    <row r="59" spans="1:19" ht="21.6" customHeight="1" x14ac:dyDescent="0.4">
      <c r="A59" s="299" t="s">
        <v>229</v>
      </c>
      <c r="B59" s="246"/>
      <c r="C59" s="285">
        <v>20</v>
      </c>
      <c r="D59" s="286" t="s">
        <v>185</v>
      </c>
      <c r="E59" s="249">
        <f t="shared" ref="E59" si="24">F59/C59</f>
        <v>6000000</v>
      </c>
      <c r="F59" s="250">
        <f t="shared" ref="F59" si="25">H59+J59+L59</f>
        <v>120000000</v>
      </c>
      <c r="G59" s="265">
        <v>6000000</v>
      </c>
      <c r="H59" s="265">
        <f t="shared" ref="H59" si="26">G59*C59</f>
        <v>120000000</v>
      </c>
      <c r="I59" s="250"/>
      <c r="J59" s="250">
        <f t="shared" ref="J59" si="27">I59*C59</f>
        <v>0</v>
      </c>
      <c r="K59" s="250"/>
      <c r="L59" s="250">
        <f t="shared" ref="L59" si="28">K59*C59</f>
        <v>0</v>
      </c>
      <c r="M59" s="262"/>
      <c r="N59" s="302"/>
      <c r="O59" s="289"/>
      <c r="P59" s="290"/>
      <c r="Q59" s="291"/>
      <c r="R59" s="292"/>
      <c r="S59" s="293"/>
    </row>
    <row r="60" spans="1:19" ht="20.25" customHeight="1" x14ac:dyDescent="0.4">
      <c r="A60" s="273" t="s">
        <v>195</v>
      </c>
      <c r="B60" s="304"/>
      <c r="C60" s="305"/>
      <c r="D60" s="306"/>
      <c r="E60" s="307"/>
      <c r="F60" s="277">
        <f>F59</f>
        <v>120000000</v>
      </c>
      <c r="G60" s="308"/>
      <c r="H60" s="277">
        <f>H59</f>
        <v>120000000</v>
      </c>
      <c r="I60" s="277"/>
      <c r="J60" s="277">
        <f>J49</f>
        <v>0</v>
      </c>
      <c r="K60" s="277"/>
      <c r="L60" s="277">
        <f>L49</f>
        <v>0</v>
      </c>
      <c r="M60" s="309"/>
      <c r="N60" s="302"/>
      <c r="O60" s="289"/>
      <c r="P60" s="290"/>
      <c r="Q60" s="291"/>
      <c r="R60" s="292"/>
      <c r="S60" s="293"/>
    </row>
    <row r="61" spans="1:19" ht="21.6" customHeight="1" x14ac:dyDescent="0.4">
      <c r="A61" s="520" t="s">
        <v>196</v>
      </c>
      <c r="B61" s="521"/>
      <c r="C61" s="294"/>
      <c r="D61" s="294"/>
      <c r="E61" s="295"/>
      <c r="F61" s="295">
        <f>F60+F47+F37+F57</f>
        <v>282000000</v>
      </c>
      <c r="G61" s="295"/>
      <c r="H61" s="295">
        <f>H60+H47+H37+H57</f>
        <v>282000000</v>
      </c>
      <c r="I61" s="295"/>
      <c r="J61" s="295">
        <f>J60+J47+J37</f>
        <v>0</v>
      </c>
      <c r="K61" s="295"/>
      <c r="L61" s="295">
        <f>L60+L47+L37</f>
        <v>0</v>
      </c>
      <c r="M61" s="296"/>
      <c r="P61" s="267"/>
      <c r="R61" s="267"/>
      <c r="S61" s="268"/>
    </row>
    <row r="62" spans="1:19" ht="20.25" customHeight="1" x14ac:dyDescent="0.4">
      <c r="A62" s="245" t="s">
        <v>230</v>
      </c>
      <c r="B62" s="331"/>
      <c r="C62" s="285"/>
      <c r="D62" s="286"/>
      <c r="E62" s="249"/>
      <c r="F62" s="250"/>
      <c r="G62" s="265"/>
      <c r="H62" s="265"/>
      <c r="I62" s="250"/>
      <c r="J62" s="250"/>
      <c r="K62" s="250"/>
      <c r="L62" s="250"/>
      <c r="M62" s="287"/>
      <c r="N62" s="302"/>
      <c r="O62" s="289"/>
      <c r="P62" s="290"/>
      <c r="Q62" s="291"/>
      <c r="R62" s="292"/>
      <c r="S62" s="293"/>
    </row>
    <row r="63" spans="1:19" ht="20.25" customHeight="1" x14ac:dyDescent="0.4">
      <c r="A63" s="263" t="s">
        <v>231</v>
      </c>
      <c r="B63" s="313"/>
      <c r="C63" s="332"/>
      <c r="D63" s="286"/>
      <c r="E63" s="249"/>
      <c r="F63" s="250"/>
      <c r="G63" s="265"/>
      <c r="H63" s="265"/>
      <c r="I63" s="250"/>
      <c r="J63" s="250"/>
      <c r="K63" s="250"/>
      <c r="L63" s="250"/>
      <c r="M63" s="287"/>
      <c r="N63" s="302"/>
      <c r="O63" s="289"/>
      <c r="P63" s="290"/>
      <c r="Q63" s="291"/>
      <c r="R63" s="292"/>
      <c r="S63" s="293"/>
    </row>
    <row r="64" spans="1:19" ht="20.25" customHeight="1" x14ac:dyDescent="0.4">
      <c r="A64" s="263" t="s">
        <v>274</v>
      </c>
      <c r="B64" s="313" t="s">
        <v>78</v>
      </c>
      <c r="C64" s="332">
        <v>1</v>
      </c>
      <c r="D64" s="286" t="s">
        <v>232</v>
      </c>
      <c r="E64" s="249">
        <f t="shared" ref="E64" si="29">F64/C64</f>
        <v>60000000</v>
      </c>
      <c r="F64" s="250">
        <f t="shared" ref="F64:F65" si="30">H64+J64+L64</f>
        <v>60000000</v>
      </c>
      <c r="G64" s="265">
        <v>60000000</v>
      </c>
      <c r="H64" s="265">
        <f t="shared" ref="H64:H65" si="31">G64*C64</f>
        <v>60000000</v>
      </c>
      <c r="I64" s="250">
        <v>0</v>
      </c>
      <c r="J64" s="250">
        <v>0</v>
      </c>
      <c r="K64" s="250">
        <v>0</v>
      </c>
      <c r="L64" s="250">
        <v>0</v>
      </c>
      <c r="M64" s="287"/>
      <c r="N64" s="302"/>
      <c r="O64" s="289"/>
      <c r="P64" s="290"/>
      <c r="Q64" s="291"/>
      <c r="R64" s="292"/>
      <c r="S64" s="293"/>
    </row>
    <row r="65" spans="1:19" ht="20.25" hidden="1" customHeight="1" x14ac:dyDescent="0.4">
      <c r="A65" s="263" t="s">
        <v>233</v>
      </c>
      <c r="B65" s="331"/>
      <c r="C65" s="332">
        <v>1</v>
      </c>
      <c r="D65" s="286" t="s">
        <v>232</v>
      </c>
      <c r="E65" s="249">
        <v>0</v>
      </c>
      <c r="F65" s="250">
        <f t="shared" si="30"/>
        <v>0</v>
      </c>
      <c r="G65" s="265">
        <v>0</v>
      </c>
      <c r="H65" s="265">
        <f t="shared" si="31"/>
        <v>0</v>
      </c>
      <c r="I65" s="250">
        <v>0</v>
      </c>
      <c r="J65" s="250">
        <v>0</v>
      </c>
      <c r="K65" s="250">
        <v>0</v>
      </c>
      <c r="L65" s="250">
        <v>0</v>
      </c>
      <c r="M65" s="287"/>
      <c r="N65" s="302"/>
      <c r="O65" s="289"/>
      <c r="P65" s="290"/>
      <c r="Q65" s="291"/>
      <c r="R65" s="292"/>
      <c r="S65" s="293"/>
    </row>
    <row r="66" spans="1:19" ht="20.25" customHeight="1" x14ac:dyDescent="0.4">
      <c r="A66" s="273" t="s">
        <v>195</v>
      </c>
      <c r="B66" s="304"/>
      <c r="C66" s="305"/>
      <c r="D66" s="306"/>
      <c r="E66" s="307"/>
      <c r="F66" s="277">
        <f>F65+F64</f>
        <v>60000000</v>
      </c>
      <c r="G66" s="308"/>
      <c r="H66" s="277">
        <f>H65+H64</f>
        <v>60000000</v>
      </c>
      <c r="I66" s="277"/>
      <c r="J66" s="277">
        <f>J65+J64</f>
        <v>0</v>
      </c>
      <c r="K66" s="277"/>
      <c r="L66" s="277">
        <f>L65+L64</f>
        <v>0</v>
      </c>
      <c r="M66" s="309"/>
      <c r="N66" s="302"/>
      <c r="O66" s="289"/>
      <c r="P66" s="290"/>
      <c r="Q66" s="291"/>
      <c r="R66" s="292"/>
      <c r="S66" s="293"/>
    </row>
    <row r="67" spans="1:19" ht="20.25" customHeight="1" x14ac:dyDescent="0.4">
      <c r="A67" s="520" t="s">
        <v>196</v>
      </c>
      <c r="B67" s="521"/>
      <c r="C67" s="294"/>
      <c r="D67" s="294"/>
      <c r="E67" s="295"/>
      <c r="F67" s="295">
        <f>+F66</f>
        <v>60000000</v>
      </c>
      <c r="G67" s="295"/>
      <c r="H67" s="295">
        <f>+H66</f>
        <v>60000000</v>
      </c>
      <c r="I67" s="295"/>
      <c r="J67" s="295">
        <f>+J66</f>
        <v>0</v>
      </c>
      <c r="K67" s="295"/>
      <c r="L67" s="295">
        <f>+L66</f>
        <v>0</v>
      </c>
      <c r="M67" s="296"/>
      <c r="P67" s="267"/>
      <c r="R67" s="267"/>
      <c r="S67" s="268"/>
    </row>
    <row r="68" spans="1:19" ht="20.25" customHeight="1" x14ac:dyDescent="0.4">
      <c r="A68" s="245" t="s">
        <v>234</v>
      </c>
      <c r="B68" s="331"/>
      <c r="C68" s="285"/>
      <c r="D68" s="286"/>
      <c r="E68" s="249"/>
      <c r="F68" s="250"/>
      <c r="G68" s="265"/>
      <c r="H68" s="265"/>
      <c r="I68" s="250"/>
      <c r="J68" s="250"/>
      <c r="K68" s="250"/>
      <c r="L68" s="250"/>
      <c r="M68" s="287"/>
      <c r="N68" s="302"/>
      <c r="O68" s="289"/>
      <c r="P68" s="290"/>
      <c r="Q68" s="291"/>
      <c r="R68" s="292"/>
      <c r="S68" s="293"/>
    </row>
    <row r="69" spans="1:19" ht="20.25" customHeight="1" x14ac:dyDescent="0.4">
      <c r="A69" s="263" t="s">
        <v>235</v>
      </c>
      <c r="B69" s="313"/>
      <c r="C69" s="332"/>
      <c r="D69" s="286"/>
      <c r="E69" s="249"/>
      <c r="F69" s="250"/>
      <c r="G69" s="265"/>
      <c r="H69" s="265"/>
      <c r="I69" s="250"/>
      <c r="J69" s="250"/>
      <c r="K69" s="250"/>
      <c r="L69" s="250"/>
      <c r="M69" s="287"/>
      <c r="N69" s="302"/>
      <c r="O69" s="289"/>
      <c r="P69" s="290"/>
      <c r="Q69" s="291"/>
      <c r="R69" s="292"/>
      <c r="S69" s="293"/>
    </row>
    <row r="70" spans="1:19" ht="20.25" customHeight="1" x14ac:dyDescent="0.4">
      <c r="A70" s="263" t="s">
        <v>236</v>
      </c>
      <c r="B70" s="313"/>
      <c r="C70" s="332">
        <v>1</v>
      </c>
      <c r="D70" s="286" t="s">
        <v>232</v>
      </c>
      <c r="E70" s="249">
        <f t="shared" ref="E70" si="32">F70/C70</f>
        <v>32000000</v>
      </c>
      <c r="F70" s="250">
        <f t="shared" ref="F70" si="33">H70+J70+L70</f>
        <v>32000000</v>
      </c>
      <c r="G70" s="265">
        <v>32000000</v>
      </c>
      <c r="H70" s="265">
        <f t="shared" ref="H70" si="34">G70*C70</f>
        <v>32000000</v>
      </c>
      <c r="I70" s="250">
        <v>0</v>
      </c>
      <c r="J70" s="250">
        <v>0</v>
      </c>
      <c r="K70" s="250">
        <v>0</v>
      </c>
      <c r="L70" s="250">
        <v>0</v>
      </c>
      <c r="M70" s="287"/>
      <c r="N70" s="302"/>
      <c r="O70" s="289"/>
      <c r="P70" s="290"/>
      <c r="Q70" s="291"/>
      <c r="R70" s="292"/>
      <c r="S70" s="293"/>
    </row>
    <row r="71" spans="1:19" ht="19.95" customHeight="1" x14ac:dyDescent="0.4">
      <c r="A71" s="263" t="s">
        <v>237</v>
      </c>
      <c r="B71" s="260"/>
      <c r="C71" s="261">
        <v>50</v>
      </c>
      <c r="D71" s="261" t="s">
        <v>238</v>
      </c>
      <c r="E71" s="249"/>
      <c r="F71" s="249"/>
      <c r="G71" s="249"/>
      <c r="H71" s="249"/>
      <c r="I71" s="249"/>
      <c r="J71" s="249"/>
      <c r="K71" s="249"/>
      <c r="L71" s="249"/>
      <c r="M71" s="333"/>
      <c r="P71" s="267"/>
      <c r="R71" s="267"/>
      <c r="S71" s="268"/>
    </row>
    <row r="72" spans="1:19" ht="20.25" customHeight="1" x14ac:dyDescent="0.4">
      <c r="A72" s="263" t="s">
        <v>239</v>
      </c>
      <c r="B72" s="246"/>
      <c r="C72" s="247">
        <v>200</v>
      </c>
      <c r="D72" s="247" t="s">
        <v>240</v>
      </c>
      <c r="E72" s="249"/>
      <c r="F72" s="264"/>
      <c r="G72" s="264"/>
      <c r="H72" s="264"/>
      <c r="I72" s="249"/>
      <c r="J72" s="264"/>
      <c r="K72" s="249"/>
      <c r="L72" s="264"/>
      <c r="M72" s="266"/>
      <c r="O72" s="267"/>
      <c r="P72" s="267"/>
      <c r="Q72" s="267"/>
      <c r="R72" s="267"/>
      <c r="S72" s="268"/>
    </row>
    <row r="73" spans="1:19" s="340" customFormat="1" ht="20.25" customHeight="1" x14ac:dyDescent="0.4">
      <c r="A73" s="273" t="s">
        <v>195</v>
      </c>
      <c r="B73" s="304"/>
      <c r="C73" s="305"/>
      <c r="D73" s="306"/>
      <c r="E73" s="307"/>
      <c r="F73" s="277">
        <f>F70</f>
        <v>32000000</v>
      </c>
      <c r="G73" s="308"/>
      <c r="H73" s="277">
        <f>H70</f>
        <v>32000000</v>
      </c>
      <c r="I73" s="277"/>
      <c r="J73" s="277">
        <f>J70</f>
        <v>0</v>
      </c>
      <c r="K73" s="277"/>
      <c r="L73" s="277">
        <f>L70</f>
        <v>0</v>
      </c>
      <c r="M73" s="309"/>
      <c r="N73" s="334"/>
      <c r="O73" s="335"/>
      <c r="P73" s="336"/>
      <c r="Q73" s="337"/>
      <c r="R73" s="338"/>
      <c r="S73" s="339"/>
    </row>
    <row r="74" spans="1:19" ht="20.25" customHeight="1" x14ac:dyDescent="0.4">
      <c r="A74" s="263" t="s">
        <v>241</v>
      </c>
      <c r="B74" s="313"/>
      <c r="C74" s="332"/>
      <c r="D74" s="286"/>
      <c r="E74" s="249"/>
      <c r="F74" s="250"/>
      <c r="G74" s="265"/>
      <c r="H74" s="265"/>
      <c r="I74" s="250"/>
      <c r="J74" s="250"/>
      <c r="K74" s="250"/>
      <c r="L74" s="250"/>
      <c r="M74" s="287"/>
      <c r="N74" s="302"/>
      <c r="O74" s="289"/>
      <c r="P74" s="290"/>
      <c r="Q74" s="291"/>
      <c r="R74" s="292"/>
      <c r="S74" s="293"/>
    </row>
    <row r="75" spans="1:19" ht="20.25" customHeight="1" x14ac:dyDescent="0.4">
      <c r="A75" s="263" t="s">
        <v>242</v>
      </c>
      <c r="B75" s="313"/>
      <c r="C75" s="332">
        <v>1</v>
      </c>
      <c r="D75" s="286" t="s">
        <v>232</v>
      </c>
      <c r="E75" s="249">
        <f t="shared" ref="E75:E77" si="35">F75/C75</f>
        <v>22000000</v>
      </c>
      <c r="F75" s="250">
        <f t="shared" ref="F75:F77" si="36">H75+J75+L75</f>
        <v>22000000</v>
      </c>
      <c r="G75" s="265">
        <v>22000000</v>
      </c>
      <c r="H75" s="265">
        <f t="shared" ref="H75:H77" si="37">G75*C75</f>
        <v>22000000</v>
      </c>
      <c r="I75" s="250">
        <v>0</v>
      </c>
      <c r="J75" s="250">
        <v>0</v>
      </c>
      <c r="K75" s="250">
        <v>0</v>
      </c>
      <c r="L75" s="250">
        <v>0</v>
      </c>
      <c r="M75" s="287"/>
      <c r="N75" s="302"/>
      <c r="O75" s="289"/>
      <c r="P75" s="290"/>
      <c r="Q75" s="291"/>
      <c r="R75" s="292"/>
      <c r="S75" s="293"/>
    </row>
    <row r="76" spans="1:19" ht="20.25" customHeight="1" x14ac:dyDescent="0.4">
      <c r="A76" s="263" t="s">
        <v>243</v>
      </c>
      <c r="B76" s="313"/>
      <c r="C76" s="332">
        <v>1</v>
      </c>
      <c r="D76" s="286" t="s">
        <v>232</v>
      </c>
      <c r="E76" s="249">
        <f t="shared" si="35"/>
        <v>12000000</v>
      </c>
      <c r="F76" s="250">
        <f t="shared" si="36"/>
        <v>12000000</v>
      </c>
      <c r="G76" s="265">
        <v>12000000</v>
      </c>
      <c r="H76" s="265">
        <f t="shared" si="37"/>
        <v>12000000</v>
      </c>
      <c r="I76" s="250">
        <v>0</v>
      </c>
      <c r="J76" s="250">
        <v>0</v>
      </c>
      <c r="K76" s="250">
        <v>0</v>
      </c>
      <c r="L76" s="250">
        <v>0</v>
      </c>
      <c r="M76" s="287"/>
      <c r="N76" s="302"/>
      <c r="O76" s="289"/>
      <c r="P76" s="290"/>
      <c r="Q76" s="291"/>
      <c r="R76" s="292"/>
      <c r="S76" s="293"/>
    </row>
    <row r="77" spans="1:19" ht="20.25" customHeight="1" x14ac:dyDescent="0.4">
      <c r="A77" s="263" t="s">
        <v>244</v>
      </c>
      <c r="B77" s="313"/>
      <c r="C77" s="332">
        <v>1</v>
      </c>
      <c r="D77" s="286" t="s">
        <v>95</v>
      </c>
      <c r="E77" s="249">
        <f t="shared" si="35"/>
        <v>3000000</v>
      </c>
      <c r="F77" s="250">
        <f t="shared" si="36"/>
        <v>3000000</v>
      </c>
      <c r="G77" s="265">
        <v>3000000</v>
      </c>
      <c r="H77" s="265">
        <f t="shared" si="37"/>
        <v>3000000</v>
      </c>
      <c r="I77" s="250">
        <v>0</v>
      </c>
      <c r="J77" s="250">
        <v>0</v>
      </c>
      <c r="K77" s="250">
        <v>0</v>
      </c>
      <c r="L77" s="250">
        <v>0</v>
      </c>
      <c r="M77" s="287"/>
      <c r="N77" s="302"/>
      <c r="O77" s="289"/>
      <c r="P77" s="290"/>
      <c r="Q77" s="291"/>
      <c r="R77" s="292"/>
      <c r="S77" s="293"/>
    </row>
    <row r="78" spans="1:19" s="340" customFormat="1" ht="20.25" customHeight="1" x14ac:dyDescent="0.4">
      <c r="A78" s="273" t="s">
        <v>195</v>
      </c>
      <c r="B78" s="304"/>
      <c r="C78" s="305"/>
      <c r="D78" s="306"/>
      <c r="E78" s="307"/>
      <c r="F78" s="277">
        <f>F77+F76+F75</f>
        <v>37000000</v>
      </c>
      <c r="G78" s="308"/>
      <c r="H78" s="277">
        <f>H77+H76+H75</f>
        <v>37000000</v>
      </c>
      <c r="I78" s="277"/>
      <c r="J78" s="277">
        <f>J77+J76+J75</f>
        <v>0</v>
      </c>
      <c r="K78" s="277"/>
      <c r="L78" s="277">
        <f>L77+L76+L75</f>
        <v>0</v>
      </c>
      <c r="M78" s="309"/>
      <c r="N78" s="334"/>
      <c r="O78" s="335"/>
      <c r="P78" s="336"/>
      <c r="Q78" s="337"/>
      <c r="R78" s="338"/>
      <c r="S78" s="339"/>
    </row>
    <row r="79" spans="1:19" ht="20.25" hidden="1" customHeight="1" x14ac:dyDescent="0.4">
      <c r="A79" s="263" t="s">
        <v>245</v>
      </c>
      <c r="B79" s="313"/>
      <c r="C79" s="332"/>
      <c r="D79" s="286"/>
      <c r="E79" s="249"/>
      <c r="F79" s="250"/>
      <c r="G79" s="265"/>
      <c r="H79" s="265"/>
      <c r="I79" s="250"/>
      <c r="J79" s="250"/>
      <c r="K79" s="250"/>
      <c r="L79" s="250"/>
      <c r="M79" s="287"/>
      <c r="N79" s="302"/>
      <c r="O79" s="289"/>
      <c r="P79" s="290"/>
      <c r="Q79" s="291"/>
      <c r="R79" s="292"/>
      <c r="S79" s="293"/>
    </row>
    <row r="80" spans="1:19" ht="20.25" hidden="1" customHeight="1" x14ac:dyDescent="0.4">
      <c r="A80" s="263" t="s">
        <v>246</v>
      </c>
      <c r="B80" s="313"/>
      <c r="C80" s="332">
        <v>1</v>
      </c>
      <c r="D80" s="286" t="s">
        <v>185</v>
      </c>
      <c r="E80" s="249">
        <f t="shared" ref="E80" si="38">F80/C80</f>
        <v>0</v>
      </c>
      <c r="F80" s="250">
        <f t="shared" ref="F80" si="39">H80+J80+L80</f>
        <v>0</v>
      </c>
      <c r="G80" s="265"/>
      <c r="H80" s="265">
        <f t="shared" ref="H80" si="40">G80*C80</f>
        <v>0</v>
      </c>
      <c r="I80" s="250">
        <v>0</v>
      </c>
      <c r="J80" s="250">
        <v>0</v>
      </c>
      <c r="K80" s="250">
        <v>0</v>
      </c>
      <c r="L80" s="250">
        <v>0</v>
      </c>
      <c r="M80" s="287"/>
      <c r="N80" s="302"/>
      <c r="O80" s="289"/>
      <c r="P80" s="290"/>
      <c r="Q80" s="291"/>
      <c r="R80" s="292"/>
      <c r="S80" s="293"/>
    </row>
    <row r="81" spans="1:19" ht="20.25" hidden="1" customHeight="1" x14ac:dyDescent="0.4">
      <c r="A81" s="341" t="s">
        <v>247</v>
      </c>
      <c r="B81" s="342"/>
      <c r="C81" s="343">
        <v>1</v>
      </c>
      <c r="D81" s="326" t="s">
        <v>232</v>
      </c>
      <c r="E81" s="344"/>
      <c r="F81" s="328"/>
      <c r="G81" s="329"/>
      <c r="H81" s="329"/>
      <c r="I81" s="328"/>
      <c r="J81" s="328"/>
      <c r="K81" s="328"/>
      <c r="L81" s="328"/>
      <c r="M81" s="330"/>
      <c r="N81" s="302"/>
      <c r="O81" s="289"/>
      <c r="P81" s="290"/>
      <c r="Q81" s="291"/>
      <c r="R81" s="292"/>
      <c r="S81" s="293"/>
    </row>
    <row r="82" spans="1:19" ht="20.25" hidden="1" customHeight="1" x14ac:dyDescent="0.4">
      <c r="A82" s="299" t="s">
        <v>248</v>
      </c>
      <c r="B82" s="313"/>
      <c r="C82" s="332">
        <v>1</v>
      </c>
      <c r="D82" s="286" t="s">
        <v>232</v>
      </c>
      <c r="E82" s="249"/>
      <c r="F82" s="250"/>
      <c r="G82" s="265"/>
      <c r="H82" s="265"/>
      <c r="I82" s="250"/>
      <c r="J82" s="250"/>
      <c r="K82" s="250"/>
      <c r="L82" s="250"/>
      <c r="M82" s="287"/>
      <c r="N82" s="302"/>
      <c r="O82" s="289"/>
      <c r="P82" s="290"/>
      <c r="Q82" s="291"/>
      <c r="R82" s="292"/>
      <c r="S82" s="293"/>
    </row>
    <row r="83" spans="1:19" ht="20.25" hidden="1" customHeight="1" x14ac:dyDescent="0.4">
      <c r="A83" s="299" t="s">
        <v>249</v>
      </c>
      <c r="B83" s="313"/>
      <c r="C83" s="332">
        <v>1</v>
      </c>
      <c r="D83" s="286" t="s">
        <v>232</v>
      </c>
      <c r="E83" s="249"/>
      <c r="F83" s="250"/>
      <c r="G83" s="265"/>
      <c r="H83" s="265"/>
      <c r="I83" s="250"/>
      <c r="J83" s="250"/>
      <c r="K83" s="250"/>
      <c r="L83" s="250"/>
      <c r="M83" s="287"/>
      <c r="N83" s="302"/>
      <c r="O83" s="289"/>
      <c r="P83" s="290"/>
      <c r="Q83" s="291"/>
      <c r="R83" s="292"/>
      <c r="S83" s="293"/>
    </row>
    <row r="84" spans="1:19" ht="20.25" hidden="1" customHeight="1" x14ac:dyDescent="0.4">
      <c r="A84" s="299" t="s">
        <v>250</v>
      </c>
      <c r="B84" s="313"/>
      <c r="C84" s="332">
        <v>1</v>
      </c>
      <c r="D84" s="286" t="s">
        <v>232</v>
      </c>
      <c r="E84" s="249"/>
      <c r="F84" s="250"/>
      <c r="G84" s="265"/>
      <c r="H84" s="265"/>
      <c r="I84" s="250"/>
      <c r="J84" s="250"/>
      <c r="K84" s="250"/>
      <c r="L84" s="250"/>
      <c r="M84" s="287"/>
      <c r="N84" s="302"/>
      <c r="O84" s="289"/>
      <c r="P84" s="290"/>
      <c r="Q84" s="291"/>
      <c r="R84" s="292"/>
      <c r="S84" s="293"/>
    </row>
    <row r="85" spans="1:19" ht="20.25" hidden="1" customHeight="1" x14ac:dyDescent="0.4">
      <c r="A85" s="299" t="s">
        <v>251</v>
      </c>
      <c r="B85" s="313"/>
      <c r="C85" s="332">
        <v>1</v>
      </c>
      <c r="D85" s="286" t="s">
        <v>232</v>
      </c>
      <c r="E85" s="249"/>
      <c r="F85" s="250"/>
      <c r="G85" s="265"/>
      <c r="H85" s="265"/>
      <c r="I85" s="250"/>
      <c r="J85" s="250"/>
      <c r="K85" s="250"/>
      <c r="L85" s="250"/>
      <c r="M85" s="287"/>
      <c r="N85" s="302"/>
      <c r="O85" s="289"/>
      <c r="P85" s="290"/>
      <c r="Q85" s="291"/>
      <c r="R85" s="292"/>
      <c r="S85" s="293"/>
    </row>
    <row r="86" spans="1:19" s="340" customFormat="1" ht="20.25" hidden="1" customHeight="1" x14ac:dyDescent="0.4">
      <c r="A86" s="273" t="s">
        <v>195</v>
      </c>
      <c r="B86" s="304"/>
      <c r="C86" s="305"/>
      <c r="D86" s="306"/>
      <c r="E86" s="307"/>
      <c r="F86" s="277">
        <f>F80</f>
        <v>0</v>
      </c>
      <c r="G86" s="308"/>
      <c r="H86" s="277">
        <f>H80</f>
        <v>0</v>
      </c>
      <c r="I86" s="277"/>
      <c r="J86" s="277">
        <f>SUM(J81:J85)</f>
        <v>0</v>
      </c>
      <c r="K86" s="277"/>
      <c r="L86" s="277">
        <f>SUM(L81:L85)</f>
        <v>0</v>
      </c>
      <c r="M86" s="309"/>
      <c r="N86" s="334"/>
      <c r="O86" s="335"/>
      <c r="P86" s="336"/>
      <c r="Q86" s="337"/>
      <c r="R86" s="338"/>
      <c r="S86" s="339"/>
    </row>
    <row r="87" spans="1:19" ht="20.25" customHeight="1" x14ac:dyDescent="0.4">
      <c r="A87" s="520" t="s">
        <v>196</v>
      </c>
      <c r="B87" s="521"/>
      <c r="C87" s="294"/>
      <c r="D87" s="294"/>
      <c r="E87" s="295"/>
      <c r="F87" s="295">
        <f>F86+F78+F73</f>
        <v>69000000</v>
      </c>
      <c r="G87" s="295"/>
      <c r="H87" s="295">
        <f>H86+H78+H73</f>
        <v>69000000</v>
      </c>
      <c r="I87" s="295"/>
      <c r="J87" s="295">
        <f>J86+J78+J73</f>
        <v>0</v>
      </c>
      <c r="K87" s="295"/>
      <c r="L87" s="295">
        <f>L86+L78+L73</f>
        <v>0</v>
      </c>
      <c r="M87" s="296"/>
      <c r="P87" s="267"/>
      <c r="R87" s="267"/>
      <c r="S87" s="268"/>
    </row>
    <row r="88" spans="1:19" ht="20.25" customHeight="1" x14ac:dyDescent="0.4">
      <c r="A88" s="245" t="s">
        <v>252</v>
      </c>
      <c r="B88" s="331"/>
      <c r="C88" s="285"/>
      <c r="D88" s="286"/>
      <c r="E88" s="249"/>
      <c r="F88" s="250"/>
      <c r="G88" s="265"/>
      <c r="H88" s="265"/>
      <c r="I88" s="250"/>
      <c r="J88" s="250"/>
      <c r="K88" s="250"/>
      <c r="L88" s="250"/>
      <c r="M88" s="287"/>
      <c r="N88" s="302"/>
      <c r="O88" s="289"/>
      <c r="P88" s="290"/>
      <c r="Q88" s="291"/>
      <c r="R88" s="292"/>
      <c r="S88" s="293"/>
    </row>
    <row r="89" spans="1:19" ht="20.25" hidden="1" customHeight="1" x14ac:dyDescent="0.4">
      <c r="A89" s="263" t="s">
        <v>253</v>
      </c>
      <c r="B89" s="313"/>
      <c r="C89" s="332">
        <v>1</v>
      </c>
      <c r="D89" s="286" t="s">
        <v>232</v>
      </c>
      <c r="E89" s="249">
        <f t="shared" ref="E89:E94" si="41">F89/C89</f>
        <v>0</v>
      </c>
      <c r="F89" s="250">
        <f t="shared" ref="F89:F94" si="42">H89+J89+L89</f>
        <v>0</v>
      </c>
      <c r="G89" s="265">
        <v>0</v>
      </c>
      <c r="H89" s="265">
        <f t="shared" ref="H89:H94" si="43">G89*C89</f>
        <v>0</v>
      </c>
      <c r="I89" s="250">
        <v>0</v>
      </c>
      <c r="J89" s="250">
        <v>0</v>
      </c>
      <c r="K89" s="250">
        <v>0</v>
      </c>
      <c r="L89" s="250">
        <v>0</v>
      </c>
      <c r="M89" s="287"/>
      <c r="N89" s="302"/>
      <c r="O89" s="289"/>
      <c r="P89" s="290"/>
      <c r="Q89" s="291"/>
      <c r="R89" s="292"/>
      <c r="S89" s="293"/>
    </row>
    <row r="90" spans="1:19" ht="20.25" hidden="1" customHeight="1" x14ac:dyDescent="0.4">
      <c r="A90" s="263" t="s">
        <v>254</v>
      </c>
      <c r="B90" s="272"/>
      <c r="C90" s="247">
        <v>1</v>
      </c>
      <c r="D90" s="261" t="s">
        <v>185</v>
      </c>
      <c r="E90" s="249">
        <f t="shared" si="41"/>
        <v>0</v>
      </c>
      <c r="F90" s="250">
        <f t="shared" si="42"/>
        <v>0</v>
      </c>
      <c r="G90" s="249">
        <v>0</v>
      </c>
      <c r="H90" s="265">
        <f t="shared" si="43"/>
        <v>0</v>
      </c>
      <c r="I90" s="250">
        <v>0</v>
      </c>
      <c r="J90" s="250">
        <v>0</v>
      </c>
      <c r="K90" s="250">
        <v>0</v>
      </c>
      <c r="L90" s="250">
        <v>0</v>
      </c>
      <c r="M90" s="270"/>
      <c r="O90" s="267"/>
      <c r="P90" s="267"/>
      <c r="Q90" s="267"/>
      <c r="R90" s="267"/>
      <c r="S90" s="268"/>
    </row>
    <row r="91" spans="1:19" ht="20.25" hidden="1" customHeight="1" x14ac:dyDescent="0.4">
      <c r="A91" s="263" t="s">
        <v>255</v>
      </c>
      <c r="B91" s="313"/>
      <c r="C91" s="332">
        <v>1</v>
      </c>
      <c r="D91" s="286" t="s">
        <v>185</v>
      </c>
      <c r="E91" s="249">
        <f t="shared" si="41"/>
        <v>0</v>
      </c>
      <c r="F91" s="250">
        <f t="shared" si="42"/>
        <v>0</v>
      </c>
      <c r="G91" s="265">
        <v>0</v>
      </c>
      <c r="H91" s="265">
        <f t="shared" si="43"/>
        <v>0</v>
      </c>
      <c r="I91" s="250">
        <v>0</v>
      </c>
      <c r="J91" s="250">
        <v>0</v>
      </c>
      <c r="K91" s="250">
        <v>0</v>
      </c>
      <c r="L91" s="250">
        <v>0</v>
      </c>
      <c r="M91" s="287"/>
      <c r="N91" s="302"/>
      <c r="O91" s="289"/>
      <c r="P91" s="290"/>
      <c r="Q91" s="291"/>
      <c r="R91" s="292"/>
      <c r="S91" s="293"/>
    </row>
    <row r="92" spans="1:19" ht="20.25" hidden="1" customHeight="1" x14ac:dyDescent="0.4">
      <c r="A92" s="263" t="s">
        <v>256</v>
      </c>
      <c r="B92" s="272" t="s">
        <v>257</v>
      </c>
      <c r="C92" s="247">
        <v>1</v>
      </c>
      <c r="D92" s="261" t="s">
        <v>191</v>
      </c>
      <c r="E92" s="249">
        <f t="shared" si="41"/>
        <v>0</v>
      </c>
      <c r="F92" s="250">
        <f t="shared" si="42"/>
        <v>0</v>
      </c>
      <c r="G92" s="249">
        <v>0</v>
      </c>
      <c r="H92" s="249">
        <f t="shared" si="43"/>
        <v>0</v>
      </c>
      <c r="I92" s="250">
        <v>0</v>
      </c>
      <c r="J92" s="250">
        <v>0</v>
      </c>
      <c r="K92" s="250">
        <v>0</v>
      </c>
      <c r="L92" s="250">
        <v>0</v>
      </c>
      <c r="M92" s="270"/>
      <c r="O92" s="267"/>
      <c r="P92" s="267"/>
      <c r="Q92" s="267"/>
      <c r="R92" s="267"/>
      <c r="S92" s="268"/>
    </row>
    <row r="93" spans="1:19" ht="20.25" customHeight="1" x14ac:dyDescent="0.4">
      <c r="A93" s="263" t="s">
        <v>258</v>
      </c>
      <c r="B93" s="313" t="s">
        <v>259</v>
      </c>
      <c r="C93" s="332">
        <v>2</v>
      </c>
      <c r="D93" s="286" t="s">
        <v>191</v>
      </c>
      <c r="E93" s="249">
        <f t="shared" si="41"/>
        <v>2000000</v>
      </c>
      <c r="F93" s="250">
        <f t="shared" si="42"/>
        <v>4000000</v>
      </c>
      <c r="G93" s="265">
        <v>2000000</v>
      </c>
      <c r="H93" s="265">
        <f t="shared" si="43"/>
        <v>4000000</v>
      </c>
      <c r="I93" s="250">
        <v>0</v>
      </c>
      <c r="J93" s="250">
        <v>0</v>
      </c>
      <c r="K93" s="250">
        <v>0</v>
      </c>
      <c r="L93" s="250">
        <v>0</v>
      </c>
      <c r="M93" s="287"/>
      <c r="N93" s="302"/>
      <c r="O93" s="289"/>
      <c r="P93" s="290"/>
      <c r="Q93" s="291"/>
      <c r="R93" s="292"/>
      <c r="S93" s="293"/>
    </row>
    <row r="94" spans="1:19" ht="20.25" customHeight="1" x14ac:dyDescent="0.4">
      <c r="A94" s="263" t="s">
        <v>260</v>
      </c>
      <c r="B94" s="272"/>
      <c r="C94" s="247">
        <v>1</v>
      </c>
      <c r="D94" s="261" t="s">
        <v>185</v>
      </c>
      <c r="E94" s="249">
        <f t="shared" si="41"/>
        <v>0</v>
      </c>
      <c r="F94" s="250">
        <f t="shared" si="42"/>
        <v>0</v>
      </c>
      <c r="G94" s="249">
        <v>0</v>
      </c>
      <c r="H94" s="265">
        <f t="shared" si="43"/>
        <v>0</v>
      </c>
      <c r="I94" s="250">
        <v>0</v>
      </c>
      <c r="J94" s="250">
        <v>0</v>
      </c>
      <c r="K94" s="250">
        <v>0</v>
      </c>
      <c r="L94" s="250">
        <v>0</v>
      </c>
      <c r="M94" s="270"/>
      <c r="O94" s="267"/>
      <c r="P94" s="267"/>
      <c r="Q94" s="267"/>
      <c r="R94" s="267"/>
      <c r="S94" s="268"/>
    </row>
    <row r="95" spans="1:19" ht="20.25" customHeight="1" x14ac:dyDescent="0.4">
      <c r="A95" s="534" t="s">
        <v>196</v>
      </c>
      <c r="B95" s="535"/>
      <c r="C95" s="294"/>
      <c r="D95" s="294"/>
      <c r="E95" s="295"/>
      <c r="F95" s="295">
        <f>SUM(F89:F94)</f>
        <v>4000000</v>
      </c>
      <c r="G95" s="295"/>
      <c r="H95" s="295">
        <f>SUM(H89:H94)</f>
        <v>4000000</v>
      </c>
      <c r="I95" s="295"/>
      <c r="J95" s="295">
        <f>SUM(J89:J94)</f>
        <v>0</v>
      </c>
      <c r="K95" s="295"/>
      <c r="L95" s="295">
        <f>SUM(L89:L94)</f>
        <v>0</v>
      </c>
      <c r="M95" s="296"/>
      <c r="P95" s="267"/>
      <c r="R95" s="267"/>
      <c r="S95" s="268"/>
    </row>
    <row r="96" spans="1:19" ht="20.25" customHeight="1" x14ac:dyDescent="0.4">
      <c r="A96" s="245" t="s">
        <v>261</v>
      </c>
      <c r="B96" s="331"/>
      <c r="C96" s="285"/>
      <c r="D96" s="286"/>
      <c r="E96" s="249"/>
      <c r="F96" s="250"/>
      <c r="G96" s="265"/>
      <c r="H96" s="265"/>
      <c r="I96" s="250"/>
      <c r="J96" s="250"/>
      <c r="K96" s="250"/>
      <c r="L96" s="250"/>
      <c r="M96" s="287"/>
      <c r="N96" s="302"/>
      <c r="O96" s="289"/>
      <c r="P96" s="290"/>
      <c r="Q96" s="291"/>
      <c r="R96" s="292"/>
      <c r="S96" s="293"/>
    </row>
    <row r="97" spans="1:19" ht="20.25" customHeight="1" x14ac:dyDescent="0.4">
      <c r="A97" s="263" t="s">
        <v>262</v>
      </c>
      <c r="B97" s="313"/>
      <c r="C97" s="332">
        <v>1</v>
      </c>
      <c r="D97" s="286" t="s">
        <v>232</v>
      </c>
      <c r="E97" s="249">
        <f>F97/C97</f>
        <v>15000000</v>
      </c>
      <c r="F97" s="250">
        <f t="shared" ref="F97:F98" si="44">H97+J97+L97</f>
        <v>15000000</v>
      </c>
      <c r="G97" s="250">
        <v>0</v>
      </c>
      <c r="H97" s="250">
        <v>0</v>
      </c>
      <c r="I97" s="250">
        <v>0</v>
      </c>
      <c r="J97" s="249">
        <f t="shared" ref="J97:J98" si="45">I97*C97</f>
        <v>0</v>
      </c>
      <c r="K97" s="250">
        <v>15000000</v>
      </c>
      <c r="L97" s="264">
        <f t="shared" ref="L97:L98" si="46">K97*C97</f>
        <v>15000000</v>
      </c>
      <c r="M97" s="287"/>
      <c r="N97" s="302"/>
      <c r="O97" s="289"/>
      <c r="P97" s="290"/>
      <c r="Q97" s="291"/>
      <c r="R97" s="292"/>
      <c r="S97" s="293"/>
    </row>
    <row r="98" spans="1:19" ht="20.25" customHeight="1" x14ac:dyDescent="0.4">
      <c r="A98" s="263" t="s">
        <v>263</v>
      </c>
      <c r="B98" s="272"/>
      <c r="C98" s="247">
        <v>1</v>
      </c>
      <c r="D98" s="261" t="s">
        <v>185</v>
      </c>
      <c r="E98" s="249">
        <f t="shared" ref="E98" si="47">F98/C98</f>
        <v>50000000</v>
      </c>
      <c r="F98" s="250">
        <f t="shared" si="44"/>
        <v>50000000</v>
      </c>
      <c r="G98" s="250">
        <v>0</v>
      </c>
      <c r="H98" s="250">
        <v>0</v>
      </c>
      <c r="I98" s="250">
        <v>0</v>
      </c>
      <c r="J98" s="249">
        <f t="shared" si="45"/>
        <v>0</v>
      </c>
      <c r="K98" s="249">
        <v>50000000</v>
      </c>
      <c r="L98" s="264">
        <f t="shared" si="46"/>
        <v>50000000</v>
      </c>
      <c r="M98" s="270"/>
      <c r="O98" s="267"/>
      <c r="P98" s="267"/>
      <c r="Q98" s="267"/>
      <c r="R98" s="267"/>
      <c r="S98" s="268"/>
    </row>
    <row r="99" spans="1:19" ht="20.25" customHeight="1" x14ac:dyDescent="0.4">
      <c r="A99" s="299" t="s">
        <v>264</v>
      </c>
      <c r="B99" s="272"/>
      <c r="C99" s="247">
        <v>1</v>
      </c>
      <c r="D99" s="261" t="s">
        <v>95</v>
      </c>
      <c r="E99" s="249"/>
      <c r="F99" s="249"/>
      <c r="G99" s="249"/>
      <c r="H99" s="249"/>
      <c r="I99" s="249"/>
      <c r="J99" s="249"/>
      <c r="K99" s="249"/>
      <c r="L99" s="249"/>
      <c r="M99" s="270"/>
      <c r="O99" s="267"/>
      <c r="P99" s="267"/>
      <c r="Q99" s="267"/>
      <c r="R99" s="267"/>
      <c r="S99" s="268"/>
    </row>
    <row r="100" spans="1:19" ht="20.25" customHeight="1" x14ac:dyDescent="0.4">
      <c r="A100" s="299" t="s">
        <v>265</v>
      </c>
      <c r="B100" s="246"/>
      <c r="C100" s="247">
        <v>1</v>
      </c>
      <c r="D100" s="261" t="s">
        <v>185</v>
      </c>
      <c r="E100" s="249">
        <f>F100/C100</f>
        <v>15000000</v>
      </c>
      <c r="F100" s="249">
        <f>H100+J100+L100</f>
        <v>15000000</v>
      </c>
      <c r="G100" s="250">
        <v>0</v>
      </c>
      <c r="H100" s="250">
        <v>0</v>
      </c>
      <c r="I100" s="250">
        <v>0</v>
      </c>
      <c r="J100" s="249">
        <f>I100*C100</f>
        <v>0</v>
      </c>
      <c r="K100" s="264">
        <v>15000000</v>
      </c>
      <c r="L100" s="264">
        <f t="shared" ref="L100:L102" si="48">K100*C100</f>
        <v>15000000</v>
      </c>
      <c r="M100" s="270"/>
      <c r="O100" s="267"/>
      <c r="P100" s="267"/>
      <c r="Q100" s="267"/>
      <c r="R100" s="267"/>
      <c r="S100" s="268"/>
    </row>
    <row r="101" spans="1:19" ht="20.25" customHeight="1" x14ac:dyDescent="0.4">
      <c r="A101" s="299" t="s">
        <v>266</v>
      </c>
      <c r="B101" s="246"/>
      <c r="C101" s="247">
        <v>1</v>
      </c>
      <c r="D101" s="261" t="s">
        <v>95</v>
      </c>
      <c r="E101" s="249">
        <f>F101/C101</f>
        <v>15000000</v>
      </c>
      <c r="F101" s="249">
        <f>H101+J101+L101</f>
        <v>15000000</v>
      </c>
      <c r="G101" s="250">
        <v>0</v>
      </c>
      <c r="H101" s="250">
        <v>0</v>
      </c>
      <c r="I101" s="250">
        <v>0</v>
      </c>
      <c r="J101" s="249">
        <f>I101*C101</f>
        <v>0</v>
      </c>
      <c r="K101" s="264">
        <v>15000000</v>
      </c>
      <c r="L101" s="264">
        <f t="shared" si="48"/>
        <v>15000000</v>
      </c>
      <c r="M101" s="270"/>
      <c r="O101" s="267"/>
      <c r="P101" s="267"/>
      <c r="Q101" s="267"/>
      <c r="R101" s="267"/>
      <c r="S101" s="268"/>
    </row>
    <row r="102" spans="1:19" ht="20.25" customHeight="1" x14ac:dyDescent="0.4">
      <c r="A102" s="263" t="s">
        <v>267</v>
      </c>
      <c r="B102" s="246"/>
      <c r="C102" s="247">
        <v>1</v>
      </c>
      <c r="D102" s="261" t="s">
        <v>95</v>
      </c>
      <c r="E102" s="249">
        <f>F102/C102</f>
        <v>0</v>
      </c>
      <c r="F102" s="249">
        <f>H102+J102+L102</f>
        <v>0</v>
      </c>
      <c r="G102" s="250">
        <v>0</v>
      </c>
      <c r="H102" s="250">
        <v>0</v>
      </c>
      <c r="I102" s="250">
        <v>0</v>
      </c>
      <c r="J102" s="249">
        <f>I102*C102</f>
        <v>0</v>
      </c>
      <c r="K102" s="264">
        <v>0</v>
      </c>
      <c r="L102" s="264">
        <f t="shared" si="48"/>
        <v>0</v>
      </c>
      <c r="M102" s="270"/>
      <c r="O102" s="267"/>
      <c r="P102" s="267"/>
      <c r="Q102" s="267"/>
      <c r="R102" s="267"/>
      <c r="S102" s="268"/>
    </row>
    <row r="103" spans="1:19" ht="20.25" customHeight="1" x14ac:dyDescent="0.4">
      <c r="A103" s="520" t="s">
        <v>196</v>
      </c>
      <c r="B103" s="521"/>
      <c r="C103" s="294"/>
      <c r="D103" s="294"/>
      <c r="E103" s="295"/>
      <c r="F103" s="295">
        <f>SUM(F97:F102)</f>
        <v>95000000</v>
      </c>
      <c r="G103" s="295"/>
      <c r="H103" s="295">
        <f>SUM(H97:H102)</f>
        <v>0</v>
      </c>
      <c r="I103" s="295"/>
      <c r="J103" s="295">
        <f>SUM(J97:J102)</f>
        <v>0</v>
      </c>
      <c r="K103" s="295"/>
      <c r="L103" s="295">
        <f>SUM(L97:L102)</f>
        <v>95000000</v>
      </c>
      <c r="M103" s="296"/>
      <c r="P103" s="267"/>
      <c r="R103" s="267"/>
      <c r="S103" s="268"/>
    </row>
    <row r="104" spans="1:19" ht="20.25" customHeight="1" x14ac:dyDescent="0.4">
      <c r="A104" s="245" t="s">
        <v>268</v>
      </c>
      <c r="B104" s="331"/>
      <c r="C104" s="285"/>
      <c r="D104" s="286"/>
      <c r="E104" s="249"/>
      <c r="F104" s="250"/>
      <c r="G104" s="265"/>
      <c r="H104" s="265"/>
      <c r="I104" s="250"/>
      <c r="J104" s="250"/>
      <c r="K104" s="250"/>
      <c r="L104" s="250"/>
      <c r="M104" s="287"/>
      <c r="N104" s="302"/>
      <c r="O104" s="289"/>
      <c r="P104" s="290"/>
      <c r="Q104" s="291"/>
      <c r="R104" s="292"/>
      <c r="S104" s="293"/>
    </row>
    <row r="105" spans="1:19" ht="20.25" customHeight="1" x14ac:dyDescent="0.4">
      <c r="A105" s="263" t="s">
        <v>269</v>
      </c>
      <c r="B105" s="313"/>
      <c r="C105" s="332">
        <v>2</v>
      </c>
      <c r="D105" s="286" t="s">
        <v>232</v>
      </c>
      <c r="E105" s="249">
        <f t="shared" ref="E105:E107" si="49">F105/C105</f>
        <v>147320000</v>
      </c>
      <c r="F105" s="250">
        <f t="shared" ref="F105:F107" si="50">H105+J105+L105</f>
        <v>294640000</v>
      </c>
      <c r="G105" s="250"/>
      <c r="H105" s="265">
        <v>61385000</v>
      </c>
      <c r="I105" s="250"/>
      <c r="J105" s="249">
        <v>45000000</v>
      </c>
      <c r="K105" s="250"/>
      <c r="L105" s="264">
        <v>188255000</v>
      </c>
      <c r="M105" s="287" t="s">
        <v>273</v>
      </c>
      <c r="N105" s="302"/>
      <c r="O105" s="289"/>
      <c r="P105" s="290"/>
      <c r="Q105" s="291"/>
      <c r="R105" s="292"/>
      <c r="S105" s="293"/>
    </row>
    <row r="106" spans="1:19" ht="20.25" customHeight="1" x14ac:dyDescent="0.4">
      <c r="A106" s="263" t="s">
        <v>270</v>
      </c>
      <c r="B106" s="246"/>
      <c r="C106" s="247">
        <v>2</v>
      </c>
      <c r="D106" s="261" t="s">
        <v>95</v>
      </c>
      <c r="E106" s="249">
        <f t="shared" si="49"/>
        <v>48000000</v>
      </c>
      <c r="F106" s="250">
        <f t="shared" si="50"/>
        <v>96000000</v>
      </c>
      <c r="G106" s="250">
        <v>23000000</v>
      </c>
      <c r="H106" s="265">
        <f t="shared" ref="H106:H107" si="51">G106*C106</f>
        <v>46000000</v>
      </c>
      <c r="I106" s="250">
        <v>24000000</v>
      </c>
      <c r="J106" s="249">
        <f t="shared" ref="J106:J107" si="52">I106*C106</f>
        <v>48000000</v>
      </c>
      <c r="K106" s="249">
        <v>1000000</v>
      </c>
      <c r="L106" s="264">
        <f t="shared" ref="L106:L107" si="53">K106*C106</f>
        <v>2000000</v>
      </c>
      <c r="M106" s="270"/>
      <c r="O106" s="267"/>
      <c r="P106" s="267"/>
      <c r="Q106" s="267"/>
      <c r="R106" s="267"/>
      <c r="S106" s="268"/>
    </row>
    <row r="107" spans="1:19" ht="20.25" customHeight="1" x14ac:dyDescent="0.4">
      <c r="A107" s="299" t="s">
        <v>271</v>
      </c>
      <c r="B107" s="272"/>
      <c r="C107" s="247">
        <v>1</v>
      </c>
      <c r="D107" s="261" t="s">
        <v>95</v>
      </c>
      <c r="E107" s="249">
        <f t="shared" si="49"/>
        <v>31000000</v>
      </c>
      <c r="F107" s="250">
        <f t="shared" si="50"/>
        <v>31000000</v>
      </c>
      <c r="G107" s="250">
        <v>0</v>
      </c>
      <c r="H107" s="265">
        <f t="shared" si="51"/>
        <v>0</v>
      </c>
      <c r="I107" s="250">
        <v>0</v>
      </c>
      <c r="J107" s="249">
        <f t="shared" si="52"/>
        <v>0</v>
      </c>
      <c r="K107" s="249">
        <v>31000000</v>
      </c>
      <c r="L107" s="264">
        <f t="shared" si="53"/>
        <v>31000000</v>
      </c>
      <c r="M107" s="270"/>
      <c r="O107" s="267"/>
      <c r="P107" s="267"/>
      <c r="Q107" s="267"/>
      <c r="R107" s="267"/>
      <c r="S107" s="268"/>
    </row>
    <row r="108" spans="1:19" ht="20.25" customHeight="1" x14ac:dyDescent="0.4">
      <c r="A108" s="520" t="s">
        <v>196</v>
      </c>
      <c r="B108" s="521"/>
      <c r="C108" s="294"/>
      <c r="D108" s="294"/>
      <c r="E108" s="295"/>
      <c r="F108" s="295">
        <f>SUM(F105:F107)</f>
        <v>421640000</v>
      </c>
      <c r="G108" s="295"/>
      <c r="H108" s="295">
        <f>SUM(H105:H107)</f>
        <v>107385000</v>
      </c>
      <c r="I108" s="295"/>
      <c r="J108" s="295">
        <f>SUM(J105:J107)</f>
        <v>93000000</v>
      </c>
      <c r="K108" s="295">
        <f>SUM(K105:K107)</f>
        <v>32000000</v>
      </c>
      <c r="L108" s="295">
        <f>SUM(L105:L107)</f>
        <v>221255000</v>
      </c>
      <c r="M108" s="296"/>
      <c r="O108" s="267"/>
      <c r="P108" s="267"/>
      <c r="Q108" s="267"/>
      <c r="R108" s="267"/>
      <c r="S108" s="268"/>
    </row>
    <row r="109" spans="1:19" ht="20.25" customHeight="1" x14ac:dyDescent="0.4">
      <c r="A109" s="532" t="s">
        <v>272</v>
      </c>
      <c r="B109" s="533"/>
      <c r="C109" s="345"/>
      <c r="D109" s="345"/>
      <c r="E109" s="346"/>
      <c r="F109" s="346">
        <f>F103+F95+F87+F67+F61+F32+F21+F108</f>
        <v>931640000</v>
      </c>
      <c r="G109" s="346"/>
      <c r="H109" s="346">
        <f>H103+H95+H87+H67+H61+H32+H21+H108</f>
        <v>522385000</v>
      </c>
      <c r="I109" s="346"/>
      <c r="J109" s="346">
        <f>J103+J95+J87+J67+J61+J32+J21+J108</f>
        <v>93000000</v>
      </c>
      <c r="K109" s="346"/>
      <c r="L109" s="346">
        <f>L103+L95+L87+L67+L61+L32+L21+L108</f>
        <v>316255000</v>
      </c>
      <c r="M109" s="347"/>
      <c r="P109" s="267"/>
      <c r="R109" s="267"/>
      <c r="S109" s="254"/>
    </row>
    <row r="110" spans="1:19" ht="20.25" customHeight="1" x14ac:dyDescent="0.4">
      <c r="A110" s="348"/>
      <c r="F110" s="349"/>
      <c r="G110" s="348"/>
      <c r="O110" s="350"/>
      <c r="P110" s="267"/>
      <c r="Q110" s="350"/>
      <c r="R110" s="267"/>
      <c r="S110" s="254"/>
    </row>
    <row r="111" spans="1:19" ht="20.25" customHeight="1" x14ac:dyDescent="0.4">
      <c r="A111" s="348"/>
      <c r="G111" s="348"/>
      <c r="H111" s="227"/>
      <c r="P111" s="267">
        <f t="shared" ref="P111:P114" si="54">ROUNDDOWN(O111*1.5,-5)</f>
        <v>0</v>
      </c>
      <c r="S111" s="254"/>
    </row>
    <row r="112" spans="1:19" ht="20.25" customHeight="1" x14ac:dyDescent="0.4">
      <c r="A112" s="348"/>
      <c r="F112" s="349"/>
      <c r="G112" s="348"/>
      <c r="H112" s="351"/>
      <c r="I112" s="352"/>
      <c r="P112" s="267">
        <f t="shared" si="54"/>
        <v>0</v>
      </c>
      <c r="S112" s="254"/>
    </row>
    <row r="113" spans="1:19" ht="20.25" customHeight="1" x14ac:dyDescent="0.4">
      <c r="A113" s="348"/>
      <c r="G113" s="348"/>
      <c r="H113" s="227"/>
      <c r="P113" s="267">
        <f t="shared" si="54"/>
        <v>0</v>
      </c>
      <c r="S113" s="254"/>
    </row>
    <row r="114" spans="1:19" ht="20.25" customHeight="1" x14ac:dyDescent="0.4">
      <c r="A114" s="348"/>
      <c r="G114" s="348"/>
      <c r="H114" s="227"/>
      <c r="I114" s="349"/>
      <c r="P114" s="267">
        <f t="shared" si="54"/>
        <v>0</v>
      </c>
      <c r="S114" s="254"/>
    </row>
    <row r="115" spans="1:19" ht="20.25" customHeight="1" x14ac:dyDescent="0.4">
      <c r="A115" s="348"/>
      <c r="G115" s="348"/>
      <c r="H115" s="227"/>
      <c r="I115" s="227"/>
      <c r="J115" s="227"/>
      <c r="K115" s="227"/>
      <c r="L115" s="227"/>
      <c r="M115" s="227"/>
      <c r="S115" s="254"/>
    </row>
    <row r="116" spans="1:19" ht="20.25" customHeight="1" x14ac:dyDescent="0.4">
      <c r="A116" s="348"/>
      <c r="G116" s="348"/>
      <c r="H116" s="227"/>
      <c r="I116" s="227"/>
      <c r="J116" s="227"/>
      <c r="K116" s="227"/>
      <c r="L116" s="227"/>
      <c r="M116" s="227"/>
      <c r="S116" s="254"/>
    </row>
    <row r="117" spans="1:19" ht="20.25" customHeight="1" x14ac:dyDescent="0.4">
      <c r="A117" s="348"/>
      <c r="G117" s="348"/>
      <c r="I117" s="227"/>
      <c r="J117" s="227"/>
      <c r="K117" s="227"/>
      <c r="L117" s="227"/>
      <c r="M117" s="227"/>
    </row>
    <row r="118" spans="1:19" ht="20.25" customHeight="1" x14ac:dyDescent="0.4">
      <c r="A118" s="348"/>
      <c r="I118" s="227"/>
      <c r="J118" s="227"/>
      <c r="K118" s="227"/>
      <c r="L118" s="227"/>
      <c r="M118" s="227"/>
    </row>
    <row r="119" spans="1:19" ht="20.25" customHeight="1" x14ac:dyDescent="0.4">
      <c r="I119" s="227"/>
      <c r="J119" s="227"/>
      <c r="K119" s="227"/>
      <c r="L119" s="227"/>
      <c r="M119" s="227"/>
    </row>
  </sheetData>
  <mergeCells count="19">
    <mergeCell ref="A109:B109"/>
    <mergeCell ref="A61:B61"/>
    <mergeCell ref="A67:B67"/>
    <mergeCell ref="A87:B87"/>
    <mergeCell ref="A95:B95"/>
    <mergeCell ref="A103:B103"/>
    <mergeCell ref="A108:B108"/>
    <mergeCell ref="I3:J3"/>
    <mergeCell ref="K3:L3"/>
    <mergeCell ref="M3:M4"/>
    <mergeCell ref="A14:B14"/>
    <mergeCell ref="A21:B21"/>
    <mergeCell ref="E3:F3"/>
    <mergeCell ref="G3:H3"/>
    <mergeCell ref="A32:B32"/>
    <mergeCell ref="A3:A4"/>
    <mergeCell ref="B3:B4"/>
    <mergeCell ref="C3:C4"/>
    <mergeCell ref="D3:D4"/>
  </mergeCells>
  <phoneticPr fontId="2" type="noConversion"/>
  <printOptions horizontalCentered="1"/>
  <pageMargins left="0.31496062992125984" right="0.31496062992125984" top="0.55118110236220474" bottom="0.55118110236220474" header="0.31496062992125984" footer="0.31496062992125984"/>
  <pageSetup paperSize="9" scale="61" fitToHeight="0" orientation="landscape" r:id="rId1"/>
  <headerFooter>
    <oddFooter>&amp;R&amp;P/&amp;N</oddFooter>
  </headerFooter>
  <rowBreaks count="2" manualBreakCount="2">
    <brk id="37" max="12" man="1"/>
    <brk id="73"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A4B3-3008-460B-973D-1D8B30C2393C}">
  <sheetPr>
    <pageSetUpPr fitToPage="1"/>
  </sheetPr>
  <dimension ref="A1:AL72"/>
  <sheetViews>
    <sheetView tabSelected="1" view="pageBreakPreview" zoomScale="70" zoomScaleNormal="70" zoomScaleSheetLayoutView="70" workbookViewId="0">
      <selection activeCell="S10" sqref="S10"/>
    </sheetView>
  </sheetViews>
  <sheetFormatPr defaultColWidth="4.59765625" defaultRowHeight="15.6" x14ac:dyDescent="0.4"/>
  <cols>
    <col min="1" max="1" width="9.19921875" style="3" customWidth="1"/>
    <col min="2" max="5" width="8.19921875" style="3" customWidth="1"/>
    <col min="6" max="6" width="8.69921875" style="3" customWidth="1"/>
    <col min="7" max="9" width="8.19921875" style="3" customWidth="1"/>
    <col min="10" max="14" width="5.09765625" style="3" customWidth="1"/>
    <col min="15" max="15" width="13.69921875" style="3" customWidth="1"/>
    <col min="16" max="16" width="14.8984375" style="3" customWidth="1"/>
    <col min="17" max="17" width="8.69921875" style="3" customWidth="1"/>
    <col min="18" max="18" width="14.8984375" style="3" customWidth="1"/>
    <col min="19" max="19" width="8.69921875" style="3" customWidth="1"/>
    <col min="20" max="20" width="14.8984375" style="3" customWidth="1"/>
    <col min="21" max="21" width="8.69921875" style="3" customWidth="1"/>
    <col min="22" max="22" width="14.8984375" style="3" customWidth="1"/>
    <col min="23" max="23" width="8.69921875" style="3" customWidth="1"/>
    <col min="24" max="24" width="14.8984375" style="3" hidden="1" customWidth="1"/>
    <col min="25" max="25" width="8.69921875" style="3" hidden="1" customWidth="1"/>
    <col min="26" max="26" width="14.8984375" style="3" hidden="1" customWidth="1"/>
    <col min="27" max="27" width="21.59765625" style="3" hidden="1" customWidth="1"/>
    <col min="28" max="28" width="2.09765625" style="3" customWidth="1"/>
    <col min="29" max="29" width="16.8984375" style="3" customWidth="1"/>
    <col min="30" max="30" width="9.19921875" style="3" customWidth="1"/>
    <col min="31" max="36" width="18.3984375" style="3" customWidth="1"/>
    <col min="37" max="262" width="4.59765625" style="3"/>
    <col min="263" max="263" width="9.19921875" style="3" customWidth="1"/>
    <col min="264" max="271" width="8.8984375" style="3" customWidth="1"/>
    <col min="272" max="276" width="5.09765625" style="3" customWidth="1"/>
    <col min="277" max="277" width="19.19921875" style="3" customWidth="1"/>
    <col min="278" max="278" width="8.69921875" style="3" customWidth="1"/>
    <col min="279" max="279" width="19.19921875" style="3" customWidth="1"/>
    <col min="280" max="280" width="8.69921875" style="3" customWidth="1"/>
    <col min="281" max="281" width="19.19921875" style="3" customWidth="1"/>
    <col min="282" max="282" width="8.69921875" style="3" customWidth="1"/>
    <col min="283" max="283" width="19.19921875" style="3" customWidth="1"/>
    <col min="284" max="284" width="8.69921875" style="3" customWidth="1"/>
    <col min="285" max="285" width="19.19921875" style="3" customWidth="1"/>
    <col min="286" max="286" width="8.69921875" style="3" customWidth="1"/>
    <col min="287" max="287" width="2.09765625" style="3" customWidth="1"/>
    <col min="288" max="288" width="16.8984375" style="3" customWidth="1"/>
    <col min="289" max="289" width="7.19921875" style="3" customWidth="1"/>
    <col min="290" max="290" width="4.59765625" style="3"/>
    <col min="291" max="291" width="13" style="3" bestFit="1" customWidth="1"/>
    <col min="292" max="518" width="4.59765625" style="3"/>
    <col min="519" max="519" width="9.19921875" style="3" customWidth="1"/>
    <col min="520" max="527" width="8.8984375" style="3" customWidth="1"/>
    <col min="528" max="532" width="5.09765625" style="3" customWidth="1"/>
    <col min="533" max="533" width="19.19921875" style="3" customWidth="1"/>
    <col min="534" max="534" width="8.69921875" style="3" customWidth="1"/>
    <col min="535" max="535" width="19.19921875" style="3" customWidth="1"/>
    <col min="536" max="536" width="8.69921875" style="3" customWidth="1"/>
    <col min="537" max="537" width="19.19921875" style="3" customWidth="1"/>
    <col min="538" max="538" width="8.69921875" style="3" customWidth="1"/>
    <col min="539" max="539" width="19.19921875" style="3" customWidth="1"/>
    <col min="540" max="540" width="8.69921875" style="3" customWidth="1"/>
    <col min="541" max="541" width="19.19921875" style="3" customWidth="1"/>
    <col min="542" max="542" width="8.69921875" style="3" customWidth="1"/>
    <col min="543" max="543" width="2.09765625" style="3" customWidth="1"/>
    <col min="544" max="544" width="16.8984375" style="3" customWidth="1"/>
    <col min="545" max="545" width="7.19921875" style="3" customWidth="1"/>
    <col min="546" max="546" width="4.59765625" style="3"/>
    <col min="547" max="547" width="13" style="3" bestFit="1" customWidth="1"/>
    <col min="548" max="774" width="4.59765625" style="3"/>
    <col min="775" max="775" width="9.19921875" style="3" customWidth="1"/>
    <col min="776" max="783" width="8.8984375" style="3" customWidth="1"/>
    <col min="784" max="788" width="5.09765625" style="3" customWidth="1"/>
    <col min="789" max="789" width="19.19921875" style="3" customWidth="1"/>
    <col min="790" max="790" width="8.69921875" style="3" customWidth="1"/>
    <col min="791" max="791" width="19.19921875" style="3" customWidth="1"/>
    <col min="792" max="792" width="8.69921875" style="3" customWidth="1"/>
    <col min="793" max="793" width="19.19921875" style="3" customWidth="1"/>
    <col min="794" max="794" width="8.69921875" style="3" customWidth="1"/>
    <col min="795" max="795" width="19.19921875" style="3" customWidth="1"/>
    <col min="796" max="796" width="8.69921875" style="3" customWidth="1"/>
    <col min="797" max="797" width="19.19921875" style="3" customWidth="1"/>
    <col min="798" max="798" width="8.69921875" style="3" customWidth="1"/>
    <col min="799" max="799" width="2.09765625" style="3" customWidth="1"/>
    <col min="800" max="800" width="16.8984375" style="3" customWidth="1"/>
    <col min="801" max="801" width="7.19921875" style="3" customWidth="1"/>
    <col min="802" max="802" width="4.59765625" style="3"/>
    <col min="803" max="803" width="13" style="3" bestFit="1" customWidth="1"/>
    <col min="804" max="1030" width="4.59765625" style="3"/>
    <col min="1031" max="1031" width="9.19921875" style="3" customWidth="1"/>
    <col min="1032" max="1039" width="8.8984375" style="3" customWidth="1"/>
    <col min="1040" max="1044" width="5.09765625" style="3" customWidth="1"/>
    <col min="1045" max="1045" width="19.19921875" style="3" customWidth="1"/>
    <col min="1046" max="1046" width="8.69921875" style="3" customWidth="1"/>
    <col min="1047" max="1047" width="19.19921875" style="3" customWidth="1"/>
    <col min="1048" max="1048" width="8.69921875" style="3" customWidth="1"/>
    <col min="1049" max="1049" width="19.19921875" style="3" customWidth="1"/>
    <col min="1050" max="1050" width="8.69921875" style="3" customWidth="1"/>
    <col min="1051" max="1051" width="19.19921875" style="3" customWidth="1"/>
    <col min="1052" max="1052" width="8.69921875" style="3" customWidth="1"/>
    <col min="1053" max="1053" width="19.19921875" style="3" customWidth="1"/>
    <col min="1054" max="1054" width="8.69921875" style="3" customWidth="1"/>
    <col min="1055" max="1055" width="2.09765625" style="3" customWidth="1"/>
    <col min="1056" max="1056" width="16.8984375" style="3" customWidth="1"/>
    <col min="1057" max="1057" width="7.19921875" style="3" customWidth="1"/>
    <col min="1058" max="1058" width="4.59765625" style="3"/>
    <col min="1059" max="1059" width="13" style="3" bestFit="1" customWidth="1"/>
    <col min="1060" max="1286" width="4.59765625" style="3"/>
    <col min="1287" max="1287" width="9.19921875" style="3" customWidth="1"/>
    <col min="1288" max="1295" width="8.8984375" style="3" customWidth="1"/>
    <col min="1296" max="1300" width="5.09765625" style="3" customWidth="1"/>
    <col min="1301" max="1301" width="19.19921875" style="3" customWidth="1"/>
    <col min="1302" max="1302" width="8.69921875" style="3" customWidth="1"/>
    <col min="1303" max="1303" width="19.19921875" style="3" customWidth="1"/>
    <col min="1304" max="1304" width="8.69921875" style="3" customWidth="1"/>
    <col min="1305" max="1305" width="19.19921875" style="3" customWidth="1"/>
    <col min="1306" max="1306" width="8.69921875" style="3" customWidth="1"/>
    <col min="1307" max="1307" width="19.19921875" style="3" customWidth="1"/>
    <col min="1308" max="1308" width="8.69921875" style="3" customWidth="1"/>
    <col min="1309" max="1309" width="19.19921875" style="3" customWidth="1"/>
    <col min="1310" max="1310" width="8.69921875" style="3" customWidth="1"/>
    <col min="1311" max="1311" width="2.09765625" style="3" customWidth="1"/>
    <col min="1312" max="1312" width="16.8984375" style="3" customWidth="1"/>
    <col min="1313" max="1313" width="7.19921875" style="3" customWidth="1"/>
    <col min="1314" max="1314" width="4.59765625" style="3"/>
    <col min="1315" max="1315" width="13" style="3" bestFit="1" customWidth="1"/>
    <col min="1316" max="1542" width="4.59765625" style="3"/>
    <col min="1543" max="1543" width="9.19921875" style="3" customWidth="1"/>
    <col min="1544" max="1551" width="8.8984375" style="3" customWidth="1"/>
    <col min="1552" max="1556" width="5.09765625" style="3" customWidth="1"/>
    <col min="1557" max="1557" width="19.19921875" style="3" customWidth="1"/>
    <col min="1558" max="1558" width="8.69921875" style="3" customWidth="1"/>
    <col min="1559" max="1559" width="19.19921875" style="3" customWidth="1"/>
    <col min="1560" max="1560" width="8.69921875" style="3" customWidth="1"/>
    <col min="1561" max="1561" width="19.19921875" style="3" customWidth="1"/>
    <col min="1562" max="1562" width="8.69921875" style="3" customWidth="1"/>
    <col min="1563" max="1563" width="19.19921875" style="3" customWidth="1"/>
    <col min="1564" max="1564" width="8.69921875" style="3" customWidth="1"/>
    <col min="1565" max="1565" width="19.19921875" style="3" customWidth="1"/>
    <col min="1566" max="1566" width="8.69921875" style="3" customWidth="1"/>
    <col min="1567" max="1567" width="2.09765625" style="3" customWidth="1"/>
    <col min="1568" max="1568" width="16.8984375" style="3" customWidth="1"/>
    <col min="1569" max="1569" width="7.19921875" style="3" customWidth="1"/>
    <col min="1570" max="1570" width="4.59765625" style="3"/>
    <col min="1571" max="1571" width="13" style="3" bestFit="1" customWidth="1"/>
    <col min="1572" max="1798" width="4.59765625" style="3"/>
    <col min="1799" max="1799" width="9.19921875" style="3" customWidth="1"/>
    <col min="1800" max="1807" width="8.8984375" style="3" customWidth="1"/>
    <col min="1808" max="1812" width="5.09765625" style="3" customWidth="1"/>
    <col min="1813" max="1813" width="19.19921875" style="3" customWidth="1"/>
    <col min="1814" max="1814" width="8.69921875" style="3" customWidth="1"/>
    <col min="1815" max="1815" width="19.19921875" style="3" customWidth="1"/>
    <col min="1816" max="1816" width="8.69921875" style="3" customWidth="1"/>
    <col min="1817" max="1817" width="19.19921875" style="3" customWidth="1"/>
    <col min="1818" max="1818" width="8.69921875" style="3" customWidth="1"/>
    <col min="1819" max="1819" width="19.19921875" style="3" customWidth="1"/>
    <col min="1820" max="1820" width="8.69921875" style="3" customWidth="1"/>
    <col min="1821" max="1821" width="19.19921875" style="3" customWidth="1"/>
    <col min="1822" max="1822" width="8.69921875" style="3" customWidth="1"/>
    <col min="1823" max="1823" width="2.09765625" style="3" customWidth="1"/>
    <col min="1824" max="1824" width="16.8984375" style="3" customWidth="1"/>
    <col min="1825" max="1825" width="7.19921875" style="3" customWidth="1"/>
    <col min="1826" max="1826" width="4.59765625" style="3"/>
    <col min="1827" max="1827" width="13" style="3" bestFit="1" customWidth="1"/>
    <col min="1828" max="2054" width="4.59765625" style="3"/>
    <col min="2055" max="2055" width="9.19921875" style="3" customWidth="1"/>
    <col min="2056" max="2063" width="8.8984375" style="3" customWidth="1"/>
    <col min="2064" max="2068" width="5.09765625" style="3" customWidth="1"/>
    <col min="2069" max="2069" width="19.19921875" style="3" customWidth="1"/>
    <col min="2070" max="2070" width="8.69921875" style="3" customWidth="1"/>
    <col min="2071" max="2071" width="19.19921875" style="3" customWidth="1"/>
    <col min="2072" max="2072" width="8.69921875" style="3" customWidth="1"/>
    <col min="2073" max="2073" width="19.19921875" style="3" customWidth="1"/>
    <col min="2074" max="2074" width="8.69921875" style="3" customWidth="1"/>
    <col min="2075" max="2075" width="19.19921875" style="3" customWidth="1"/>
    <col min="2076" max="2076" width="8.69921875" style="3" customWidth="1"/>
    <col min="2077" max="2077" width="19.19921875" style="3" customWidth="1"/>
    <col min="2078" max="2078" width="8.69921875" style="3" customWidth="1"/>
    <col min="2079" max="2079" width="2.09765625" style="3" customWidth="1"/>
    <col min="2080" max="2080" width="16.8984375" style="3" customWidth="1"/>
    <col min="2081" max="2081" width="7.19921875" style="3" customWidth="1"/>
    <col min="2082" max="2082" width="4.59765625" style="3"/>
    <col min="2083" max="2083" width="13" style="3" bestFit="1" customWidth="1"/>
    <col min="2084" max="2310" width="4.59765625" style="3"/>
    <col min="2311" max="2311" width="9.19921875" style="3" customWidth="1"/>
    <col min="2312" max="2319" width="8.8984375" style="3" customWidth="1"/>
    <col min="2320" max="2324" width="5.09765625" style="3" customWidth="1"/>
    <col min="2325" max="2325" width="19.19921875" style="3" customWidth="1"/>
    <col min="2326" max="2326" width="8.69921875" style="3" customWidth="1"/>
    <col min="2327" max="2327" width="19.19921875" style="3" customWidth="1"/>
    <col min="2328" max="2328" width="8.69921875" style="3" customWidth="1"/>
    <col min="2329" max="2329" width="19.19921875" style="3" customWidth="1"/>
    <col min="2330" max="2330" width="8.69921875" style="3" customWidth="1"/>
    <col min="2331" max="2331" width="19.19921875" style="3" customWidth="1"/>
    <col min="2332" max="2332" width="8.69921875" style="3" customWidth="1"/>
    <col min="2333" max="2333" width="19.19921875" style="3" customWidth="1"/>
    <col min="2334" max="2334" width="8.69921875" style="3" customWidth="1"/>
    <col min="2335" max="2335" width="2.09765625" style="3" customWidth="1"/>
    <col min="2336" max="2336" width="16.8984375" style="3" customWidth="1"/>
    <col min="2337" max="2337" width="7.19921875" style="3" customWidth="1"/>
    <col min="2338" max="2338" width="4.59765625" style="3"/>
    <col min="2339" max="2339" width="13" style="3" bestFit="1" customWidth="1"/>
    <col min="2340" max="2566" width="4.59765625" style="3"/>
    <col min="2567" max="2567" width="9.19921875" style="3" customWidth="1"/>
    <col min="2568" max="2575" width="8.8984375" style="3" customWidth="1"/>
    <col min="2576" max="2580" width="5.09765625" style="3" customWidth="1"/>
    <col min="2581" max="2581" width="19.19921875" style="3" customWidth="1"/>
    <col min="2582" max="2582" width="8.69921875" style="3" customWidth="1"/>
    <col min="2583" max="2583" width="19.19921875" style="3" customWidth="1"/>
    <col min="2584" max="2584" width="8.69921875" style="3" customWidth="1"/>
    <col min="2585" max="2585" width="19.19921875" style="3" customWidth="1"/>
    <col min="2586" max="2586" width="8.69921875" style="3" customWidth="1"/>
    <col min="2587" max="2587" width="19.19921875" style="3" customWidth="1"/>
    <col min="2588" max="2588" width="8.69921875" style="3" customWidth="1"/>
    <col min="2589" max="2589" width="19.19921875" style="3" customWidth="1"/>
    <col min="2590" max="2590" width="8.69921875" style="3" customWidth="1"/>
    <col min="2591" max="2591" width="2.09765625" style="3" customWidth="1"/>
    <col min="2592" max="2592" width="16.8984375" style="3" customWidth="1"/>
    <col min="2593" max="2593" width="7.19921875" style="3" customWidth="1"/>
    <col min="2594" max="2594" width="4.59765625" style="3"/>
    <col min="2595" max="2595" width="13" style="3" bestFit="1" customWidth="1"/>
    <col min="2596" max="2822" width="4.59765625" style="3"/>
    <col min="2823" max="2823" width="9.19921875" style="3" customWidth="1"/>
    <col min="2824" max="2831" width="8.8984375" style="3" customWidth="1"/>
    <col min="2832" max="2836" width="5.09765625" style="3" customWidth="1"/>
    <col min="2837" max="2837" width="19.19921875" style="3" customWidth="1"/>
    <col min="2838" max="2838" width="8.69921875" style="3" customWidth="1"/>
    <col min="2839" max="2839" width="19.19921875" style="3" customWidth="1"/>
    <col min="2840" max="2840" width="8.69921875" style="3" customWidth="1"/>
    <col min="2841" max="2841" width="19.19921875" style="3" customWidth="1"/>
    <col min="2842" max="2842" width="8.69921875" style="3" customWidth="1"/>
    <col min="2843" max="2843" width="19.19921875" style="3" customWidth="1"/>
    <col min="2844" max="2844" width="8.69921875" style="3" customWidth="1"/>
    <col min="2845" max="2845" width="19.19921875" style="3" customWidth="1"/>
    <col min="2846" max="2846" width="8.69921875" style="3" customWidth="1"/>
    <col min="2847" max="2847" width="2.09765625" style="3" customWidth="1"/>
    <col min="2848" max="2848" width="16.8984375" style="3" customWidth="1"/>
    <col min="2849" max="2849" width="7.19921875" style="3" customWidth="1"/>
    <col min="2850" max="2850" width="4.59765625" style="3"/>
    <col min="2851" max="2851" width="13" style="3" bestFit="1" customWidth="1"/>
    <col min="2852" max="3078" width="4.59765625" style="3"/>
    <col min="3079" max="3079" width="9.19921875" style="3" customWidth="1"/>
    <col min="3080" max="3087" width="8.8984375" style="3" customWidth="1"/>
    <col min="3088" max="3092" width="5.09765625" style="3" customWidth="1"/>
    <col min="3093" max="3093" width="19.19921875" style="3" customWidth="1"/>
    <col min="3094" max="3094" width="8.69921875" style="3" customWidth="1"/>
    <col min="3095" max="3095" width="19.19921875" style="3" customWidth="1"/>
    <col min="3096" max="3096" width="8.69921875" style="3" customWidth="1"/>
    <col min="3097" max="3097" width="19.19921875" style="3" customWidth="1"/>
    <col min="3098" max="3098" width="8.69921875" style="3" customWidth="1"/>
    <col min="3099" max="3099" width="19.19921875" style="3" customWidth="1"/>
    <col min="3100" max="3100" width="8.69921875" style="3" customWidth="1"/>
    <col min="3101" max="3101" width="19.19921875" style="3" customWidth="1"/>
    <col min="3102" max="3102" width="8.69921875" style="3" customWidth="1"/>
    <col min="3103" max="3103" width="2.09765625" style="3" customWidth="1"/>
    <col min="3104" max="3104" width="16.8984375" style="3" customWidth="1"/>
    <col min="3105" max="3105" width="7.19921875" style="3" customWidth="1"/>
    <col min="3106" max="3106" width="4.59765625" style="3"/>
    <col min="3107" max="3107" width="13" style="3" bestFit="1" customWidth="1"/>
    <col min="3108" max="3334" width="4.59765625" style="3"/>
    <col min="3335" max="3335" width="9.19921875" style="3" customWidth="1"/>
    <col min="3336" max="3343" width="8.8984375" style="3" customWidth="1"/>
    <col min="3344" max="3348" width="5.09765625" style="3" customWidth="1"/>
    <col min="3349" max="3349" width="19.19921875" style="3" customWidth="1"/>
    <col min="3350" max="3350" width="8.69921875" style="3" customWidth="1"/>
    <col min="3351" max="3351" width="19.19921875" style="3" customWidth="1"/>
    <col min="3352" max="3352" width="8.69921875" style="3" customWidth="1"/>
    <col min="3353" max="3353" width="19.19921875" style="3" customWidth="1"/>
    <col min="3354" max="3354" width="8.69921875" style="3" customWidth="1"/>
    <col min="3355" max="3355" width="19.19921875" style="3" customWidth="1"/>
    <col min="3356" max="3356" width="8.69921875" style="3" customWidth="1"/>
    <col min="3357" max="3357" width="19.19921875" style="3" customWidth="1"/>
    <col min="3358" max="3358" width="8.69921875" style="3" customWidth="1"/>
    <col min="3359" max="3359" width="2.09765625" style="3" customWidth="1"/>
    <col min="3360" max="3360" width="16.8984375" style="3" customWidth="1"/>
    <col min="3361" max="3361" width="7.19921875" style="3" customWidth="1"/>
    <col min="3362" max="3362" width="4.59765625" style="3"/>
    <col min="3363" max="3363" width="13" style="3" bestFit="1" customWidth="1"/>
    <col min="3364" max="3590" width="4.59765625" style="3"/>
    <col min="3591" max="3591" width="9.19921875" style="3" customWidth="1"/>
    <col min="3592" max="3599" width="8.8984375" style="3" customWidth="1"/>
    <col min="3600" max="3604" width="5.09765625" style="3" customWidth="1"/>
    <col min="3605" max="3605" width="19.19921875" style="3" customWidth="1"/>
    <col min="3606" max="3606" width="8.69921875" style="3" customWidth="1"/>
    <col min="3607" max="3607" width="19.19921875" style="3" customWidth="1"/>
    <col min="3608" max="3608" width="8.69921875" style="3" customWidth="1"/>
    <col min="3609" max="3609" width="19.19921875" style="3" customWidth="1"/>
    <col min="3610" max="3610" width="8.69921875" style="3" customWidth="1"/>
    <col min="3611" max="3611" width="19.19921875" style="3" customWidth="1"/>
    <col min="3612" max="3612" width="8.69921875" style="3" customWidth="1"/>
    <col min="3613" max="3613" width="19.19921875" style="3" customWidth="1"/>
    <col min="3614" max="3614" width="8.69921875" style="3" customWidth="1"/>
    <col min="3615" max="3615" width="2.09765625" style="3" customWidth="1"/>
    <col min="3616" max="3616" width="16.8984375" style="3" customWidth="1"/>
    <col min="3617" max="3617" width="7.19921875" style="3" customWidth="1"/>
    <col min="3618" max="3618" width="4.59765625" style="3"/>
    <col min="3619" max="3619" width="13" style="3" bestFit="1" customWidth="1"/>
    <col min="3620" max="3846" width="4.59765625" style="3"/>
    <col min="3847" max="3847" width="9.19921875" style="3" customWidth="1"/>
    <col min="3848" max="3855" width="8.8984375" style="3" customWidth="1"/>
    <col min="3856" max="3860" width="5.09765625" style="3" customWidth="1"/>
    <col min="3861" max="3861" width="19.19921875" style="3" customWidth="1"/>
    <col min="3862" max="3862" width="8.69921875" style="3" customWidth="1"/>
    <col min="3863" max="3863" width="19.19921875" style="3" customWidth="1"/>
    <col min="3864" max="3864" width="8.69921875" style="3" customWidth="1"/>
    <col min="3865" max="3865" width="19.19921875" style="3" customWidth="1"/>
    <col min="3866" max="3866" width="8.69921875" style="3" customWidth="1"/>
    <col min="3867" max="3867" width="19.19921875" style="3" customWidth="1"/>
    <col min="3868" max="3868" width="8.69921875" style="3" customWidth="1"/>
    <col min="3869" max="3869" width="19.19921875" style="3" customWidth="1"/>
    <col min="3870" max="3870" width="8.69921875" style="3" customWidth="1"/>
    <col min="3871" max="3871" width="2.09765625" style="3" customWidth="1"/>
    <col min="3872" max="3872" width="16.8984375" style="3" customWidth="1"/>
    <col min="3873" max="3873" width="7.19921875" style="3" customWidth="1"/>
    <col min="3874" max="3874" width="4.59765625" style="3"/>
    <col min="3875" max="3875" width="13" style="3" bestFit="1" customWidth="1"/>
    <col min="3876" max="4102" width="4.59765625" style="3"/>
    <col min="4103" max="4103" width="9.19921875" style="3" customWidth="1"/>
    <col min="4104" max="4111" width="8.8984375" style="3" customWidth="1"/>
    <col min="4112" max="4116" width="5.09765625" style="3" customWidth="1"/>
    <col min="4117" max="4117" width="19.19921875" style="3" customWidth="1"/>
    <col min="4118" max="4118" width="8.69921875" style="3" customWidth="1"/>
    <col min="4119" max="4119" width="19.19921875" style="3" customWidth="1"/>
    <col min="4120" max="4120" width="8.69921875" style="3" customWidth="1"/>
    <col min="4121" max="4121" width="19.19921875" style="3" customWidth="1"/>
    <col min="4122" max="4122" width="8.69921875" style="3" customWidth="1"/>
    <col min="4123" max="4123" width="19.19921875" style="3" customWidth="1"/>
    <col min="4124" max="4124" width="8.69921875" style="3" customWidth="1"/>
    <col min="4125" max="4125" width="19.19921875" style="3" customWidth="1"/>
    <col min="4126" max="4126" width="8.69921875" style="3" customWidth="1"/>
    <col min="4127" max="4127" width="2.09765625" style="3" customWidth="1"/>
    <col min="4128" max="4128" width="16.8984375" style="3" customWidth="1"/>
    <col min="4129" max="4129" width="7.19921875" style="3" customWidth="1"/>
    <col min="4130" max="4130" width="4.59765625" style="3"/>
    <col min="4131" max="4131" width="13" style="3" bestFit="1" customWidth="1"/>
    <col min="4132" max="4358" width="4.59765625" style="3"/>
    <col min="4359" max="4359" width="9.19921875" style="3" customWidth="1"/>
    <col min="4360" max="4367" width="8.8984375" style="3" customWidth="1"/>
    <col min="4368" max="4372" width="5.09765625" style="3" customWidth="1"/>
    <col min="4373" max="4373" width="19.19921875" style="3" customWidth="1"/>
    <col min="4374" max="4374" width="8.69921875" style="3" customWidth="1"/>
    <col min="4375" max="4375" width="19.19921875" style="3" customWidth="1"/>
    <col min="4376" max="4376" width="8.69921875" style="3" customWidth="1"/>
    <col min="4377" max="4377" width="19.19921875" style="3" customWidth="1"/>
    <col min="4378" max="4378" width="8.69921875" style="3" customWidth="1"/>
    <col min="4379" max="4379" width="19.19921875" style="3" customWidth="1"/>
    <col min="4380" max="4380" width="8.69921875" style="3" customWidth="1"/>
    <col min="4381" max="4381" width="19.19921875" style="3" customWidth="1"/>
    <col min="4382" max="4382" width="8.69921875" style="3" customWidth="1"/>
    <col min="4383" max="4383" width="2.09765625" style="3" customWidth="1"/>
    <col min="4384" max="4384" width="16.8984375" style="3" customWidth="1"/>
    <col min="4385" max="4385" width="7.19921875" style="3" customWidth="1"/>
    <col min="4386" max="4386" width="4.59765625" style="3"/>
    <col min="4387" max="4387" width="13" style="3" bestFit="1" customWidth="1"/>
    <col min="4388" max="4614" width="4.59765625" style="3"/>
    <col min="4615" max="4615" width="9.19921875" style="3" customWidth="1"/>
    <col min="4616" max="4623" width="8.8984375" style="3" customWidth="1"/>
    <col min="4624" max="4628" width="5.09765625" style="3" customWidth="1"/>
    <col min="4629" max="4629" width="19.19921875" style="3" customWidth="1"/>
    <col min="4630" max="4630" width="8.69921875" style="3" customWidth="1"/>
    <col min="4631" max="4631" width="19.19921875" style="3" customWidth="1"/>
    <col min="4632" max="4632" width="8.69921875" style="3" customWidth="1"/>
    <col min="4633" max="4633" width="19.19921875" style="3" customWidth="1"/>
    <col min="4634" max="4634" width="8.69921875" style="3" customWidth="1"/>
    <col min="4635" max="4635" width="19.19921875" style="3" customWidth="1"/>
    <col min="4636" max="4636" width="8.69921875" style="3" customWidth="1"/>
    <col min="4637" max="4637" width="19.19921875" style="3" customWidth="1"/>
    <col min="4638" max="4638" width="8.69921875" style="3" customWidth="1"/>
    <col min="4639" max="4639" width="2.09765625" style="3" customWidth="1"/>
    <col min="4640" max="4640" width="16.8984375" style="3" customWidth="1"/>
    <col min="4641" max="4641" width="7.19921875" style="3" customWidth="1"/>
    <col min="4642" max="4642" width="4.59765625" style="3"/>
    <col min="4643" max="4643" width="13" style="3" bestFit="1" customWidth="1"/>
    <col min="4644" max="4870" width="4.59765625" style="3"/>
    <col min="4871" max="4871" width="9.19921875" style="3" customWidth="1"/>
    <col min="4872" max="4879" width="8.8984375" style="3" customWidth="1"/>
    <col min="4880" max="4884" width="5.09765625" style="3" customWidth="1"/>
    <col min="4885" max="4885" width="19.19921875" style="3" customWidth="1"/>
    <col min="4886" max="4886" width="8.69921875" style="3" customWidth="1"/>
    <col min="4887" max="4887" width="19.19921875" style="3" customWidth="1"/>
    <col min="4888" max="4888" width="8.69921875" style="3" customWidth="1"/>
    <col min="4889" max="4889" width="19.19921875" style="3" customWidth="1"/>
    <col min="4890" max="4890" width="8.69921875" style="3" customWidth="1"/>
    <col min="4891" max="4891" width="19.19921875" style="3" customWidth="1"/>
    <col min="4892" max="4892" width="8.69921875" style="3" customWidth="1"/>
    <col min="4893" max="4893" width="19.19921875" style="3" customWidth="1"/>
    <col min="4894" max="4894" width="8.69921875" style="3" customWidth="1"/>
    <col min="4895" max="4895" width="2.09765625" style="3" customWidth="1"/>
    <col min="4896" max="4896" width="16.8984375" style="3" customWidth="1"/>
    <col min="4897" max="4897" width="7.19921875" style="3" customWidth="1"/>
    <col min="4898" max="4898" width="4.59765625" style="3"/>
    <col min="4899" max="4899" width="13" style="3" bestFit="1" customWidth="1"/>
    <col min="4900" max="5126" width="4.59765625" style="3"/>
    <col min="5127" max="5127" width="9.19921875" style="3" customWidth="1"/>
    <col min="5128" max="5135" width="8.8984375" style="3" customWidth="1"/>
    <col min="5136" max="5140" width="5.09765625" style="3" customWidth="1"/>
    <col min="5141" max="5141" width="19.19921875" style="3" customWidth="1"/>
    <col min="5142" max="5142" width="8.69921875" style="3" customWidth="1"/>
    <col min="5143" max="5143" width="19.19921875" style="3" customWidth="1"/>
    <col min="5144" max="5144" width="8.69921875" style="3" customWidth="1"/>
    <col min="5145" max="5145" width="19.19921875" style="3" customWidth="1"/>
    <col min="5146" max="5146" width="8.69921875" style="3" customWidth="1"/>
    <col min="5147" max="5147" width="19.19921875" style="3" customWidth="1"/>
    <col min="5148" max="5148" width="8.69921875" style="3" customWidth="1"/>
    <col min="5149" max="5149" width="19.19921875" style="3" customWidth="1"/>
    <col min="5150" max="5150" width="8.69921875" style="3" customWidth="1"/>
    <col min="5151" max="5151" width="2.09765625" style="3" customWidth="1"/>
    <col min="5152" max="5152" width="16.8984375" style="3" customWidth="1"/>
    <col min="5153" max="5153" width="7.19921875" style="3" customWidth="1"/>
    <col min="5154" max="5154" width="4.59765625" style="3"/>
    <col min="5155" max="5155" width="13" style="3" bestFit="1" customWidth="1"/>
    <col min="5156" max="5382" width="4.59765625" style="3"/>
    <col min="5383" max="5383" width="9.19921875" style="3" customWidth="1"/>
    <col min="5384" max="5391" width="8.8984375" style="3" customWidth="1"/>
    <col min="5392" max="5396" width="5.09765625" style="3" customWidth="1"/>
    <col min="5397" max="5397" width="19.19921875" style="3" customWidth="1"/>
    <col min="5398" max="5398" width="8.69921875" style="3" customWidth="1"/>
    <col min="5399" max="5399" width="19.19921875" style="3" customWidth="1"/>
    <col min="5400" max="5400" width="8.69921875" style="3" customWidth="1"/>
    <col min="5401" max="5401" width="19.19921875" style="3" customWidth="1"/>
    <col min="5402" max="5402" width="8.69921875" style="3" customWidth="1"/>
    <col min="5403" max="5403" width="19.19921875" style="3" customWidth="1"/>
    <col min="5404" max="5404" width="8.69921875" style="3" customWidth="1"/>
    <col min="5405" max="5405" width="19.19921875" style="3" customWidth="1"/>
    <col min="5406" max="5406" width="8.69921875" style="3" customWidth="1"/>
    <col min="5407" max="5407" width="2.09765625" style="3" customWidth="1"/>
    <col min="5408" max="5408" width="16.8984375" style="3" customWidth="1"/>
    <col min="5409" max="5409" width="7.19921875" style="3" customWidth="1"/>
    <col min="5410" max="5410" width="4.59765625" style="3"/>
    <col min="5411" max="5411" width="13" style="3" bestFit="1" customWidth="1"/>
    <col min="5412" max="5638" width="4.59765625" style="3"/>
    <col min="5639" max="5639" width="9.19921875" style="3" customWidth="1"/>
    <col min="5640" max="5647" width="8.8984375" style="3" customWidth="1"/>
    <col min="5648" max="5652" width="5.09765625" style="3" customWidth="1"/>
    <col min="5653" max="5653" width="19.19921875" style="3" customWidth="1"/>
    <col min="5654" max="5654" width="8.69921875" style="3" customWidth="1"/>
    <col min="5655" max="5655" width="19.19921875" style="3" customWidth="1"/>
    <col min="5656" max="5656" width="8.69921875" style="3" customWidth="1"/>
    <col min="5657" max="5657" width="19.19921875" style="3" customWidth="1"/>
    <col min="5658" max="5658" width="8.69921875" style="3" customWidth="1"/>
    <col min="5659" max="5659" width="19.19921875" style="3" customWidth="1"/>
    <col min="5660" max="5660" width="8.69921875" style="3" customWidth="1"/>
    <col min="5661" max="5661" width="19.19921875" style="3" customWidth="1"/>
    <col min="5662" max="5662" width="8.69921875" style="3" customWidth="1"/>
    <col min="5663" max="5663" width="2.09765625" style="3" customWidth="1"/>
    <col min="5664" max="5664" width="16.8984375" style="3" customWidth="1"/>
    <col min="5665" max="5665" width="7.19921875" style="3" customWidth="1"/>
    <col min="5666" max="5666" width="4.59765625" style="3"/>
    <col min="5667" max="5667" width="13" style="3" bestFit="1" customWidth="1"/>
    <col min="5668" max="5894" width="4.59765625" style="3"/>
    <col min="5895" max="5895" width="9.19921875" style="3" customWidth="1"/>
    <col min="5896" max="5903" width="8.8984375" style="3" customWidth="1"/>
    <col min="5904" max="5908" width="5.09765625" style="3" customWidth="1"/>
    <col min="5909" max="5909" width="19.19921875" style="3" customWidth="1"/>
    <col min="5910" max="5910" width="8.69921875" style="3" customWidth="1"/>
    <col min="5911" max="5911" width="19.19921875" style="3" customWidth="1"/>
    <col min="5912" max="5912" width="8.69921875" style="3" customWidth="1"/>
    <col min="5913" max="5913" width="19.19921875" style="3" customWidth="1"/>
    <col min="5914" max="5914" width="8.69921875" style="3" customWidth="1"/>
    <col min="5915" max="5915" width="19.19921875" style="3" customWidth="1"/>
    <col min="5916" max="5916" width="8.69921875" style="3" customWidth="1"/>
    <col min="5917" max="5917" width="19.19921875" style="3" customWidth="1"/>
    <col min="5918" max="5918" width="8.69921875" style="3" customWidth="1"/>
    <col min="5919" max="5919" width="2.09765625" style="3" customWidth="1"/>
    <col min="5920" max="5920" width="16.8984375" style="3" customWidth="1"/>
    <col min="5921" max="5921" width="7.19921875" style="3" customWidth="1"/>
    <col min="5922" max="5922" width="4.59765625" style="3"/>
    <col min="5923" max="5923" width="13" style="3" bestFit="1" customWidth="1"/>
    <col min="5924" max="6150" width="4.59765625" style="3"/>
    <col min="6151" max="6151" width="9.19921875" style="3" customWidth="1"/>
    <col min="6152" max="6159" width="8.8984375" style="3" customWidth="1"/>
    <col min="6160" max="6164" width="5.09765625" style="3" customWidth="1"/>
    <col min="6165" max="6165" width="19.19921875" style="3" customWidth="1"/>
    <col min="6166" max="6166" width="8.69921875" style="3" customWidth="1"/>
    <col min="6167" max="6167" width="19.19921875" style="3" customWidth="1"/>
    <col min="6168" max="6168" width="8.69921875" style="3" customWidth="1"/>
    <col min="6169" max="6169" width="19.19921875" style="3" customWidth="1"/>
    <col min="6170" max="6170" width="8.69921875" style="3" customWidth="1"/>
    <col min="6171" max="6171" width="19.19921875" style="3" customWidth="1"/>
    <col min="6172" max="6172" width="8.69921875" style="3" customWidth="1"/>
    <col min="6173" max="6173" width="19.19921875" style="3" customWidth="1"/>
    <col min="6174" max="6174" width="8.69921875" style="3" customWidth="1"/>
    <col min="6175" max="6175" width="2.09765625" style="3" customWidth="1"/>
    <col min="6176" max="6176" width="16.8984375" style="3" customWidth="1"/>
    <col min="6177" max="6177" width="7.19921875" style="3" customWidth="1"/>
    <col min="6178" max="6178" width="4.59765625" style="3"/>
    <col min="6179" max="6179" width="13" style="3" bestFit="1" customWidth="1"/>
    <col min="6180" max="6406" width="4.59765625" style="3"/>
    <col min="6407" max="6407" width="9.19921875" style="3" customWidth="1"/>
    <col min="6408" max="6415" width="8.8984375" style="3" customWidth="1"/>
    <col min="6416" max="6420" width="5.09765625" style="3" customWidth="1"/>
    <col min="6421" max="6421" width="19.19921875" style="3" customWidth="1"/>
    <col min="6422" max="6422" width="8.69921875" style="3" customWidth="1"/>
    <col min="6423" max="6423" width="19.19921875" style="3" customWidth="1"/>
    <col min="6424" max="6424" width="8.69921875" style="3" customWidth="1"/>
    <col min="6425" max="6425" width="19.19921875" style="3" customWidth="1"/>
    <col min="6426" max="6426" width="8.69921875" style="3" customWidth="1"/>
    <col min="6427" max="6427" width="19.19921875" style="3" customWidth="1"/>
    <col min="6428" max="6428" width="8.69921875" style="3" customWidth="1"/>
    <col min="6429" max="6429" width="19.19921875" style="3" customWidth="1"/>
    <col min="6430" max="6430" width="8.69921875" style="3" customWidth="1"/>
    <col min="6431" max="6431" width="2.09765625" style="3" customWidth="1"/>
    <col min="6432" max="6432" width="16.8984375" style="3" customWidth="1"/>
    <col min="6433" max="6433" width="7.19921875" style="3" customWidth="1"/>
    <col min="6434" max="6434" width="4.59765625" style="3"/>
    <col min="6435" max="6435" width="13" style="3" bestFit="1" customWidth="1"/>
    <col min="6436" max="6662" width="4.59765625" style="3"/>
    <col min="6663" max="6663" width="9.19921875" style="3" customWidth="1"/>
    <col min="6664" max="6671" width="8.8984375" style="3" customWidth="1"/>
    <col min="6672" max="6676" width="5.09765625" style="3" customWidth="1"/>
    <col min="6677" max="6677" width="19.19921875" style="3" customWidth="1"/>
    <col min="6678" max="6678" width="8.69921875" style="3" customWidth="1"/>
    <col min="6679" max="6679" width="19.19921875" style="3" customWidth="1"/>
    <col min="6680" max="6680" width="8.69921875" style="3" customWidth="1"/>
    <col min="6681" max="6681" width="19.19921875" style="3" customWidth="1"/>
    <col min="6682" max="6682" width="8.69921875" style="3" customWidth="1"/>
    <col min="6683" max="6683" width="19.19921875" style="3" customWidth="1"/>
    <col min="6684" max="6684" width="8.69921875" style="3" customWidth="1"/>
    <col min="6685" max="6685" width="19.19921875" style="3" customWidth="1"/>
    <col min="6686" max="6686" width="8.69921875" style="3" customWidth="1"/>
    <col min="6687" max="6687" width="2.09765625" style="3" customWidth="1"/>
    <col min="6688" max="6688" width="16.8984375" style="3" customWidth="1"/>
    <col min="6689" max="6689" width="7.19921875" style="3" customWidth="1"/>
    <col min="6690" max="6690" width="4.59765625" style="3"/>
    <col min="6691" max="6691" width="13" style="3" bestFit="1" customWidth="1"/>
    <col min="6692" max="6918" width="4.59765625" style="3"/>
    <col min="6919" max="6919" width="9.19921875" style="3" customWidth="1"/>
    <col min="6920" max="6927" width="8.8984375" style="3" customWidth="1"/>
    <col min="6928" max="6932" width="5.09765625" style="3" customWidth="1"/>
    <col min="6933" max="6933" width="19.19921875" style="3" customWidth="1"/>
    <col min="6934" max="6934" width="8.69921875" style="3" customWidth="1"/>
    <col min="6935" max="6935" width="19.19921875" style="3" customWidth="1"/>
    <col min="6936" max="6936" width="8.69921875" style="3" customWidth="1"/>
    <col min="6937" max="6937" width="19.19921875" style="3" customWidth="1"/>
    <col min="6938" max="6938" width="8.69921875" style="3" customWidth="1"/>
    <col min="6939" max="6939" width="19.19921875" style="3" customWidth="1"/>
    <col min="6940" max="6940" width="8.69921875" style="3" customWidth="1"/>
    <col min="6941" max="6941" width="19.19921875" style="3" customWidth="1"/>
    <col min="6942" max="6942" width="8.69921875" style="3" customWidth="1"/>
    <col min="6943" max="6943" width="2.09765625" style="3" customWidth="1"/>
    <col min="6944" max="6944" width="16.8984375" style="3" customWidth="1"/>
    <col min="6945" max="6945" width="7.19921875" style="3" customWidth="1"/>
    <col min="6946" max="6946" width="4.59765625" style="3"/>
    <col min="6947" max="6947" width="13" style="3" bestFit="1" customWidth="1"/>
    <col min="6948" max="7174" width="4.59765625" style="3"/>
    <col min="7175" max="7175" width="9.19921875" style="3" customWidth="1"/>
    <col min="7176" max="7183" width="8.8984375" style="3" customWidth="1"/>
    <col min="7184" max="7188" width="5.09765625" style="3" customWidth="1"/>
    <col min="7189" max="7189" width="19.19921875" style="3" customWidth="1"/>
    <col min="7190" max="7190" width="8.69921875" style="3" customWidth="1"/>
    <col min="7191" max="7191" width="19.19921875" style="3" customWidth="1"/>
    <col min="7192" max="7192" width="8.69921875" style="3" customWidth="1"/>
    <col min="7193" max="7193" width="19.19921875" style="3" customWidth="1"/>
    <col min="7194" max="7194" width="8.69921875" style="3" customWidth="1"/>
    <col min="7195" max="7195" width="19.19921875" style="3" customWidth="1"/>
    <col min="7196" max="7196" width="8.69921875" style="3" customWidth="1"/>
    <col min="7197" max="7197" width="19.19921875" style="3" customWidth="1"/>
    <col min="7198" max="7198" width="8.69921875" style="3" customWidth="1"/>
    <col min="7199" max="7199" width="2.09765625" style="3" customWidth="1"/>
    <col min="7200" max="7200" width="16.8984375" style="3" customWidth="1"/>
    <col min="7201" max="7201" width="7.19921875" style="3" customWidth="1"/>
    <col min="7202" max="7202" width="4.59765625" style="3"/>
    <col min="7203" max="7203" width="13" style="3" bestFit="1" customWidth="1"/>
    <col min="7204" max="7430" width="4.59765625" style="3"/>
    <col min="7431" max="7431" width="9.19921875" style="3" customWidth="1"/>
    <col min="7432" max="7439" width="8.8984375" style="3" customWidth="1"/>
    <col min="7440" max="7444" width="5.09765625" style="3" customWidth="1"/>
    <col min="7445" max="7445" width="19.19921875" style="3" customWidth="1"/>
    <col min="7446" max="7446" width="8.69921875" style="3" customWidth="1"/>
    <col min="7447" max="7447" width="19.19921875" style="3" customWidth="1"/>
    <col min="7448" max="7448" width="8.69921875" style="3" customWidth="1"/>
    <col min="7449" max="7449" width="19.19921875" style="3" customWidth="1"/>
    <col min="7450" max="7450" width="8.69921875" style="3" customWidth="1"/>
    <col min="7451" max="7451" width="19.19921875" style="3" customWidth="1"/>
    <col min="7452" max="7452" width="8.69921875" style="3" customWidth="1"/>
    <col min="7453" max="7453" width="19.19921875" style="3" customWidth="1"/>
    <col min="7454" max="7454" width="8.69921875" style="3" customWidth="1"/>
    <col min="7455" max="7455" width="2.09765625" style="3" customWidth="1"/>
    <col min="7456" max="7456" width="16.8984375" style="3" customWidth="1"/>
    <col min="7457" max="7457" width="7.19921875" style="3" customWidth="1"/>
    <col min="7458" max="7458" width="4.59765625" style="3"/>
    <col min="7459" max="7459" width="13" style="3" bestFit="1" customWidth="1"/>
    <col min="7460" max="7686" width="4.59765625" style="3"/>
    <col min="7687" max="7687" width="9.19921875" style="3" customWidth="1"/>
    <col min="7688" max="7695" width="8.8984375" style="3" customWidth="1"/>
    <col min="7696" max="7700" width="5.09765625" style="3" customWidth="1"/>
    <col min="7701" max="7701" width="19.19921875" style="3" customWidth="1"/>
    <col min="7702" max="7702" width="8.69921875" style="3" customWidth="1"/>
    <col min="7703" max="7703" width="19.19921875" style="3" customWidth="1"/>
    <col min="7704" max="7704" width="8.69921875" style="3" customWidth="1"/>
    <col min="7705" max="7705" width="19.19921875" style="3" customWidth="1"/>
    <col min="7706" max="7706" width="8.69921875" style="3" customWidth="1"/>
    <col min="7707" max="7707" width="19.19921875" style="3" customWidth="1"/>
    <col min="7708" max="7708" width="8.69921875" style="3" customWidth="1"/>
    <col min="7709" max="7709" width="19.19921875" style="3" customWidth="1"/>
    <col min="7710" max="7710" width="8.69921875" style="3" customWidth="1"/>
    <col min="7711" max="7711" width="2.09765625" style="3" customWidth="1"/>
    <col min="7712" max="7712" width="16.8984375" style="3" customWidth="1"/>
    <col min="7713" max="7713" width="7.19921875" style="3" customWidth="1"/>
    <col min="7714" max="7714" width="4.59765625" style="3"/>
    <col min="7715" max="7715" width="13" style="3" bestFit="1" customWidth="1"/>
    <col min="7716" max="7942" width="4.59765625" style="3"/>
    <col min="7943" max="7943" width="9.19921875" style="3" customWidth="1"/>
    <col min="7944" max="7951" width="8.8984375" style="3" customWidth="1"/>
    <col min="7952" max="7956" width="5.09765625" style="3" customWidth="1"/>
    <col min="7957" max="7957" width="19.19921875" style="3" customWidth="1"/>
    <col min="7958" max="7958" width="8.69921875" style="3" customWidth="1"/>
    <col min="7959" max="7959" width="19.19921875" style="3" customWidth="1"/>
    <col min="7960" max="7960" width="8.69921875" style="3" customWidth="1"/>
    <col min="7961" max="7961" width="19.19921875" style="3" customWidth="1"/>
    <col min="7962" max="7962" width="8.69921875" style="3" customWidth="1"/>
    <col min="7963" max="7963" width="19.19921875" style="3" customWidth="1"/>
    <col min="7964" max="7964" width="8.69921875" style="3" customWidth="1"/>
    <col min="7965" max="7965" width="19.19921875" style="3" customWidth="1"/>
    <col min="7966" max="7966" width="8.69921875" style="3" customWidth="1"/>
    <col min="7967" max="7967" width="2.09765625" style="3" customWidth="1"/>
    <col min="7968" max="7968" width="16.8984375" style="3" customWidth="1"/>
    <col min="7969" max="7969" width="7.19921875" style="3" customWidth="1"/>
    <col min="7970" max="7970" width="4.59765625" style="3"/>
    <col min="7971" max="7971" width="13" style="3" bestFit="1" customWidth="1"/>
    <col min="7972" max="8198" width="4.59765625" style="3"/>
    <col min="8199" max="8199" width="9.19921875" style="3" customWidth="1"/>
    <col min="8200" max="8207" width="8.8984375" style="3" customWidth="1"/>
    <col min="8208" max="8212" width="5.09765625" style="3" customWidth="1"/>
    <col min="8213" max="8213" width="19.19921875" style="3" customWidth="1"/>
    <col min="8214" max="8214" width="8.69921875" style="3" customWidth="1"/>
    <col min="8215" max="8215" width="19.19921875" style="3" customWidth="1"/>
    <col min="8216" max="8216" width="8.69921875" style="3" customWidth="1"/>
    <col min="8217" max="8217" width="19.19921875" style="3" customWidth="1"/>
    <col min="8218" max="8218" width="8.69921875" style="3" customWidth="1"/>
    <col min="8219" max="8219" width="19.19921875" style="3" customWidth="1"/>
    <col min="8220" max="8220" width="8.69921875" style="3" customWidth="1"/>
    <col min="8221" max="8221" width="19.19921875" style="3" customWidth="1"/>
    <col min="8222" max="8222" width="8.69921875" style="3" customWidth="1"/>
    <col min="8223" max="8223" width="2.09765625" style="3" customWidth="1"/>
    <col min="8224" max="8224" width="16.8984375" style="3" customWidth="1"/>
    <col min="8225" max="8225" width="7.19921875" style="3" customWidth="1"/>
    <col min="8226" max="8226" width="4.59765625" style="3"/>
    <col min="8227" max="8227" width="13" style="3" bestFit="1" customWidth="1"/>
    <col min="8228" max="8454" width="4.59765625" style="3"/>
    <col min="8455" max="8455" width="9.19921875" style="3" customWidth="1"/>
    <col min="8456" max="8463" width="8.8984375" style="3" customWidth="1"/>
    <col min="8464" max="8468" width="5.09765625" style="3" customWidth="1"/>
    <col min="8469" max="8469" width="19.19921875" style="3" customWidth="1"/>
    <col min="8470" max="8470" width="8.69921875" style="3" customWidth="1"/>
    <col min="8471" max="8471" width="19.19921875" style="3" customWidth="1"/>
    <col min="8472" max="8472" width="8.69921875" style="3" customWidth="1"/>
    <col min="8473" max="8473" width="19.19921875" style="3" customWidth="1"/>
    <col min="8474" max="8474" width="8.69921875" style="3" customWidth="1"/>
    <col min="8475" max="8475" width="19.19921875" style="3" customWidth="1"/>
    <col min="8476" max="8476" width="8.69921875" style="3" customWidth="1"/>
    <col min="8477" max="8477" width="19.19921875" style="3" customWidth="1"/>
    <col min="8478" max="8478" width="8.69921875" style="3" customWidth="1"/>
    <col min="8479" max="8479" width="2.09765625" style="3" customWidth="1"/>
    <col min="8480" max="8480" width="16.8984375" style="3" customWidth="1"/>
    <col min="8481" max="8481" width="7.19921875" style="3" customWidth="1"/>
    <col min="8482" max="8482" width="4.59765625" style="3"/>
    <col min="8483" max="8483" width="13" style="3" bestFit="1" customWidth="1"/>
    <col min="8484" max="8710" width="4.59765625" style="3"/>
    <col min="8711" max="8711" width="9.19921875" style="3" customWidth="1"/>
    <col min="8712" max="8719" width="8.8984375" style="3" customWidth="1"/>
    <col min="8720" max="8724" width="5.09765625" style="3" customWidth="1"/>
    <col min="8725" max="8725" width="19.19921875" style="3" customWidth="1"/>
    <col min="8726" max="8726" width="8.69921875" style="3" customWidth="1"/>
    <col min="8727" max="8727" width="19.19921875" style="3" customWidth="1"/>
    <col min="8728" max="8728" width="8.69921875" style="3" customWidth="1"/>
    <col min="8729" max="8729" width="19.19921875" style="3" customWidth="1"/>
    <col min="8730" max="8730" width="8.69921875" style="3" customWidth="1"/>
    <col min="8731" max="8731" width="19.19921875" style="3" customWidth="1"/>
    <col min="8732" max="8732" width="8.69921875" style="3" customWidth="1"/>
    <col min="8733" max="8733" width="19.19921875" style="3" customWidth="1"/>
    <col min="8734" max="8734" width="8.69921875" style="3" customWidth="1"/>
    <col min="8735" max="8735" width="2.09765625" style="3" customWidth="1"/>
    <col min="8736" max="8736" width="16.8984375" style="3" customWidth="1"/>
    <col min="8737" max="8737" width="7.19921875" style="3" customWidth="1"/>
    <col min="8738" max="8738" width="4.59765625" style="3"/>
    <col min="8739" max="8739" width="13" style="3" bestFit="1" customWidth="1"/>
    <col min="8740" max="8966" width="4.59765625" style="3"/>
    <col min="8967" max="8967" width="9.19921875" style="3" customWidth="1"/>
    <col min="8968" max="8975" width="8.8984375" style="3" customWidth="1"/>
    <col min="8976" max="8980" width="5.09765625" style="3" customWidth="1"/>
    <col min="8981" max="8981" width="19.19921875" style="3" customWidth="1"/>
    <col min="8982" max="8982" width="8.69921875" style="3" customWidth="1"/>
    <col min="8983" max="8983" width="19.19921875" style="3" customWidth="1"/>
    <col min="8984" max="8984" width="8.69921875" style="3" customWidth="1"/>
    <col min="8985" max="8985" width="19.19921875" style="3" customWidth="1"/>
    <col min="8986" max="8986" width="8.69921875" style="3" customWidth="1"/>
    <col min="8987" max="8987" width="19.19921875" style="3" customWidth="1"/>
    <col min="8988" max="8988" width="8.69921875" style="3" customWidth="1"/>
    <col min="8989" max="8989" width="19.19921875" style="3" customWidth="1"/>
    <col min="8990" max="8990" width="8.69921875" style="3" customWidth="1"/>
    <col min="8991" max="8991" width="2.09765625" style="3" customWidth="1"/>
    <col min="8992" max="8992" width="16.8984375" style="3" customWidth="1"/>
    <col min="8993" max="8993" width="7.19921875" style="3" customWidth="1"/>
    <col min="8994" max="8994" width="4.59765625" style="3"/>
    <col min="8995" max="8995" width="13" style="3" bestFit="1" customWidth="1"/>
    <col min="8996" max="9222" width="4.59765625" style="3"/>
    <col min="9223" max="9223" width="9.19921875" style="3" customWidth="1"/>
    <col min="9224" max="9231" width="8.8984375" style="3" customWidth="1"/>
    <col min="9232" max="9236" width="5.09765625" style="3" customWidth="1"/>
    <col min="9237" max="9237" width="19.19921875" style="3" customWidth="1"/>
    <col min="9238" max="9238" width="8.69921875" style="3" customWidth="1"/>
    <col min="9239" max="9239" width="19.19921875" style="3" customWidth="1"/>
    <col min="9240" max="9240" width="8.69921875" style="3" customWidth="1"/>
    <col min="9241" max="9241" width="19.19921875" style="3" customWidth="1"/>
    <col min="9242" max="9242" width="8.69921875" style="3" customWidth="1"/>
    <col min="9243" max="9243" width="19.19921875" style="3" customWidth="1"/>
    <col min="9244" max="9244" width="8.69921875" style="3" customWidth="1"/>
    <col min="9245" max="9245" width="19.19921875" style="3" customWidth="1"/>
    <col min="9246" max="9246" width="8.69921875" style="3" customWidth="1"/>
    <col min="9247" max="9247" width="2.09765625" style="3" customWidth="1"/>
    <col min="9248" max="9248" width="16.8984375" style="3" customWidth="1"/>
    <col min="9249" max="9249" width="7.19921875" style="3" customWidth="1"/>
    <col min="9250" max="9250" width="4.59765625" style="3"/>
    <col min="9251" max="9251" width="13" style="3" bestFit="1" customWidth="1"/>
    <col min="9252" max="9478" width="4.59765625" style="3"/>
    <col min="9479" max="9479" width="9.19921875" style="3" customWidth="1"/>
    <col min="9480" max="9487" width="8.8984375" style="3" customWidth="1"/>
    <col min="9488" max="9492" width="5.09765625" style="3" customWidth="1"/>
    <col min="9493" max="9493" width="19.19921875" style="3" customWidth="1"/>
    <col min="9494" max="9494" width="8.69921875" style="3" customWidth="1"/>
    <col min="9495" max="9495" width="19.19921875" style="3" customWidth="1"/>
    <col min="9496" max="9496" width="8.69921875" style="3" customWidth="1"/>
    <col min="9497" max="9497" width="19.19921875" style="3" customWidth="1"/>
    <col min="9498" max="9498" width="8.69921875" style="3" customWidth="1"/>
    <col min="9499" max="9499" width="19.19921875" style="3" customWidth="1"/>
    <col min="9500" max="9500" width="8.69921875" style="3" customWidth="1"/>
    <col min="9501" max="9501" width="19.19921875" style="3" customWidth="1"/>
    <col min="9502" max="9502" width="8.69921875" style="3" customWidth="1"/>
    <col min="9503" max="9503" width="2.09765625" style="3" customWidth="1"/>
    <col min="9504" max="9504" width="16.8984375" style="3" customWidth="1"/>
    <col min="9505" max="9505" width="7.19921875" style="3" customWidth="1"/>
    <col min="9506" max="9506" width="4.59765625" style="3"/>
    <col min="9507" max="9507" width="13" style="3" bestFit="1" customWidth="1"/>
    <col min="9508" max="9734" width="4.59765625" style="3"/>
    <col min="9735" max="9735" width="9.19921875" style="3" customWidth="1"/>
    <col min="9736" max="9743" width="8.8984375" style="3" customWidth="1"/>
    <col min="9744" max="9748" width="5.09765625" style="3" customWidth="1"/>
    <col min="9749" max="9749" width="19.19921875" style="3" customWidth="1"/>
    <col min="9750" max="9750" width="8.69921875" style="3" customWidth="1"/>
    <col min="9751" max="9751" width="19.19921875" style="3" customWidth="1"/>
    <col min="9752" max="9752" width="8.69921875" style="3" customWidth="1"/>
    <col min="9753" max="9753" width="19.19921875" style="3" customWidth="1"/>
    <col min="9754" max="9754" width="8.69921875" style="3" customWidth="1"/>
    <col min="9755" max="9755" width="19.19921875" style="3" customWidth="1"/>
    <col min="9756" max="9756" width="8.69921875" style="3" customWidth="1"/>
    <col min="9757" max="9757" width="19.19921875" style="3" customWidth="1"/>
    <col min="9758" max="9758" width="8.69921875" style="3" customWidth="1"/>
    <col min="9759" max="9759" width="2.09765625" style="3" customWidth="1"/>
    <col min="9760" max="9760" width="16.8984375" style="3" customWidth="1"/>
    <col min="9761" max="9761" width="7.19921875" style="3" customWidth="1"/>
    <col min="9762" max="9762" width="4.59765625" style="3"/>
    <col min="9763" max="9763" width="13" style="3" bestFit="1" customWidth="1"/>
    <col min="9764" max="9990" width="4.59765625" style="3"/>
    <col min="9991" max="9991" width="9.19921875" style="3" customWidth="1"/>
    <col min="9992" max="9999" width="8.8984375" style="3" customWidth="1"/>
    <col min="10000" max="10004" width="5.09765625" style="3" customWidth="1"/>
    <col min="10005" max="10005" width="19.19921875" style="3" customWidth="1"/>
    <col min="10006" max="10006" width="8.69921875" style="3" customWidth="1"/>
    <col min="10007" max="10007" width="19.19921875" style="3" customWidth="1"/>
    <col min="10008" max="10008" width="8.69921875" style="3" customWidth="1"/>
    <col min="10009" max="10009" width="19.19921875" style="3" customWidth="1"/>
    <col min="10010" max="10010" width="8.69921875" style="3" customWidth="1"/>
    <col min="10011" max="10011" width="19.19921875" style="3" customWidth="1"/>
    <col min="10012" max="10012" width="8.69921875" style="3" customWidth="1"/>
    <col min="10013" max="10013" width="19.19921875" style="3" customWidth="1"/>
    <col min="10014" max="10014" width="8.69921875" style="3" customWidth="1"/>
    <col min="10015" max="10015" width="2.09765625" style="3" customWidth="1"/>
    <col min="10016" max="10016" width="16.8984375" style="3" customWidth="1"/>
    <col min="10017" max="10017" width="7.19921875" style="3" customWidth="1"/>
    <col min="10018" max="10018" width="4.59765625" style="3"/>
    <col min="10019" max="10019" width="13" style="3" bestFit="1" customWidth="1"/>
    <col min="10020" max="10246" width="4.59765625" style="3"/>
    <col min="10247" max="10247" width="9.19921875" style="3" customWidth="1"/>
    <col min="10248" max="10255" width="8.8984375" style="3" customWidth="1"/>
    <col min="10256" max="10260" width="5.09765625" style="3" customWidth="1"/>
    <col min="10261" max="10261" width="19.19921875" style="3" customWidth="1"/>
    <col min="10262" max="10262" width="8.69921875" style="3" customWidth="1"/>
    <col min="10263" max="10263" width="19.19921875" style="3" customWidth="1"/>
    <col min="10264" max="10264" width="8.69921875" style="3" customWidth="1"/>
    <col min="10265" max="10265" width="19.19921875" style="3" customWidth="1"/>
    <col min="10266" max="10266" width="8.69921875" style="3" customWidth="1"/>
    <col min="10267" max="10267" width="19.19921875" style="3" customWidth="1"/>
    <col min="10268" max="10268" width="8.69921875" style="3" customWidth="1"/>
    <col min="10269" max="10269" width="19.19921875" style="3" customWidth="1"/>
    <col min="10270" max="10270" width="8.69921875" style="3" customWidth="1"/>
    <col min="10271" max="10271" width="2.09765625" style="3" customWidth="1"/>
    <col min="10272" max="10272" width="16.8984375" style="3" customWidth="1"/>
    <col min="10273" max="10273" width="7.19921875" style="3" customWidth="1"/>
    <col min="10274" max="10274" width="4.59765625" style="3"/>
    <col min="10275" max="10275" width="13" style="3" bestFit="1" customWidth="1"/>
    <col min="10276" max="10502" width="4.59765625" style="3"/>
    <col min="10503" max="10503" width="9.19921875" style="3" customWidth="1"/>
    <col min="10504" max="10511" width="8.8984375" style="3" customWidth="1"/>
    <col min="10512" max="10516" width="5.09765625" style="3" customWidth="1"/>
    <col min="10517" max="10517" width="19.19921875" style="3" customWidth="1"/>
    <col min="10518" max="10518" width="8.69921875" style="3" customWidth="1"/>
    <col min="10519" max="10519" width="19.19921875" style="3" customWidth="1"/>
    <col min="10520" max="10520" width="8.69921875" style="3" customWidth="1"/>
    <col min="10521" max="10521" width="19.19921875" style="3" customWidth="1"/>
    <col min="10522" max="10522" width="8.69921875" style="3" customWidth="1"/>
    <col min="10523" max="10523" width="19.19921875" style="3" customWidth="1"/>
    <col min="10524" max="10524" width="8.69921875" style="3" customWidth="1"/>
    <col min="10525" max="10525" width="19.19921875" style="3" customWidth="1"/>
    <col min="10526" max="10526" width="8.69921875" style="3" customWidth="1"/>
    <col min="10527" max="10527" width="2.09765625" style="3" customWidth="1"/>
    <col min="10528" max="10528" width="16.8984375" style="3" customWidth="1"/>
    <col min="10529" max="10529" width="7.19921875" style="3" customWidth="1"/>
    <col min="10530" max="10530" width="4.59765625" style="3"/>
    <col min="10531" max="10531" width="13" style="3" bestFit="1" customWidth="1"/>
    <col min="10532" max="10758" width="4.59765625" style="3"/>
    <col min="10759" max="10759" width="9.19921875" style="3" customWidth="1"/>
    <col min="10760" max="10767" width="8.8984375" style="3" customWidth="1"/>
    <col min="10768" max="10772" width="5.09765625" style="3" customWidth="1"/>
    <col min="10773" max="10773" width="19.19921875" style="3" customWidth="1"/>
    <col min="10774" max="10774" width="8.69921875" style="3" customWidth="1"/>
    <col min="10775" max="10775" width="19.19921875" style="3" customWidth="1"/>
    <col min="10776" max="10776" width="8.69921875" style="3" customWidth="1"/>
    <col min="10777" max="10777" width="19.19921875" style="3" customWidth="1"/>
    <col min="10778" max="10778" width="8.69921875" style="3" customWidth="1"/>
    <col min="10779" max="10779" width="19.19921875" style="3" customWidth="1"/>
    <col min="10780" max="10780" width="8.69921875" style="3" customWidth="1"/>
    <col min="10781" max="10781" width="19.19921875" style="3" customWidth="1"/>
    <col min="10782" max="10782" width="8.69921875" style="3" customWidth="1"/>
    <col min="10783" max="10783" width="2.09765625" style="3" customWidth="1"/>
    <col min="10784" max="10784" width="16.8984375" style="3" customWidth="1"/>
    <col min="10785" max="10785" width="7.19921875" style="3" customWidth="1"/>
    <col min="10786" max="10786" width="4.59765625" style="3"/>
    <col min="10787" max="10787" width="13" style="3" bestFit="1" customWidth="1"/>
    <col min="10788" max="11014" width="4.59765625" style="3"/>
    <col min="11015" max="11015" width="9.19921875" style="3" customWidth="1"/>
    <col min="11016" max="11023" width="8.8984375" style="3" customWidth="1"/>
    <col min="11024" max="11028" width="5.09765625" style="3" customWidth="1"/>
    <col min="11029" max="11029" width="19.19921875" style="3" customWidth="1"/>
    <col min="11030" max="11030" width="8.69921875" style="3" customWidth="1"/>
    <col min="11031" max="11031" width="19.19921875" style="3" customWidth="1"/>
    <col min="11032" max="11032" width="8.69921875" style="3" customWidth="1"/>
    <col min="11033" max="11033" width="19.19921875" style="3" customWidth="1"/>
    <col min="11034" max="11034" width="8.69921875" style="3" customWidth="1"/>
    <col min="11035" max="11035" width="19.19921875" style="3" customWidth="1"/>
    <col min="11036" max="11036" width="8.69921875" style="3" customWidth="1"/>
    <col min="11037" max="11037" width="19.19921875" style="3" customWidth="1"/>
    <col min="11038" max="11038" width="8.69921875" style="3" customWidth="1"/>
    <col min="11039" max="11039" width="2.09765625" style="3" customWidth="1"/>
    <col min="11040" max="11040" width="16.8984375" style="3" customWidth="1"/>
    <col min="11041" max="11041" width="7.19921875" style="3" customWidth="1"/>
    <col min="11042" max="11042" width="4.59765625" style="3"/>
    <col min="11043" max="11043" width="13" style="3" bestFit="1" customWidth="1"/>
    <col min="11044" max="11270" width="4.59765625" style="3"/>
    <col min="11271" max="11271" width="9.19921875" style="3" customWidth="1"/>
    <col min="11272" max="11279" width="8.8984375" style="3" customWidth="1"/>
    <col min="11280" max="11284" width="5.09765625" style="3" customWidth="1"/>
    <col min="11285" max="11285" width="19.19921875" style="3" customWidth="1"/>
    <col min="11286" max="11286" width="8.69921875" style="3" customWidth="1"/>
    <col min="11287" max="11287" width="19.19921875" style="3" customWidth="1"/>
    <col min="11288" max="11288" width="8.69921875" style="3" customWidth="1"/>
    <col min="11289" max="11289" width="19.19921875" style="3" customWidth="1"/>
    <col min="11290" max="11290" width="8.69921875" style="3" customWidth="1"/>
    <col min="11291" max="11291" width="19.19921875" style="3" customWidth="1"/>
    <col min="11292" max="11292" width="8.69921875" style="3" customWidth="1"/>
    <col min="11293" max="11293" width="19.19921875" style="3" customWidth="1"/>
    <col min="11294" max="11294" width="8.69921875" style="3" customWidth="1"/>
    <col min="11295" max="11295" width="2.09765625" style="3" customWidth="1"/>
    <col min="11296" max="11296" width="16.8984375" style="3" customWidth="1"/>
    <col min="11297" max="11297" width="7.19921875" style="3" customWidth="1"/>
    <col min="11298" max="11298" width="4.59765625" style="3"/>
    <col min="11299" max="11299" width="13" style="3" bestFit="1" customWidth="1"/>
    <col min="11300" max="11526" width="4.59765625" style="3"/>
    <col min="11527" max="11527" width="9.19921875" style="3" customWidth="1"/>
    <col min="11528" max="11535" width="8.8984375" style="3" customWidth="1"/>
    <col min="11536" max="11540" width="5.09765625" style="3" customWidth="1"/>
    <col min="11541" max="11541" width="19.19921875" style="3" customWidth="1"/>
    <col min="11542" max="11542" width="8.69921875" style="3" customWidth="1"/>
    <col min="11543" max="11543" width="19.19921875" style="3" customWidth="1"/>
    <col min="11544" max="11544" width="8.69921875" style="3" customWidth="1"/>
    <col min="11545" max="11545" width="19.19921875" style="3" customWidth="1"/>
    <col min="11546" max="11546" width="8.69921875" style="3" customWidth="1"/>
    <col min="11547" max="11547" width="19.19921875" style="3" customWidth="1"/>
    <col min="11548" max="11548" width="8.69921875" style="3" customWidth="1"/>
    <col min="11549" max="11549" width="19.19921875" style="3" customWidth="1"/>
    <col min="11550" max="11550" width="8.69921875" style="3" customWidth="1"/>
    <col min="11551" max="11551" width="2.09765625" style="3" customWidth="1"/>
    <col min="11552" max="11552" width="16.8984375" style="3" customWidth="1"/>
    <col min="11553" max="11553" width="7.19921875" style="3" customWidth="1"/>
    <col min="11554" max="11554" width="4.59765625" style="3"/>
    <col min="11555" max="11555" width="13" style="3" bestFit="1" customWidth="1"/>
    <col min="11556" max="11782" width="4.59765625" style="3"/>
    <col min="11783" max="11783" width="9.19921875" style="3" customWidth="1"/>
    <col min="11784" max="11791" width="8.8984375" style="3" customWidth="1"/>
    <col min="11792" max="11796" width="5.09765625" style="3" customWidth="1"/>
    <col min="11797" max="11797" width="19.19921875" style="3" customWidth="1"/>
    <col min="11798" max="11798" width="8.69921875" style="3" customWidth="1"/>
    <col min="11799" max="11799" width="19.19921875" style="3" customWidth="1"/>
    <col min="11800" max="11800" width="8.69921875" style="3" customWidth="1"/>
    <col min="11801" max="11801" width="19.19921875" style="3" customWidth="1"/>
    <col min="11802" max="11802" width="8.69921875" style="3" customWidth="1"/>
    <col min="11803" max="11803" width="19.19921875" style="3" customWidth="1"/>
    <col min="11804" max="11804" width="8.69921875" style="3" customWidth="1"/>
    <col min="11805" max="11805" width="19.19921875" style="3" customWidth="1"/>
    <col min="11806" max="11806" width="8.69921875" style="3" customWidth="1"/>
    <col min="11807" max="11807" width="2.09765625" style="3" customWidth="1"/>
    <col min="11808" max="11808" width="16.8984375" style="3" customWidth="1"/>
    <col min="11809" max="11809" width="7.19921875" style="3" customWidth="1"/>
    <col min="11810" max="11810" width="4.59765625" style="3"/>
    <col min="11811" max="11811" width="13" style="3" bestFit="1" customWidth="1"/>
    <col min="11812" max="12038" width="4.59765625" style="3"/>
    <col min="12039" max="12039" width="9.19921875" style="3" customWidth="1"/>
    <col min="12040" max="12047" width="8.8984375" style="3" customWidth="1"/>
    <col min="12048" max="12052" width="5.09765625" style="3" customWidth="1"/>
    <col min="12053" max="12053" width="19.19921875" style="3" customWidth="1"/>
    <col min="12054" max="12054" width="8.69921875" style="3" customWidth="1"/>
    <col min="12055" max="12055" width="19.19921875" style="3" customWidth="1"/>
    <col min="12056" max="12056" width="8.69921875" style="3" customWidth="1"/>
    <col min="12057" max="12057" width="19.19921875" style="3" customWidth="1"/>
    <col min="12058" max="12058" width="8.69921875" style="3" customWidth="1"/>
    <col min="12059" max="12059" width="19.19921875" style="3" customWidth="1"/>
    <col min="12060" max="12060" width="8.69921875" style="3" customWidth="1"/>
    <col min="12061" max="12061" width="19.19921875" style="3" customWidth="1"/>
    <col min="12062" max="12062" width="8.69921875" style="3" customWidth="1"/>
    <col min="12063" max="12063" width="2.09765625" style="3" customWidth="1"/>
    <col min="12064" max="12064" width="16.8984375" style="3" customWidth="1"/>
    <col min="12065" max="12065" width="7.19921875" style="3" customWidth="1"/>
    <col min="12066" max="12066" width="4.59765625" style="3"/>
    <col min="12067" max="12067" width="13" style="3" bestFit="1" customWidth="1"/>
    <col min="12068" max="12294" width="4.59765625" style="3"/>
    <col min="12295" max="12295" width="9.19921875" style="3" customWidth="1"/>
    <col min="12296" max="12303" width="8.8984375" style="3" customWidth="1"/>
    <col min="12304" max="12308" width="5.09765625" style="3" customWidth="1"/>
    <col min="12309" max="12309" width="19.19921875" style="3" customWidth="1"/>
    <col min="12310" max="12310" width="8.69921875" style="3" customWidth="1"/>
    <col min="12311" max="12311" width="19.19921875" style="3" customWidth="1"/>
    <col min="12312" max="12312" width="8.69921875" style="3" customWidth="1"/>
    <col min="12313" max="12313" width="19.19921875" style="3" customWidth="1"/>
    <col min="12314" max="12314" width="8.69921875" style="3" customWidth="1"/>
    <col min="12315" max="12315" width="19.19921875" style="3" customWidth="1"/>
    <col min="12316" max="12316" width="8.69921875" style="3" customWidth="1"/>
    <col min="12317" max="12317" width="19.19921875" style="3" customWidth="1"/>
    <col min="12318" max="12318" width="8.69921875" style="3" customWidth="1"/>
    <col min="12319" max="12319" width="2.09765625" style="3" customWidth="1"/>
    <col min="12320" max="12320" width="16.8984375" style="3" customWidth="1"/>
    <col min="12321" max="12321" width="7.19921875" style="3" customWidth="1"/>
    <col min="12322" max="12322" width="4.59765625" style="3"/>
    <col min="12323" max="12323" width="13" style="3" bestFit="1" customWidth="1"/>
    <col min="12324" max="12550" width="4.59765625" style="3"/>
    <col min="12551" max="12551" width="9.19921875" style="3" customWidth="1"/>
    <col min="12552" max="12559" width="8.8984375" style="3" customWidth="1"/>
    <col min="12560" max="12564" width="5.09765625" style="3" customWidth="1"/>
    <col min="12565" max="12565" width="19.19921875" style="3" customWidth="1"/>
    <col min="12566" max="12566" width="8.69921875" style="3" customWidth="1"/>
    <col min="12567" max="12567" width="19.19921875" style="3" customWidth="1"/>
    <col min="12568" max="12568" width="8.69921875" style="3" customWidth="1"/>
    <col min="12569" max="12569" width="19.19921875" style="3" customWidth="1"/>
    <col min="12570" max="12570" width="8.69921875" style="3" customWidth="1"/>
    <col min="12571" max="12571" width="19.19921875" style="3" customWidth="1"/>
    <col min="12572" max="12572" width="8.69921875" style="3" customWidth="1"/>
    <col min="12573" max="12573" width="19.19921875" style="3" customWidth="1"/>
    <col min="12574" max="12574" width="8.69921875" style="3" customWidth="1"/>
    <col min="12575" max="12575" width="2.09765625" style="3" customWidth="1"/>
    <col min="12576" max="12576" width="16.8984375" style="3" customWidth="1"/>
    <col min="12577" max="12577" width="7.19921875" style="3" customWidth="1"/>
    <col min="12578" max="12578" width="4.59765625" style="3"/>
    <col min="12579" max="12579" width="13" style="3" bestFit="1" customWidth="1"/>
    <col min="12580" max="12806" width="4.59765625" style="3"/>
    <col min="12807" max="12807" width="9.19921875" style="3" customWidth="1"/>
    <col min="12808" max="12815" width="8.8984375" style="3" customWidth="1"/>
    <col min="12816" max="12820" width="5.09765625" style="3" customWidth="1"/>
    <col min="12821" max="12821" width="19.19921875" style="3" customWidth="1"/>
    <col min="12822" max="12822" width="8.69921875" style="3" customWidth="1"/>
    <col min="12823" max="12823" width="19.19921875" style="3" customWidth="1"/>
    <col min="12824" max="12824" width="8.69921875" style="3" customWidth="1"/>
    <col min="12825" max="12825" width="19.19921875" style="3" customWidth="1"/>
    <col min="12826" max="12826" width="8.69921875" style="3" customWidth="1"/>
    <col min="12827" max="12827" width="19.19921875" style="3" customWidth="1"/>
    <col min="12828" max="12828" width="8.69921875" style="3" customWidth="1"/>
    <col min="12829" max="12829" width="19.19921875" style="3" customWidth="1"/>
    <col min="12830" max="12830" width="8.69921875" style="3" customWidth="1"/>
    <col min="12831" max="12831" width="2.09765625" style="3" customWidth="1"/>
    <col min="12832" max="12832" width="16.8984375" style="3" customWidth="1"/>
    <col min="12833" max="12833" width="7.19921875" style="3" customWidth="1"/>
    <col min="12834" max="12834" width="4.59765625" style="3"/>
    <col min="12835" max="12835" width="13" style="3" bestFit="1" customWidth="1"/>
    <col min="12836" max="13062" width="4.59765625" style="3"/>
    <col min="13063" max="13063" width="9.19921875" style="3" customWidth="1"/>
    <col min="13064" max="13071" width="8.8984375" style="3" customWidth="1"/>
    <col min="13072" max="13076" width="5.09765625" style="3" customWidth="1"/>
    <col min="13077" max="13077" width="19.19921875" style="3" customWidth="1"/>
    <col min="13078" max="13078" width="8.69921875" style="3" customWidth="1"/>
    <col min="13079" max="13079" width="19.19921875" style="3" customWidth="1"/>
    <col min="13080" max="13080" width="8.69921875" style="3" customWidth="1"/>
    <col min="13081" max="13081" width="19.19921875" style="3" customWidth="1"/>
    <col min="13082" max="13082" width="8.69921875" style="3" customWidth="1"/>
    <col min="13083" max="13083" width="19.19921875" style="3" customWidth="1"/>
    <col min="13084" max="13084" width="8.69921875" style="3" customWidth="1"/>
    <col min="13085" max="13085" width="19.19921875" style="3" customWidth="1"/>
    <col min="13086" max="13086" width="8.69921875" style="3" customWidth="1"/>
    <col min="13087" max="13087" width="2.09765625" style="3" customWidth="1"/>
    <col min="13088" max="13088" width="16.8984375" style="3" customWidth="1"/>
    <col min="13089" max="13089" width="7.19921875" style="3" customWidth="1"/>
    <col min="13090" max="13090" width="4.59765625" style="3"/>
    <col min="13091" max="13091" width="13" style="3" bestFit="1" customWidth="1"/>
    <col min="13092" max="13318" width="4.59765625" style="3"/>
    <col min="13319" max="13319" width="9.19921875" style="3" customWidth="1"/>
    <col min="13320" max="13327" width="8.8984375" style="3" customWidth="1"/>
    <col min="13328" max="13332" width="5.09765625" style="3" customWidth="1"/>
    <col min="13333" max="13333" width="19.19921875" style="3" customWidth="1"/>
    <col min="13334" max="13334" width="8.69921875" style="3" customWidth="1"/>
    <col min="13335" max="13335" width="19.19921875" style="3" customWidth="1"/>
    <col min="13336" max="13336" width="8.69921875" style="3" customWidth="1"/>
    <col min="13337" max="13337" width="19.19921875" style="3" customWidth="1"/>
    <col min="13338" max="13338" width="8.69921875" style="3" customWidth="1"/>
    <col min="13339" max="13339" width="19.19921875" style="3" customWidth="1"/>
    <col min="13340" max="13340" width="8.69921875" style="3" customWidth="1"/>
    <col min="13341" max="13341" width="19.19921875" style="3" customWidth="1"/>
    <col min="13342" max="13342" width="8.69921875" style="3" customWidth="1"/>
    <col min="13343" max="13343" width="2.09765625" style="3" customWidth="1"/>
    <col min="13344" max="13344" width="16.8984375" style="3" customWidth="1"/>
    <col min="13345" max="13345" width="7.19921875" style="3" customWidth="1"/>
    <col min="13346" max="13346" width="4.59765625" style="3"/>
    <col min="13347" max="13347" width="13" style="3" bestFit="1" customWidth="1"/>
    <col min="13348" max="13574" width="4.59765625" style="3"/>
    <col min="13575" max="13575" width="9.19921875" style="3" customWidth="1"/>
    <col min="13576" max="13583" width="8.8984375" style="3" customWidth="1"/>
    <col min="13584" max="13588" width="5.09765625" style="3" customWidth="1"/>
    <col min="13589" max="13589" width="19.19921875" style="3" customWidth="1"/>
    <col min="13590" max="13590" width="8.69921875" style="3" customWidth="1"/>
    <col min="13591" max="13591" width="19.19921875" style="3" customWidth="1"/>
    <col min="13592" max="13592" width="8.69921875" style="3" customWidth="1"/>
    <col min="13593" max="13593" width="19.19921875" style="3" customWidth="1"/>
    <col min="13594" max="13594" width="8.69921875" style="3" customWidth="1"/>
    <col min="13595" max="13595" width="19.19921875" style="3" customWidth="1"/>
    <col min="13596" max="13596" width="8.69921875" style="3" customWidth="1"/>
    <col min="13597" max="13597" width="19.19921875" style="3" customWidth="1"/>
    <col min="13598" max="13598" width="8.69921875" style="3" customWidth="1"/>
    <col min="13599" max="13599" width="2.09765625" style="3" customWidth="1"/>
    <col min="13600" max="13600" width="16.8984375" style="3" customWidth="1"/>
    <col min="13601" max="13601" width="7.19921875" style="3" customWidth="1"/>
    <col min="13602" max="13602" width="4.59765625" style="3"/>
    <col min="13603" max="13603" width="13" style="3" bestFit="1" customWidth="1"/>
    <col min="13604" max="13830" width="4.59765625" style="3"/>
    <col min="13831" max="13831" width="9.19921875" style="3" customWidth="1"/>
    <col min="13832" max="13839" width="8.8984375" style="3" customWidth="1"/>
    <col min="13840" max="13844" width="5.09765625" style="3" customWidth="1"/>
    <col min="13845" max="13845" width="19.19921875" style="3" customWidth="1"/>
    <col min="13846" max="13846" width="8.69921875" style="3" customWidth="1"/>
    <col min="13847" max="13847" width="19.19921875" style="3" customWidth="1"/>
    <col min="13848" max="13848" width="8.69921875" style="3" customWidth="1"/>
    <col min="13849" max="13849" width="19.19921875" style="3" customWidth="1"/>
    <col min="13850" max="13850" width="8.69921875" style="3" customWidth="1"/>
    <col min="13851" max="13851" width="19.19921875" style="3" customWidth="1"/>
    <col min="13852" max="13852" width="8.69921875" style="3" customWidth="1"/>
    <col min="13853" max="13853" width="19.19921875" style="3" customWidth="1"/>
    <col min="13854" max="13854" width="8.69921875" style="3" customWidth="1"/>
    <col min="13855" max="13855" width="2.09765625" style="3" customWidth="1"/>
    <col min="13856" max="13856" width="16.8984375" style="3" customWidth="1"/>
    <col min="13857" max="13857" width="7.19921875" style="3" customWidth="1"/>
    <col min="13858" max="13858" width="4.59765625" style="3"/>
    <col min="13859" max="13859" width="13" style="3" bestFit="1" customWidth="1"/>
    <col min="13860" max="14086" width="4.59765625" style="3"/>
    <col min="14087" max="14087" width="9.19921875" style="3" customWidth="1"/>
    <col min="14088" max="14095" width="8.8984375" style="3" customWidth="1"/>
    <col min="14096" max="14100" width="5.09765625" style="3" customWidth="1"/>
    <col min="14101" max="14101" width="19.19921875" style="3" customWidth="1"/>
    <col min="14102" max="14102" width="8.69921875" style="3" customWidth="1"/>
    <col min="14103" max="14103" width="19.19921875" style="3" customWidth="1"/>
    <col min="14104" max="14104" width="8.69921875" style="3" customWidth="1"/>
    <col min="14105" max="14105" width="19.19921875" style="3" customWidth="1"/>
    <col min="14106" max="14106" width="8.69921875" style="3" customWidth="1"/>
    <col min="14107" max="14107" width="19.19921875" style="3" customWidth="1"/>
    <col min="14108" max="14108" width="8.69921875" style="3" customWidth="1"/>
    <col min="14109" max="14109" width="19.19921875" style="3" customWidth="1"/>
    <col min="14110" max="14110" width="8.69921875" style="3" customWidth="1"/>
    <col min="14111" max="14111" width="2.09765625" style="3" customWidth="1"/>
    <col min="14112" max="14112" width="16.8984375" style="3" customWidth="1"/>
    <col min="14113" max="14113" width="7.19921875" style="3" customWidth="1"/>
    <col min="14114" max="14114" width="4.59765625" style="3"/>
    <col min="14115" max="14115" width="13" style="3" bestFit="1" customWidth="1"/>
    <col min="14116" max="14342" width="4.59765625" style="3"/>
    <col min="14343" max="14343" width="9.19921875" style="3" customWidth="1"/>
    <col min="14344" max="14351" width="8.8984375" style="3" customWidth="1"/>
    <col min="14352" max="14356" width="5.09765625" style="3" customWidth="1"/>
    <col min="14357" max="14357" width="19.19921875" style="3" customWidth="1"/>
    <col min="14358" max="14358" width="8.69921875" style="3" customWidth="1"/>
    <col min="14359" max="14359" width="19.19921875" style="3" customWidth="1"/>
    <col min="14360" max="14360" width="8.69921875" style="3" customWidth="1"/>
    <col min="14361" max="14361" width="19.19921875" style="3" customWidth="1"/>
    <col min="14362" max="14362" width="8.69921875" style="3" customWidth="1"/>
    <col min="14363" max="14363" width="19.19921875" style="3" customWidth="1"/>
    <col min="14364" max="14364" width="8.69921875" style="3" customWidth="1"/>
    <col min="14365" max="14365" width="19.19921875" style="3" customWidth="1"/>
    <col min="14366" max="14366" width="8.69921875" style="3" customWidth="1"/>
    <col min="14367" max="14367" width="2.09765625" style="3" customWidth="1"/>
    <col min="14368" max="14368" width="16.8984375" style="3" customWidth="1"/>
    <col min="14369" max="14369" width="7.19921875" style="3" customWidth="1"/>
    <col min="14370" max="14370" width="4.59765625" style="3"/>
    <col min="14371" max="14371" width="13" style="3" bestFit="1" customWidth="1"/>
    <col min="14372" max="14598" width="4.59765625" style="3"/>
    <col min="14599" max="14599" width="9.19921875" style="3" customWidth="1"/>
    <col min="14600" max="14607" width="8.8984375" style="3" customWidth="1"/>
    <col min="14608" max="14612" width="5.09765625" style="3" customWidth="1"/>
    <col min="14613" max="14613" width="19.19921875" style="3" customWidth="1"/>
    <col min="14614" max="14614" width="8.69921875" style="3" customWidth="1"/>
    <col min="14615" max="14615" width="19.19921875" style="3" customWidth="1"/>
    <col min="14616" max="14616" width="8.69921875" style="3" customWidth="1"/>
    <col min="14617" max="14617" width="19.19921875" style="3" customWidth="1"/>
    <col min="14618" max="14618" width="8.69921875" style="3" customWidth="1"/>
    <col min="14619" max="14619" width="19.19921875" style="3" customWidth="1"/>
    <col min="14620" max="14620" width="8.69921875" style="3" customWidth="1"/>
    <col min="14621" max="14621" width="19.19921875" style="3" customWidth="1"/>
    <col min="14622" max="14622" width="8.69921875" style="3" customWidth="1"/>
    <col min="14623" max="14623" width="2.09765625" style="3" customWidth="1"/>
    <col min="14624" max="14624" width="16.8984375" style="3" customWidth="1"/>
    <col min="14625" max="14625" width="7.19921875" style="3" customWidth="1"/>
    <col min="14626" max="14626" width="4.59765625" style="3"/>
    <col min="14627" max="14627" width="13" style="3" bestFit="1" customWidth="1"/>
    <col min="14628" max="14854" width="4.59765625" style="3"/>
    <col min="14855" max="14855" width="9.19921875" style="3" customWidth="1"/>
    <col min="14856" max="14863" width="8.8984375" style="3" customWidth="1"/>
    <col min="14864" max="14868" width="5.09765625" style="3" customWidth="1"/>
    <col min="14869" max="14869" width="19.19921875" style="3" customWidth="1"/>
    <col min="14870" max="14870" width="8.69921875" style="3" customWidth="1"/>
    <col min="14871" max="14871" width="19.19921875" style="3" customWidth="1"/>
    <col min="14872" max="14872" width="8.69921875" style="3" customWidth="1"/>
    <col min="14873" max="14873" width="19.19921875" style="3" customWidth="1"/>
    <col min="14874" max="14874" width="8.69921875" style="3" customWidth="1"/>
    <col min="14875" max="14875" width="19.19921875" style="3" customWidth="1"/>
    <col min="14876" max="14876" width="8.69921875" style="3" customWidth="1"/>
    <col min="14877" max="14877" width="19.19921875" style="3" customWidth="1"/>
    <col min="14878" max="14878" width="8.69921875" style="3" customWidth="1"/>
    <col min="14879" max="14879" width="2.09765625" style="3" customWidth="1"/>
    <col min="14880" max="14880" width="16.8984375" style="3" customWidth="1"/>
    <col min="14881" max="14881" width="7.19921875" style="3" customWidth="1"/>
    <col min="14882" max="14882" width="4.59765625" style="3"/>
    <col min="14883" max="14883" width="13" style="3" bestFit="1" customWidth="1"/>
    <col min="14884" max="15110" width="4.59765625" style="3"/>
    <col min="15111" max="15111" width="9.19921875" style="3" customWidth="1"/>
    <col min="15112" max="15119" width="8.8984375" style="3" customWidth="1"/>
    <col min="15120" max="15124" width="5.09765625" style="3" customWidth="1"/>
    <col min="15125" max="15125" width="19.19921875" style="3" customWidth="1"/>
    <col min="15126" max="15126" width="8.69921875" style="3" customWidth="1"/>
    <col min="15127" max="15127" width="19.19921875" style="3" customWidth="1"/>
    <col min="15128" max="15128" width="8.69921875" style="3" customWidth="1"/>
    <col min="15129" max="15129" width="19.19921875" style="3" customWidth="1"/>
    <col min="15130" max="15130" width="8.69921875" style="3" customWidth="1"/>
    <col min="15131" max="15131" width="19.19921875" style="3" customWidth="1"/>
    <col min="15132" max="15132" width="8.69921875" style="3" customWidth="1"/>
    <col min="15133" max="15133" width="19.19921875" style="3" customWidth="1"/>
    <col min="15134" max="15134" width="8.69921875" style="3" customWidth="1"/>
    <col min="15135" max="15135" width="2.09765625" style="3" customWidth="1"/>
    <col min="15136" max="15136" width="16.8984375" style="3" customWidth="1"/>
    <col min="15137" max="15137" width="7.19921875" style="3" customWidth="1"/>
    <col min="15138" max="15138" width="4.59765625" style="3"/>
    <col min="15139" max="15139" width="13" style="3" bestFit="1" customWidth="1"/>
    <col min="15140" max="15366" width="4.59765625" style="3"/>
    <col min="15367" max="15367" width="9.19921875" style="3" customWidth="1"/>
    <col min="15368" max="15375" width="8.8984375" style="3" customWidth="1"/>
    <col min="15376" max="15380" width="5.09765625" style="3" customWidth="1"/>
    <col min="15381" max="15381" width="19.19921875" style="3" customWidth="1"/>
    <col min="15382" max="15382" width="8.69921875" style="3" customWidth="1"/>
    <col min="15383" max="15383" width="19.19921875" style="3" customWidth="1"/>
    <col min="15384" max="15384" width="8.69921875" style="3" customWidth="1"/>
    <col min="15385" max="15385" width="19.19921875" style="3" customWidth="1"/>
    <col min="15386" max="15386" width="8.69921875" style="3" customWidth="1"/>
    <col min="15387" max="15387" width="19.19921875" style="3" customWidth="1"/>
    <col min="15388" max="15388" width="8.69921875" style="3" customWidth="1"/>
    <col min="15389" max="15389" width="19.19921875" style="3" customWidth="1"/>
    <col min="15390" max="15390" width="8.69921875" style="3" customWidth="1"/>
    <col min="15391" max="15391" width="2.09765625" style="3" customWidth="1"/>
    <col min="15392" max="15392" width="16.8984375" style="3" customWidth="1"/>
    <col min="15393" max="15393" width="7.19921875" style="3" customWidth="1"/>
    <col min="15394" max="15394" width="4.59765625" style="3"/>
    <col min="15395" max="15395" width="13" style="3" bestFit="1" customWidth="1"/>
    <col min="15396" max="15622" width="4.59765625" style="3"/>
    <col min="15623" max="15623" width="9.19921875" style="3" customWidth="1"/>
    <col min="15624" max="15631" width="8.8984375" style="3" customWidth="1"/>
    <col min="15632" max="15636" width="5.09765625" style="3" customWidth="1"/>
    <col min="15637" max="15637" width="19.19921875" style="3" customWidth="1"/>
    <col min="15638" max="15638" width="8.69921875" style="3" customWidth="1"/>
    <col min="15639" max="15639" width="19.19921875" style="3" customWidth="1"/>
    <col min="15640" max="15640" width="8.69921875" style="3" customWidth="1"/>
    <col min="15641" max="15641" width="19.19921875" style="3" customWidth="1"/>
    <col min="15642" max="15642" width="8.69921875" style="3" customWidth="1"/>
    <col min="15643" max="15643" width="19.19921875" style="3" customWidth="1"/>
    <col min="15644" max="15644" width="8.69921875" style="3" customWidth="1"/>
    <col min="15645" max="15645" width="19.19921875" style="3" customWidth="1"/>
    <col min="15646" max="15646" width="8.69921875" style="3" customWidth="1"/>
    <col min="15647" max="15647" width="2.09765625" style="3" customWidth="1"/>
    <col min="15648" max="15648" width="16.8984375" style="3" customWidth="1"/>
    <col min="15649" max="15649" width="7.19921875" style="3" customWidth="1"/>
    <col min="15650" max="15650" width="4.59765625" style="3"/>
    <col min="15651" max="15651" width="13" style="3" bestFit="1" customWidth="1"/>
    <col min="15652" max="15878" width="4.59765625" style="3"/>
    <col min="15879" max="15879" width="9.19921875" style="3" customWidth="1"/>
    <col min="15880" max="15887" width="8.8984375" style="3" customWidth="1"/>
    <col min="15888" max="15892" width="5.09765625" style="3" customWidth="1"/>
    <col min="15893" max="15893" width="19.19921875" style="3" customWidth="1"/>
    <col min="15894" max="15894" width="8.69921875" style="3" customWidth="1"/>
    <col min="15895" max="15895" width="19.19921875" style="3" customWidth="1"/>
    <col min="15896" max="15896" width="8.69921875" style="3" customWidth="1"/>
    <col min="15897" max="15897" width="19.19921875" style="3" customWidth="1"/>
    <col min="15898" max="15898" width="8.69921875" style="3" customWidth="1"/>
    <col min="15899" max="15899" width="19.19921875" style="3" customWidth="1"/>
    <col min="15900" max="15900" width="8.69921875" style="3" customWidth="1"/>
    <col min="15901" max="15901" width="19.19921875" style="3" customWidth="1"/>
    <col min="15902" max="15902" width="8.69921875" style="3" customWidth="1"/>
    <col min="15903" max="15903" width="2.09765625" style="3" customWidth="1"/>
    <col min="15904" max="15904" width="16.8984375" style="3" customWidth="1"/>
    <col min="15905" max="15905" width="7.19921875" style="3" customWidth="1"/>
    <col min="15906" max="15906" width="4.59765625" style="3"/>
    <col min="15907" max="15907" width="13" style="3" bestFit="1" customWidth="1"/>
    <col min="15908" max="16134" width="4.59765625" style="3"/>
    <col min="16135" max="16135" width="9.19921875" style="3" customWidth="1"/>
    <col min="16136" max="16143" width="8.8984375" style="3" customWidth="1"/>
    <col min="16144" max="16148" width="5.09765625" style="3" customWidth="1"/>
    <col min="16149" max="16149" width="19.19921875" style="3" customWidth="1"/>
    <col min="16150" max="16150" width="8.69921875" style="3" customWidth="1"/>
    <col min="16151" max="16151" width="19.19921875" style="3" customWidth="1"/>
    <col min="16152" max="16152" width="8.69921875" style="3" customWidth="1"/>
    <col min="16153" max="16153" width="19.19921875" style="3" customWidth="1"/>
    <col min="16154" max="16154" width="8.69921875" style="3" customWidth="1"/>
    <col min="16155" max="16155" width="19.19921875" style="3" customWidth="1"/>
    <col min="16156" max="16156" width="8.69921875" style="3" customWidth="1"/>
    <col min="16157" max="16157" width="19.19921875" style="3" customWidth="1"/>
    <col min="16158" max="16158" width="8.69921875" style="3" customWidth="1"/>
    <col min="16159" max="16159" width="2.09765625" style="3" customWidth="1"/>
    <col min="16160" max="16160" width="16.8984375" style="3" customWidth="1"/>
    <col min="16161" max="16161" width="7.19921875" style="3" customWidth="1"/>
    <col min="16162" max="16162" width="4.59765625" style="3"/>
    <col min="16163" max="16163" width="13" style="3" bestFit="1" customWidth="1"/>
    <col min="16164" max="16384" width="4.59765625" style="3"/>
  </cols>
  <sheetData>
    <row r="1" spans="1:32" ht="40.200000000000003" x14ac:dyDescent="0.4">
      <c r="A1" s="374" t="s">
        <v>2</v>
      </c>
      <c r="B1" s="374"/>
      <c r="C1" s="374"/>
      <c r="D1" s="374"/>
      <c r="E1" s="374"/>
      <c r="F1" s="374"/>
      <c r="G1" s="374"/>
      <c r="H1" s="374"/>
      <c r="I1" s="374"/>
      <c r="J1" s="374"/>
      <c r="K1" s="374"/>
      <c r="L1" s="374"/>
      <c r="M1" s="374"/>
      <c r="N1" s="374"/>
      <c r="O1" s="374"/>
      <c r="P1" s="374"/>
      <c r="Q1" s="374"/>
      <c r="R1" s="374"/>
      <c r="S1" s="374"/>
      <c r="T1" s="374"/>
      <c r="U1" s="374"/>
      <c r="V1" s="374"/>
      <c r="W1" s="374"/>
      <c r="X1" s="374"/>
      <c r="Y1" s="374"/>
      <c r="Z1" s="374"/>
      <c r="AA1" s="374"/>
    </row>
    <row r="2" spans="1:32" s="6" customFormat="1" ht="18.75" customHeight="1" x14ac:dyDescent="0.45">
      <c r="A2" s="4" t="s">
        <v>3</v>
      </c>
      <c r="B2" s="63" t="s">
        <v>292</v>
      </c>
      <c r="C2" s="63"/>
      <c r="D2" s="63"/>
      <c r="E2" s="63"/>
      <c r="F2" s="63"/>
      <c r="G2" s="5"/>
      <c r="H2" s="5"/>
      <c r="I2" s="5"/>
      <c r="P2" s="7"/>
      <c r="R2" s="7"/>
      <c r="S2" s="8"/>
      <c r="T2" s="7"/>
      <c r="U2" s="8"/>
      <c r="V2" s="9"/>
      <c r="W2" s="10"/>
      <c r="X2" s="9"/>
      <c r="Y2" s="10"/>
      <c r="Z2" s="375" t="s">
        <v>284</v>
      </c>
      <c r="AA2" s="375"/>
    </row>
    <row r="3" spans="1:32" ht="25.2" customHeight="1" x14ac:dyDescent="0.4">
      <c r="A3" s="376" t="s">
        <v>4</v>
      </c>
      <c r="B3" s="379" t="s">
        <v>5</v>
      </c>
      <c r="C3" s="380"/>
      <c r="D3" s="379" t="s">
        <v>6</v>
      </c>
      <c r="E3" s="380"/>
      <c r="F3" s="379" t="s">
        <v>7</v>
      </c>
      <c r="G3" s="381"/>
      <c r="H3" s="382" t="s">
        <v>8</v>
      </c>
      <c r="I3" s="381"/>
      <c r="J3" s="383" t="s">
        <v>9</v>
      </c>
      <c r="K3" s="384"/>
      <c r="L3" s="384"/>
      <c r="M3" s="384"/>
      <c r="N3" s="384"/>
      <c r="O3" s="385"/>
      <c r="P3" s="11" t="s">
        <v>290</v>
      </c>
      <c r="Q3" s="12"/>
      <c r="R3" s="11" t="s">
        <v>291</v>
      </c>
      <c r="S3" s="13"/>
      <c r="T3" s="11" t="s">
        <v>295</v>
      </c>
      <c r="U3" s="13"/>
      <c r="V3" s="11" t="s">
        <v>288</v>
      </c>
      <c r="W3" s="13"/>
      <c r="X3" s="11" t="s">
        <v>10</v>
      </c>
      <c r="Y3" s="13"/>
      <c r="Z3" s="14" t="s">
        <v>11</v>
      </c>
      <c r="AA3" s="13"/>
    </row>
    <row r="4" spans="1:32" ht="17.100000000000001" customHeight="1" x14ac:dyDescent="0.4">
      <c r="A4" s="377"/>
      <c r="B4" s="392"/>
      <c r="C4" s="393"/>
      <c r="D4" s="392"/>
      <c r="E4" s="393"/>
      <c r="F4" s="392"/>
      <c r="G4" s="393"/>
      <c r="H4" s="425"/>
      <c r="I4" s="393"/>
      <c r="J4" s="386"/>
      <c r="K4" s="387"/>
      <c r="L4" s="387"/>
      <c r="M4" s="387"/>
      <c r="N4" s="387"/>
      <c r="O4" s="388"/>
      <c r="P4" s="15">
        <v>2025.08</v>
      </c>
      <c r="Q4" s="398" t="s">
        <v>12</v>
      </c>
      <c r="R4" s="15">
        <v>2025.09</v>
      </c>
      <c r="S4" s="398" t="s">
        <v>13</v>
      </c>
      <c r="T4" s="15"/>
      <c r="U4" s="398" t="s">
        <v>13</v>
      </c>
      <c r="V4" s="16"/>
      <c r="W4" s="398"/>
      <c r="X4" s="16" t="s">
        <v>10</v>
      </c>
      <c r="Y4" s="398"/>
      <c r="Z4" s="15" t="s">
        <v>10</v>
      </c>
      <c r="AA4" s="398" t="s">
        <v>13</v>
      </c>
    </row>
    <row r="5" spans="1:32" ht="17.100000000000001" customHeight="1" x14ac:dyDescent="0.4">
      <c r="A5" s="377"/>
      <c r="B5" s="394"/>
      <c r="C5" s="395"/>
      <c r="D5" s="394"/>
      <c r="E5" s="395"/>
      <c r="F5" s="394"/>
      <c r="G5" s="395"/>
      <c r="H5" s="426"/>
      <c r="I5" s="395"/>
      <c r="J5" s="389"/>
      <c r="K5" s="390"/>
      <c r="L5" s="390"/>
      <c r="M5" s="390"/>
      <c r="N5" s="390"/>
      <c r="O5" s="391"/>
      <c r="P5" s="17" t="s">
        <v>286</v>
      </c>
      <c r="Q5" s="399"/>
      <c r="R5" s="17" t="s">
        <v>298</v>
      </c>
      <c r="S5" s="399"/>
      <c r="T5" s="17" t="s">
        <v>296</v>
      </c>
      <c r="U5" s="399"/>
      <c r="V5" s="17" t="s">
        <v>297</v>
      </c>
      <c r="W5" s="399"/>
      <c r="X5" s="17" t="s">
        <v>14</v>
      </c>
      <c r="Y5" s="399"/>
      <c r="Z5" s="17" t="s">
        <v>15</v>
      </c>
      <c r="AA5" s="399"/>
    </row>
    <row r="6" spans="1:32" ht="20.100000000000001" customHeight="1" x14ac:dyDescent="0.4">
      <c r="A6" s="378"/>
      <c r="B6" s="396"/>
      <c r="C6" s="397"/>
      <c r="D6" s="396"/>
      <c r="E6" s="397"/>
      <c r="F6" s="396"/>
      <c r="G6" s="397"/>
      <c r="H6" s="427"/>
      <c r="I6" s="397"/>
      <c r="J6" s="400" t="s">
        <v>16</v>
      </c>
      <c r="K6" s="401"/>
      <c r="L6" s="401"/>
      <c r="M6" s="401"/>
      <c r="N6" s="401"/>
      <c r="O6" s="402"/>
      <c r="P6" s="18" t="e">
        <f>P7+P28</f>
        <v>#REF!</v>
      </c>
      <c r="Q6" s="19" t="e">
        <f>P$6/P$30</f>
        <v>#REF!</v>
      </c>
      <c r="R6" s="20" t="e">
        <f>R7+R28</f>
        <v>#REF!</v>
      </c>
      <c r="S6" s="21" t="e">
        <f>R6/R30</f>
        <v>#REF!</v>
      </c>
      <c r="T6" s="20" t="e">
        <f>T7+T28</f>
        <v>#REF!</v>
      </c>
      <c r="U6" s="21" t="e">
        <f>T6/T30</f>
        <v>#REF!</v>
      </c>
      <c r="V6" s="20" t="e">
        <f>T6-R6</f>
        <v>#REF!</v>
      </c>
      <c r="W6" s="21">
        <v>1</v>
      </c>
      <c r="X6" s="20">
        <f>X7+X28</f>
        <v>0</v>
      </c>
      <c r="Y6" s="21">
        <f>IFERROR(X6/X$30,0)</f>
        <v>0</v>
      </c>
      <c r="Z6" s="20"/>
      <c r="AA6" s="22">
        <f>IFERROR((R6/P6)-1,0)</f>
        <v>0</v>
      </c>
      <c r="AC6" s="23"/>
      <c r="AD6" s="24"/>
    </row>
    <row r="7" spans="1:32" ht="20.100000000000001" customHeight="1" x14ac:dyDescent="0.4">
      <c r="A7" s="376" t="s">
        <v>17</v>
      </c>
      <c r="B7" s="403" t="s">
        <v>18</v>
      </c>
      <c r="C7" s="405">
        <f>R30</f>
        <v>935530000</v>
      </c>
      <c r="D7" s="405"/>
      <c r="E7" s="406"/>
      <c r="F7" s="409" t="s">
        <v>19</v>
      </c>
      <c r="G7" s="410">
        <f>C7+C9</f>
        <v>1029083000</v>
      </c>
      <c r="H7" s="411"/>
      <c r="I7" s="412"/>
      <c r="J7" s="25"/>
      <c r="K7" s="417" t="s">
        <v>20</v>
      </c>
      <c r="L7" s="418"/>
      <c r="M7" s="418"/>
      <c r="N7" s="418"/>
      <c r="O7" s="419"/>
      <c r="P7" s="18" t="e">
        <f>SUM(P8:P10)</f>
        <v>#REF!</v>
      </c>
      <c r="Q7" s="19" t="e">
        <f>P$7/P$30</f>
        <v>#REF!</v>
      </c>
      <c r="R7" s="20" t="e">
        <f>SUM(R8:R10)</f>
        <v>#REF!</v>
      </c>
      <c r="S7" s="21" t="e">
        <f>R7/R30</f>
        <v>#REF!</v>
      </c>
      <c r="T7" s="20" t="e">
        <f>SUM(T8:T10)</f>
        <v>#REF!</v>
      </c>
      <c r="U7" s="21" t="e">
        <f>T7/T30</f>
        <v>#REF!</v>
      </c>
      <c r="V7" s="20" t="e">
        <f>R7-P7</f>
        <v>#REF!</v>
      </c>
      <c r="W7" s="21" t="e">
        <f>U7-S7</f>
        <v>#REF!</v>
      </c>
      <c r="X7" s="20">
        <f>SUM(X8:X10)</f>
        <v>0</v>
      </c>
      <c r="Y7" s="21">
        <v>0</v>
      </c>
      <c r="Z7" s="20"/>
      <c r="AA7" s="22"/>
      <c r="AC7" s="23"/>
      <c r="AD7" s="24"/>
    </row>
    <row r="8" spans="1:32" ht="25.2" customHeight="1" x14ac:dyDescent="0.4">
      <c r="A8" s="377"/>
      <c r="B8" s="404"/>
      <c r="C8" s="407"/>
      <c r="D8" s="407"/>
      <c r="E8" s="408"/>
      <c r="F8" s="409"/>
      <c r="G8" s="413"/>
      <c r="H8" s="413"/>
      <c r="I8" s="414"/>
      <c r="J8" s="26"/>
      <c r="K8" s="27"/>
      <c r="L8" s="420" t="s">
        <v>21</v>
      </c>
      <c r="M8" s="420"/>
      <c r="N8" s="420"/>
      <c r="O8" s="421"/>
      <c r="P8" s="28" t="e">
        <f>SUMIF(#REF!,SUBSTITUTE(SUBSTITUTE($L8,"①","")," ",""),#REF!)</f>
        <v>#REF!</v>
      </c>
      <c r="Q8" s="29" t="e">
        <f t="shared" ref="Q8:Q27" si="0">P8/P$30</f>
        <v>#REF!</v>
      </c>
      <c r="R8" s="30" t="e">
        <f>SUMIF(#REF!,SUBSTITUTE(SUBSTITUTE($L8,"①","")," ",""),#REF!)</f>
        <v>#REF!</v>
      </c>
      <c r="S8" s="31">
        <f t="shared" ref="S8:S30" si="1">IFERROR(R8/R$30,0)</f>
        <v>0</v>
      </c>
      <c r="T8" s="30" t="e">
        <f>SUMIF(#REF!,SUBSTITUTE(SUBSTITUTE($L8,"①","")," ",""),#REF!)</f>
        <v>#REF!</v>
      </c>
      <c r="U8" s="31">
        <f t="shared" ref="U8:U30" si="2">IFERROR(T8/T$30,0)</f>
        <v>0</v>
      </c>
      <c r="V8" s="38" t="e">
        <f t="shared" ref="V8:V9" si="3">T8-R8</f>
        <v>#REF!</v>
      </c>
      <c r="W8" s="31">
        <f t="shared" ref="W8:W9" si="4">IFERROR(V8/V$30,0)</f>
        <v>0</v>
      </c>
      <c r="X8" s="32"/>
      <c r="Y8" s="31">
        <f t="shared" ref="Y8:Y30" si="5">IFERROR(X8/X$30,0)</f>
        <v>0</v>
      </c>
      <c r="Z8" s="33"/>
      <c r="AA8" s="22">
        <f t="shared" ref="AA8:AA28" si="6">IFERROR((R8/P8)-1,0)</f>
        <v>0</v>
      </c>
      <c r="AC8" s="23"/>
    </row>
    <row r="9" spans="1:32" ht="25.2" customHeight="1" x14ac:dyDescent="0.4">
      <c r="A9" s="377"/>
      <c r="B9" s="34" t="s">
        <v>22</v>
      </c>
      <c r="C9" s="422">
        <f>INT(C7*0.1)</f>
        <v>93553000</v>
      </c>
      <c r="D9" s="423"/>
      <c r="E9" s="424"/>
      <c r="F9" s="409"/>
      <c r="G9" s="415"/>
      <c r="H9" s="415"/>
      <c r="I9" s="416"/>
      <c r="J9" s="26"/>
      <c r="K9" s="27"/>
      <c r="L9" s="420" t="s">
        <v>23</v>
      </c>
      <c r="M9" s="420"/>
      <c r="N9" s="420"/>
      <c r="O9" s="421"/>
      <c r="P9" s="28" t="e">
        <f>SUMIF(#REF!,SUBSTITUTE(SUBSTITUTE($L9,"②","")," ",""),#REF!)</f>
        <v>#REF!</v>
      </c>
      <c r="Q9" s="29" t="e">
        <f t="shared" si="0"/>
        <v>#REF!</v>
      </c>
      <c r="R9" s="30" t="e">
        <f>SUMIF(#REF!,SUBSTITUTE(SUBSTITUTE($L9,"②","")," ",""),#REF!)</f>
        <v>#REF!</v>
      </c>
      <c r="S9" s="31">
        <f t="shared" si="1"/>
        <v>0</v>
      </c>
      <c r="T9" s="30" t="e">
        <f>SUMIF(#REF!,SUBSTITUTE(SUBSTITUTE($L9,"①","")," ",""),#REF!)</f>
        <v>#REF!</v>
      </c>
      <c r="U9" s="31">
        <f t="shared" si="2"/>
        <v>0</v>
      </c>
      <c r="V9" s="38" t="e">
        <f t="shared" si="3"/>
        <v>#REF!</v>
      </c>
      <c r="W9" s="31">
        <f t="shared" si="4"/>
        <v>0</v>
      </c>
      <c r="X9" s="32"/>
      <c r="Y9" s="31">
        <f t="shared" si="5"/>
        <v>0</v>
      </c>
      <c r="Z9" s="33"/>
      <c r="AA9" s="22">
        <f t="shared" si="6"/>
        <v>0</v>
      </c>
      <c r="AC9" s="23"/>
    </row>
    <row r="10" spans="1:32" ht="25.2" customHeight="1" x14ac:dyDescent="0.4">
      <c r="A10" s="376" t="s">
        <v>24</v>
      </c>
      <c r="B10" s="35" t="s">
        <v>25</v>
      </c>
      <c r="C10" s="429" t="s">
        <v>10</v>
      </c>
      <c r="D10" s="430"/>
      <c r="E10" s="431"/>
      <c r="F10" s="36" t="s">
        <v>26</v>
      </c>
      <c r="G10" s="432" t="s">
        <v>1</v>
      </c>
      <c r="H10" s="433"/>
      <c r="I10" s="434"/>
      <c r="J10" s="26"/>
      <c r="K10" s="27"/>
      <c r="L10" s="435" t="s">
        <v>27</v>
      </c>
      <c r="M10" s="435"/>
      <c r="N10" s="435"/>
      <c r="O10" s="436"/>
      <c r="P10" s="37" t="e">
        <f>SUM(P11:P27)</f>
        <v>#REF!</v>
      </c>
      <c r="Q10" s="29" t="e">
        <f t="shared" si="0"/>
        <v>#REF!</v>
      </c>
      <c r="R10" s="38" t="e">
        <f>SUM(R11:R27)</f>
        <v>#REF!</v>
      </c>
      <c r="S10" s="31">
        <f t="shared" si="1"/>
        <v>0</v>
      </c>
      <c r="T10" s="38" t="e">
        <f>SUM(T11:T27)</f>
        <v>#REF!</v>
      </c>
      <c r="U10" s="31">
        <f t="shared" si="2"/>
        <v>0</v>
      </c>
      <c r="V10" s="38" t="e">
        <f>T10-R10</f>
        <v>#REF!</v>
      </c>
      <c r="W10" s="31">
        <f>U10-S10</f>
        <v>0</v>
      </c>
      <c r="X10" s="38">
        <f>SUM(X11:X27)</f>
        <v>0</v>
      </c>
      <c r="Y10" s="31">
        <f t="shared" si="5"/>
        <v>0</v>
      </c>
      <c r="Z10" s="33"/>
      <c r="AA10" s="22">
        <f t="shared" si="6"/>
        <v>0</v>
      </c>
      <c r="AC10" s="23"/>
    </row>
    <row r="11" spans="1:32" ht="25.2" customHeight="1" x14ac:dyDescent="0.4">
      <c r="A11" s="428"/>
      <c r="B11" s="35" t="s">
        <v>28</v>
      </c>
      <c r="C11" s="429" t="s">
        <v>285</v>
      </c>
      <c r="D11" s="430"/>
      <c r="E11" s="431"/>
      <c r="F11" s="39" t="s">
        <v>29</v>
      </c>
      <c r="G11" s="432" t="s">
        <v>66</v>
      </c>
      <c r="H11" s="433"/>
      <c r="I11" s="434"/>
      <c r="J11" s="26"/>
      <c r="K11" s="40"/>
      <c r="L11" s="40"/>
      <c r="M11" s="41" t="s">
        <v>30</v>
      </c>
      <c r="N11" s="42"/>
      <c r="O11" s="43"/>
      <c r="P11" s="28" t="e">
        <f>SUMIF(#REF!,'실행예산서 갑지'!$M11,#REF!)</f>
        <v>#REF!</v>
      </c>
      <c r="Q11" s="29" t="e">
        <f t="shared" si="0"/>
        <v>#REF!</v>
      </c>
      <c r="R11" s="30" t="e">
        <f>SUMIF(#REF!,'실행예산서 갑지'!$M11,#REF!)</f>
        <v>#REF!</v>
      </c>
      <c r="S11" s="31">
        <f t="shared" si="1"/>
        <v>0</v>
      </c>
      <c r="T11" s="30" t="e">
        <f>SUMIF(#REF!,'실행예산서 갑지'!$M11,#REF!)</f>
        <v>#REF!</v>
      </c>
      <c r="U11" s="31">
        <f t="shared" si="2"/>
        <v>0</v>
      </c>
      <c r="V11" s="38" t="e">
        <f t="shared" ref="V11:V27" si="7">T11-R11</f>
        <v>#REF!</v>
      </c>
      <c r="W11" s="31">
        <f t="shared" ref="W11:W32" si="8">U11-S11</f>
        <v>0</v>
      </c>
      <c r="X11" s="32"/>
      <c r="Y11" s="31">
        <f t="shared" si="5"/>
        <v>0</v>
      </c>
      <c r="Z11" s="33"/>
      <c r="AA11" s="22">
        <f t="shared" si="6"/>
        <v>0</v>
      </c>
      <c r="AC11" s="23"/>
    </row>
    <row r="12" spans="1:32" ht="25.2" customHeight="1" x14ac:dyDescent="0.4">
      <c r="A12" s="461" t="s">
        <v>31</v>
      </c>
      <c r="B12" s="44" t="s">
        <v>32</v>
      </c>
      <c r="C12" s="443" t="e">
        <f>P6</f>
        <v>#REF!</v>
      </c>
      <c r="D12" s="444"/>
      <c r="E12" s="447"/>
      <c r="F12" s="461" t="s">
        <v>33</v>
      </c>
      <c r="G12" s="44" t="s">
        <v>32</v>
      </c>
      <c r="H12" s="448" t="e">
        <f>Q6</f>
        <v>#REF!</v>
      </c>
      <c r="I12" s="449"/>
      <c r="J12" s="26"/>
      <c r="K12" s="40"/>
      <c r="L12" s="40"/>
      <c r="M12" s="41" t="s">
        <v>34</v>
      </c>
      <c r="N12" s="42"/>
      <c r="O12" s="43"/>
      <c r="P12" s="28" t="e">
        <f>SUMIF(#REF!,'실행예산서 갑지'!$M12,#REF!)</f>
        <v>#REF!</v>
      </c>
      <c r="Q12" s="29" t="e">
        <f t="shared" si="0"/>
        <v>#REF!</v>
      </c>
      <c r="R12" s="30" t="e">
        <f>SUMIF(#REF!,'실행예산서 갑지'!$M12,#REF!)</f>
        <v>#REF!</v>
      </c>
      <c r="S12" s="31">
        <f t="shared" si="1"/>
        <v>0</v>
      </c>
      <c r="T12" s="30" t="e">
        <f>SUMIF(#REF!,'실행예산서 갑지'!$M12,#REF!)</f>
        <v>#REF!</v>
      </c>
      <c r="U12" s="31">
        <f t="shared" si="2"/>
        <v>0</v>
      </c>
      <c r="V12" s="38" t="e">
        <f t="shared" si="7"/>
        <v>#REF!</v>
      </c>
      <c r="W12" s="31">
        <f t="shared" si="8"/>
        <v>0</v>
      </c>
      <c r="X12" s="32"/>
      <c r="Y12" s="31">
        <f t="shared" si="5"/>
        <v>0</v>
      </c>
      <c r="Z12" s="33"/>
      <c r="AA12" s="22">
        <f t="shared" si="6"/>
        <v>0</v>
      </c>
      <c r="AC12" s="23"/>
      <c r="AD12" s="45"/>
      <c r="AE12" s="45"/>
      <c r="AF12" s="45"/>
    </row>
    <row r="13" spans="1:32" ht="25.2" customHeight="1" x14ac:dyDescent="0.4">
      <c r="A13" s="462"/>
      <c r="B13" s="44" t="s">
        <v>35</v>
      </c>
      <c r="C13" s="443" t="e">
        <f>R6</f>
        <v>#REF!</v>
      </c>
      <c r="D13" s="444"/>
      <c r="E13" s="447"/>
      <c r="F13" s="462"/>
      <c r="G13" s="44" t="s">
        <v>35</v>
      </c>
      <c r="H13" s="448" t="e">
        <f>S6</f>
        <v>#REF!</v>
      </c>
      <c r="I13" s="449"/>
      <c r="J13" s="26"/>
      <c r="K13" s="40"/>
      <c r="L13" s="40"/>
      <c r="M13" s="41" t="s">
        <v>36</v>
      </c>
      <c r="N13" s="42"/>
      <c r="O13" s="43"/>
      <c r="P13" s="28" t="e">
        <f>SUMIF(#REF!,'실행예산서 갑지'!$M13,#REF!)</f>
        <v>#REF!</v>
      </c>
      <c r="Q13" s="29" t="e">
        <f t="shared" si="0"/>
        <v>#REF!</v>
      </c>
      <c r="R13" s="30" t="e">
        <f>SUMIF(#REF!,'실행예산서 갑지'!$M13,#REF!)</f>
        <v>#REF!</v>
      </c>
      <c r="S13" s="31">
        <f t="shared" si="1"/>
        <v>0</v>
      </c>
      <c r="T13" s="30" t="e">
        <f>SUMIF(#REF!,'실행예산서 갑지'!$M13,#REF!)</f>
        <v>#REF!</v>
      </c>
      <c r="U13" s="31">
        <f t="shared" si="2"/>
        <v>0</v>
      </c>
      <c r="V13" s="38" t="e">
        <f t="shared" si="7"/>
        <v>#REF!</v>
      </c>
      <c r="W13" s="31">
        <f t="shared" si="8"/>
        <v>0</v>
      </c>
      <c r="X13" s="32"/>
      <c r="Y13" s="31">
        <f t="shared" si="5"/>
        <v>0</v>
      </c>
      <c r="Z13" s="33"/>
      <c r="AA13" s="22">
        <f t="shared" si="6"/>
        <v>0</v>
      </c>
      <c r="AC13" s="23"/>
      <c r="AD13" s="45"/>
      <c r="AE13" s="45"/>
      <c r="AF13" s="45"/>
    </row>
    <row r="14" spans="1:32" ht="25.2" customHeight="1" x14ac:dyDescent="0.4">
      <c r="A14" s="462"/>
      <c r="B14" s="44" t="s">
        <v>37</v>
      </c>
      <c r="C14" s="450">
        <v>0</v>
      </c>
      <c r="D14" s="451"/>
      <c r="E14" s="452"/>
      <c r="F14" s="462"/>
      <c r="G14" s="44" t="s">
        <v>37</v>
      </c>
      <c r="H14" s="453">
        <v>0</v>
      </c>
      <c r="I14" s="447"/>
      <c r="J14" s="26"/>
      <c r="K14" s="40"/>
      <c r="L14" s="40"/>
      <c r="M14" s="41" t="s">
        <v>38</v>
      </c>
      <c r="N14" s="42"/>
      <c r="O14" s="43"/>
      <c r="P14" s="28" t="e">
        <f>SUMIF(#REF!,'실행예산서 갑지'!$M14,#REF!)</f>
        <v>#REF!</v>
      </c>
      <c r="Q14" s="29" t="e">
        <f t="shared" si="0"/>
        <v>#REF!</v>
      </c>
      <c r="R14" s="30" t="e">
        <f>SUMIF(#REF!,'실행예산서 갑지'!$M14,#REF!)</f>
        <v>#REF!</v>
      </c>
      <c r="S14" s="31">
        <f t="shared" si="1"/>
        <v>0</v>
      </c>
      <c r="T14" s="30" t="e">
        <f>SUMIF(#REF!,'실행예산서 갑지'!$M14,#REF!)</f>
        <v>#REF!</v>
      </c>
      <c r="U14" s="31">
        <f t="shared" si="2"/>
        <v>0</v>
      </c>
      <c r="V14" s="38" t="e">
        <f t="shared" si="7"/>
        <v>#REF!</v>
      </c>
      <c r="W14" s="31">
        <f t="shared" si="8"/>
        <v>0</v>
      </c>
      <c r="X14" s="32"/>
      <c r="Y14" s="31">
        <f t="shared" si="5"/>
        <v>0</v>
      </c>
      <c r="Z14" s="33"/>
      <c r="AA14" s="22">
        <f t="shared" si="6"/>
        <v>0</v>
      </c>
      <c r="AC14" s="23"/>
      <c r="AD14" s="45"/>
      <c r="AE14" s="45"/>
      <c r="AF14" s="45"/>
    </row>
    <row r="15" spans="1:32" ht="25.2" customHeight="1" x14ac:dyDescent="0.4">
      <c r="A15" s="462"/>
      <c r="B15" s="44" t="s">
        <v>39</v>
      </c>
      <c r="C15" s="450">
        <v>0</v>
      </c>
      <c r="D15" s="451"/>
      <c r="E15" s="452"/>
      <c r="F15" s="462"/>
      <c r="G15" s="44" t="s">
        <v>39</v>
      </c>
      <c r="H15" s="453">
        <v>0</v>
      </c>
      <c r="I15" s="447"/>
      <c r="J15" s="26"/>
      <c r="K15" s="40"/>
      <c r="L15" s="40"/>
      <c r="M15" s="41" t="s">
        <v>40</v>
      </c>
      <c r="N15" s="42"/>
      <c r="O15" s="43"/>
      <c r="P15" s="28" t="e">
        <f>SUMIF(#REF!,'실행예산서 갑지'!$M15,#REF!)</f>
        <v>#REF!</v>
      </c>
      <c r="Q15" s="29" t="e">
        <f t="shared" si="0"/>
        <v>#REF!</v>
      </c>
      <c r="R15" s="30" t="e">
        <f>SUMIF(#REF!,'실행예산서 갑지'!$M15,#REF!)</f>
        <v>#REF!</v>
      </c>
      <c r="S15" s="31">
        <f t="shared" si="1"/>
        <v>0</v>
      </c>
      <c r="T15" s="30" t="e">
        <f>SUMIF(#REF!,'실행예산서 갑지'!$M15,#REF!)</f>
        <v>#REF!</v>
      </c>
      <c r="U15" s="31">
        <f t="shared" si="2"/>
        <v>0</v>
      </c>
      <c r="V15" s="38" t="e">
        <f t="shared" si="7"/>
        <v>#REF!</v>
      </c>
      <c r="W15" s="31">
        <f t="shared" si="8"/>
        <v>0</v>
      </c>
      <c r="X15" s="32"/>
      <c r="Y15" s="31">
        <f t="shared" si="5"/>
        <v>0</v>
      </c>
      <c r="Z15" s="33"/>
      <c r="AA15" s="22">
        <f t="shared" si="6"/>
        <v>0</v>
      </c>
      <c r="AC15" s="23"/>
      <c r="AD15" s="45"/>
      <c r="AE15" s="45"/>
      <c r="AF15" s="45"/>
    </row>
    <row r="16" spans="1:32" ht="25.2" customHeight="1" x14ac:dyDescent="0.4">
      <c r="A16" s="463"/>
      <c r="B16" s="44" t="s">
        <v>41</v>
      </c>
      <c r="C16" s="443"/>
      <c r="D16" s="444"/>
      <c r="E16" s="444"/>
      <c r="F16" s="463"/>
      <c r="G16" s="44" t="s">
        <v>42</v>
      </c>
      <c r="H16" s="445"/>
      <c r="I16" s="446"/>
      <c r="J16" s="26"/>
      <c r="K16" s="26"/>
      <c r="L16" s="46"/>
      <c r="M16" s="41" t="s">
        <v>43</v>
      </c>
      <c r="N16" s="42"/>
      <c r="O16" s="43"/>
      <c r="P16" s="28" t="e">
        <f>SUMIF(#REF!,'실행예산서 갑지'!$M16,#REF!)</f>
        <v>#REF!</v>
      </c>
      <c r="Q16" s="29" t="e">
        <f t="shared" si="0"/>
        <v>#REF!</v>
      </c>
      <c r="R16" s="30" t="e">
        <f>SUMIF(#REF!,'실행예산서 갑지'!$M16,#REF!)</f>
        <v>#REF!</v>
      </c>
      <c r="S16" s="31">
        <f t="shared" si="1"/>
        <v>0</v>
      </c>
      <c r="T16" s="30" t="e">
        <f>SUMIF(#REF!,'실행예산서 갑지'!$M16,#REF!)</f>
        <v>#REF!</v>
      </c>
      <c r="U16" s="31">
        <f t="shared" si="2"/>
        <v>0</v>
      </c>
      <c r="V16" s="38" t="e">
        <f t="shared" si="7"/>
        <v>#REF!</v>
      </c>
      <c r="W16" s="31">
        <f t="shared" si="8"/>
        <v>0</v>
      </c>
      <c r="X16" s="32"/>
      <c r="Y16" s="31">
        <f t="shared" si="5"/>
        <v>0</v>
      </c>
      <c r="Z16" s="33"/>
      <c r="AA16" s="22">
        <f t="shared" si="6"/>
        <v>0</v>
      </c>
      <c r="AC16" s="23"/>
      <c r="AD16" s="45"/>
      <c r="AE16" s="45"/>
      <c r="AF16" s="45"/>
    </row>
    <row r="17" spans="1:35" ht="25.2" customHeight="1" x14ac:dyDescent="0.4">
      <c r="A17" s="467" t="s">
        <v>44</v>
      </c>
      <c r="B17" s="468" t="s">
        <v>289</v>
      </c>
      <c r="C17" s="469"/>
      <c r="D17" s="469"/>
      <c r="E17" s="469"/>
      <c r="F17" s="469"/>
      <c r="G17" s="469"/>
      <c r="H17" s="469"/>
      <c r="I17" s="470"/>
      <c r="J17" s="47"/>
      <c r="K17" s="26"/>
      <c r="L17" s="46"/>
      <c r="M17" s="41" t="s">
        <v>45</v>
      </c>
      <c r="N17" s="42"/>
      <c r="O17" s="43"/>
      <c r="P17" s="28" t="e">
        <f>SUMIF(#REF!,'실행예산서 갑지'!$M17,#REF!)</f>
        <v>#REF!</v>
      </c>
      <c r="Q17" s="29" t="e">
        <f t="shared" si="0"/>
        <v>#REF!</v>
      </c>
      <c r="R17" s="30" t="e">
        <f>SUMIF(#REF!,'실행예산서 갑지'!$M17,#REF!)</f>
        <v>#REF!</v>
      </c>
      <c r="S17" s="31">
        <f t="shared" si="1"/>
        <v>0</v>
      </c>
      <c r="T17" s="30" t="e">
        <f>SUMIF(#REF!,'실행예산서 갑지'!$M17,#REF!)</f>
        <v>#REF!</v>
      </c>
      <c r="U17" s="31">
        <f t="shared" si="2"/>
        <v>0</v>
      </c>
      <c r="V17" s="38" t="e">
        <f t="shared" si="7"/>
        <v>#REF!</v>
      </c>
      <c r="W17" s="31">
        <f t="shared" si="8"/>
        <v>0</v>
      </c>
      <c r="X17" s="32"/>
      <c r="Y17" s="31">
        <f t="shared" si="5"/>
        <v>0</v>
      </c>
      <c r="Z17" s="33"/>
      <c r="AA17" s="22">
        <f t="shared" si="6"/>
        <v>0</v>
      </c>
      <c r="AC17" s="23"/>
      <c r="AD17" s="45"/>
      <c r="AE17" s="45"/>
      <c r="AF17" s="45"/>
    </row>
    <row r="18" spans="1:35" ht="25.2" customHeight="1" x14ac:dyDescent="0.4">
      <c r="A18" s="467"/>
      <c r="B18" s="468" t="s">
        <v>72</v>
      </c>
      <c r="C18" s="469"/>
      <c r="D18" s="469"/>
      <c r="E18" s="469"/>
      <c r="F18" s="469"/>
      <c r="G18" s="469"/>
      <c r="H18" s="469"/>
      <c r="I18" s="470"/>
      <c r="J18" s="47"/>
      <c r="K18" s="26"/>
      <c r="L18" s="46"/>
      <c r="M18" s="41" t="s">
        <v>46</v>
      </c>
      <c r="N18" s="42"/>
      <c r="O18" s="43"/>
      <c r="P18" s="28" t="e">
        <f>SUMIF(#REF!,'실행예산서 갑지'!$M18,#REF!)</f>
        <v>#REF!</v>
      </c>
      <c r="Q18" s="29" t="e">
        <f t="shared" si="0"/>
        <v>#REF!</v>
      </c>
      <c r="R18" s="30" t="e">
        <f>SUMIF(#REF!,'실행예산서 갑지'!$M18,#REF!)</f>
        <v>#REF!</v>
      </c>
      <c r="S18" s="31">
        <f t="shared" si="1"/>
        <v>0</v>
      </c>
      <c r="T18" s="30" t="e">
        <f>SUMIF(#REF!,'실행예산서 갑지'!$M18,#REF!)</f>
        <v>#REF!</v>
      </c>
      <c r="U18" s="31">
        <f t="shared" si="2"/>
        <v>0</v>
      </c>
      <c r="V18" s="38" t="e">
        <f t="shared" si="7"/>
        <v>#REF!</v>
      </c>
      <c r="W18" s="31">
        <f t="shared" si="8"/>
        <v>0</v>
      </c>
      <c r="X18" s="32"/>
      <c r="Y18" s="31">
        <f t="shared" si="5"/>
        <v>0</v>
      </c>
      <c r="Z18" s="33"/>
      <c r="AA18" s="22">
        <f t="shared" si="6"/>
        <v>0</v>
      </c>
      <c r="AC18" s="23"/>
      <c r="AD18" s="45"/>
      <c r="AE18" s="45"/>
      <c r="AF18" s="45"/>
    </row>
    <row r="19" spans="1:35" ht="25.2" customHeight="1" x14ac:dyDescent="0.4">
      <c r="A19" s="467"/>
      <c r="B19" s="468" t="s">
        <v>73</v>
      </c>
      <c r="C19" s="469"/>
      <c r="D19" s="469"/>
      <c r="E19" s="469"/>
      <c r="F19" s="469"/>
      <c r="G19" s="469"/>
      <c r="H19" s="469"/>
      <c r="I19" s="470"/>
      <c r="J19" s="26"/>
      <c r="K19" s="26"/>
      <c r="L19" s="46"/>
      <c r="M19" s="41" t="s">
        <v>287</v>
      </c>
      <c r="N19" s="42"/>
      <c r="O19" s="43"/>
      <c r="P19" s="28" t="e">
        <f>SUMIF(#REF!,'실행예산서 갑지'!$M19,#REF!)</f>
        <v>#REF!</v>
      </c>
      <c r="Q19" s="29" t="e">
        <f t="shared" si="0"/>
        <v>#REF!</v>
      </c>
      <c r="R19" s="30" t="e">
        <f>SUMIF(#REF!,'실행예산서 갑지'!$M19,#REF!)</f>
        <v>#REF!</v>
      </c>
      <c r="S19" s="31">
        <f t="shared" si="1"/>
        <v>0</v>
      </c>
      <c r="T19" s="30" t="e">
        <f>SUMIF(#REF!,'실행예산서 갑지'!$M19,#REF!)</f>
        <v>#REF!</v>
      </c>
      <c r="U19" s="31">
        <f t="shared" si="2"/>
        <v>0</v>
      </c>
      <c r="V19" s="38" t="e">
        <f t="shared" si="7"/>
        <v>#REF!</v>
      </c>
      <c r="W19" s="31">
        <f t="shared" si="8"/>
        <v>0</v>
      </c>
      <c r="X19" s="32"/>
      <c r="Y19" s="31">
        <f t="shared" si="5"/>
        <v>0</v>
      </c>
      <c r="Z19" s="33"/>
      <c r="AA19" s="22">
        <f t="shared" si="6"/>
        <v>0</v>
      </c>
      <c r="AC19" s="23"/>
      <c r="AD19" s="45"/>
      <c r="AE19" s="45"/>
      <c r="AF19" s="45"/>
    </row>
    <row r="20" spans="1:35" ht="25.2" customHeight="1" x14ac:dyDescent="0.4">
      <c r="A20" s="428"/>
      <c r="B20" s="468" t="s">
        <v>74</v>
      </c>
      <c r="C20" s="469"/>
      <c r="D20" s="469"/>
      <c r="E20" s="469"/>
      <c r="F20" s="469"/>
      <c r="G20" s="469"/>
      <c r="H20" s="469"/>
      <c r="I20" s="470"/>
      <c r="J20" s="26"/>
      <c r="K20" s="26"/>
      <c r="L20" s="46"/>
      <c r="M20" s="41" t="s">
        <v>47</v>
      </c>
      <c r="N20" s="42"/>
      <c r="O20" s="43"/>
      <c r="P20" s="28" t="e">
        <f>SUMIF(#REF!,'실행예산서 갑지'!$M20,#REF!)</f>
        <v>#REF!</v>
      </c>
      <c r="Q20" s="29" t="e">
        <f t="shared" si="0"/>
        <v>#REF!</v>
      </c>
      <c r="R20" s="30" t="e">
        <f>SUMIF(#REF!,'실행예산서 갑지'!$M20,#REF!)</f>
        <v>#REF!</v>
      </c>
      <c r="S20" s="31">
        <f t="shared" si="1"/>
        <v>0</v>
      </c>
      <c r="T20" s="30" t="e">
        <f>SUMIF(#REF!,'실행예산서 갑지'!$M20,#REF!)</f>
        <v>#REF!</v>
      </c>
      <c r="U20" s="31">
        <f t="shared" si="2"/>
        <v>0</v>
      </c>
      <c r="V20" s="38" t="e">
        <f t="shared" si="7"/>
        <v>#REF!</v>
      </c>
      <c r="W20" s="31">
        <f t="shared" si="8"/>
        <v>0</v>
      </c>
      <c r="X20" s="32"/>
      <c r="Y20" s="31">
        <f t="shared" si="5"/>
        <v>0</v>
      </c>
      <c r="Z20" s="33"/>
      <c r="AA20" s="22">
        <f t="shared" si="6"/>
        <v>0</v>
      </c>
      <c r="AC20" s="23"/>
      <c r="AD20" s="45"/>
      <c r="AE20" s="45"/>
      <c r="AF20" s="45"/>
    </row>
    <row r="21" spans="1:35" ht="25.2" customHeight="1" x14ac:dyDescent="0.4">
      <c r="A21" s="461" t="s">
        <v>48</v>
      </c>
      <c r="B21" s="466" t="s">
        <v>71</v>
      </c>
      <c r="C21" s="435"/>
      <c r="D21" s="435"/>
      <c r="E21" s="435"/>
      <c r="F21" s="435"/>
      <c r="G21" s="435"/>
      <c r="H21" s="435"/>
      <c r="I21" s="436"/>
      <c r="J21" s="26"/>
      <c r="K21" s="26"/>
      <c r="L21" s="46"/>
      <c r="M21" s="41" t="s">
        <v>49</v>
      </c>
      <c r="N21" s="48"/>
      <c r="O21" s="49"/>
      <c r="P21" s="28" t="e">
        <f>SUMIF(#REF!,'실행예산서 갑지'!$M21,#REF!)</f>
        <v>#REF!</v>
      </c>
      <c r="Q21" s="29" t="e">
        <f t="shared" si="0"/>
        <v>#REF!</v>
      </c>
      <c r="R21" s="30" t="e">
        <f>SUMIF(#REF!,'실행예산서 갑지'!$M21,#REF!)</f>
        <v>#REF!</v>
      </c>
      <c r="S21" s="31">
        <f t="shared" si="1"/>
        <v>0</v>
      </c>
      <c r="T21" s="30" t="e">
        <f>SUMIF(#REF!,'실행예산서 갑지'!$M21,#REF!)</f>
        <v>#REF!</v>
      </c>
      <c r="U21" s="31">
        <f t="shared" si="2"/>
        <v>0</v>
      </c>
      <c r="V21" s="38" t="e">
        <f t="shared" si="7"/>
        <v>#REF!</v>
      </c>
      <c r="W21" s="31">
        <f t="shared" si="8"/>
        <v>0</v>
      </c>
      <c r="X21" s="32"/>
      <c r="Y21" s="31">
        <f t="shared" si="5"/>
        <v>0</v>
      </c>
      <c r="Z21" s="33"/>
      <c r="AA21" s="22">
        <f t="shared" si="6"/>
        <v>0</v>
      </c>
      <c r="AC21" s="23"/>
      <c r="AD21" s="476"/>
      <c r="AE21" s="476"/>
      <c r="AF21" s="476"/>
      <c r="AG21" s="476"/>
      <c r="AH21" s="353"/>
      <c r="AI21" s="353"/>
    </row>
    <row r="22" spans="1:35" ht="25.2" customHeight="1" x14ac:dyDescent="0.4">
      <c r="A22" s="462"/>
      <c r="B22" s="437" t="s">
        <v>67</v>
      </c>
      <c r="C22" s="438"/>
      <c r="D22" s="438"/>
      <c r="E22" s="438"/>
      <c r="F22" s="438"/>
      <c r="G22" s="438"/>
      <c r="H22" s="438"/>
      <c r="I22" s="439"/>
      <c r="J22" s="26"/>
      <c r="K22" s="26"/>
      <c r="L22" s="46"/>
      <c r="M22" s="41" t="s">
        <v>50</v>
      </c>
      <c r="N22" s="48"/>
      <c r="O22" s="49"/>
      <c r="P22" s="28" t="e">
        <f>SUMIF(#REF!,'실행예산서 갑지'!$M22,#REF!)</f>
        <v>#REF!</v>
      </c>
      <c r="Q22" s="29" t="e">
        <f t="shared" si="0"/>
        <v>#REF!</v>
      </c>
      <c r="R22" s="30" t="e">
        <f>SUMIF(#REF!,'실행예산서 갑지'!$M22,#REF!)</f>
        <v>#REF!</v>
      </c>
      <c r="S22" s="31">
        <f t="shared" si="1"/>
        <v>0</v>
      </c>
      <c r="T22" s="30" t="e">
        <f>SUMIF(#REF!,'실행예산서 갑지'!$M22,#REF!)</f>
        <v>#REF!</v>
      </c>
      <c r="U22" s="31">
        <f t="shared" si="2"/>
        <v>0</v>
      </c>
      <c r="V22" s="38" t="e">
        <f t="shared" si="7"/>
        <v>#REF!</v>
      </c>
      <c r="W22" s="31">
        <f t="shared" si="8"/>
        <v>0</v>
      </c>
      <c r="X22" s="32"/>
      <c r="Y22" s="31">
        <f t="shared" si="5"/>
        <v>0</v>
      </c>
      <c r="Z22" s="33"/>
      <c r="AA22" s="22">
        <f t="shared" si="6"/>
        <v>0</v>
      </c>
      <c r="AC22" s="23"/>
      <c r="AD22" s="45"/>
      <c r="AE22" s="45"/>
      <c r="AF22" s="45"/>
    </row>
    <row r="23" spans="1:35" ht="25.2" customHeight="1" x14ac:dyDescent="0.4">
      <c r="A23" s="462"/>
      <c r="B23" s="437" t="s">
        <v>75</v>
      </c>
      <c r="C23" s="438"/>
      <c r="D23" s="438"/>
      <c r="E23" s="438"/>
      <c r="F23" s="438"/>
      <c r="G23" s="438"/>
      <c r="H23" s="438"/>
      <c r="I23" s="439"/>
      <c r="J23" s="26"/>
      <c r="K23" s="26"/>
      <c r="L23" s="46"/>
      <c r="M23" s="41" t="s">
        <v>51</v>
      </c>
      <c r="N23" s="48"/>
      <c r="O23" s="49"/>
      <c r="P23" s="28" t="e">
        <f>SUMIF(#REF!,'실행예산서 갑지'!$M23,#REF!)</f>
        <v>#REF!</v>
      </c>
      <c r="Q23" s="29" t="e">
        <f t="shared" si="0"/>
        <v>#REF!</v>
      </c>
      <c r="R23" s="30" t="e">
        <f>SUMIF(#REF!,'실행예산서 갑지'!$M23,#REF!)</f>
        <v>#REF!</v>
      </c>
      <c r="S23" s="31">
        <f t="shared" si="1"/>
        <v>0</v>
      </c>
      <c r="T23" s="30" t="e">
        <f>SUMIF(#REF!,'실행예산서 갑지'!$M23,#REF!)</f>
        <v>#REF!</v>
      </c>
      <c r="U23" s="31">
        <f t="shared" si="2"/>
        <v>0</v>
      </c>
      <c r="V23" s="38" t="e">
        <f t="shared" si="7"/>
        <v>#REF!</v>
      </c>
      <c r="W23" s="31">
        <f t="shared" si="8"/>
        <v>0</v>
      </c>
      <c r="X23" s="32"/>
      <c r="Y23" s="31">
        <f t="shared" si="5"/>
        <v>0</v>
      </c>
      <c r="Z23" s="33"/>
      <c r="AA23" s="22">
        <f t="shared" si="6"/>
        <v>0</v>
      </c>
      <c r="AC23" s="23"/>
      <c r="AD23" s="45"/>
      <c r="AE23" s="45"/>
      <c r="AF23" s="45"/>
    </row>
    <row r="24" spans="1:35" ht="25.2" customHeight="1" x14ac:dyDescent="0.4">
      <c r="A24" s="463"/>
      <c r="B24" s="440" t="s">
        <v>52</v>
      </c>
      <c r="C24" s="441"/>
      <c r="D24" s="441"/>
      <c r="E24" s="441"/>
      <c r="F24" s="441"/>
      <c r="G24" s="441"/>
      <c r="H24" s="441"/>
      <c r="I24" s="442"/>
      <c r="J24" s="26"/>
      <c r="K24" s="26"/>
      <c r="L24" s="46"/>
      <c r="M24" s="41" t="s">
        <v>53</v>
      </c>
      <c r="N24" s="48"/>
      <c r="O24" s="49"/>
      <c r="P24" s="28" t="e">
        <f>SUMIF(#REF!,'실행예산서 갑지'!$M24,#REF!)</f>
        <v>#REF!</v>
      </c>
      <c r="Q24" s="29" t="e">
        <f t="shared" si="0"/>
        <v>#REF!</v>
      </c>
      <c r="R24" s="30" t="e">
        <f>SUMIF(#REF!,'실행예산서 갑지'!$M24,#REF!)</f>
        <v>#REF!</v>
      </c>
      <c r="S24" s="31">
        <f t="shared" si="1"/>
        <v>0</v>
      </c>
      <c r="T24" s="30" t="e">
        <f>SUMIF(#REF!,'실행예산서 갑지'!$M24,#REF!)</f>
        <v>#REF!</v>
      </c>
      <c r="U24" s="31">
        <f t="shared" si="2"/>
        <v>0</v>
      </c>
      <c r="V24" s="38" t="e">
        <f t="shared" si="7"/>
        <v>#REF!</v>
      </c>
      <c r="W24" s="31">
        <f t="shared" si="8"/>
        <v>0</v>
      </c>
      <c r="X24" s="32"/>
      <c r="Y24" s="31">
        <f t="shared" si="5"/>
        <v>0</v>
      </c>
      <c r="Z24" s="33"/>
      <c r="AA24" s="22">
        <f t="shared" si="6"/>
        <v>0</v>
      </c>
      <c r="AC24" s="23"/>
      <c r="AD24" s="45"/>
      <c r="AE24" s="45"/>
      <c r="AF24" s="45"/>
    </row>
    <row r="25" spans="1:35" ht="25.2" customHeight="1" x14ac:dyDescent="0.4">
      <c r="A25" s="471" t="s">
        <v>54</v>
      </c>
      <c r="B25" s="472" t="s">
        <v>68</v>
      </c>
      <c r="C25" s="473"/>
      <c r="D25" s="473"/>
      <c r="E25" s="473"/>
      <c r="F25" s="473"/>
      <c r="G25" s="473"/>
      <c r="H25" s="473"/>
      <c r="I25" s="474"/>
      <c r="J25" s="26"/>
      <c r="K25" s="26"/>
      <c r="L25" s="46"/>
      <c r="M25" s="41" t="s">
        <v>55</v>
      </c>
      <c r="N25" s="48"/>
      <c r="O25" s="49"/>
      <c r="P25" s="28" t="e">
        <f>SUMIF(#REF!,'실행예산서 갑지'!$M25,#REF!)</f>
        <v>#REF!</v>
      </c>
      <c r="Q25" s="29" t="e">
        <f t="shared" si="0"/>
        <v>#REF!</v>
      </c>
      <c r="R25" s="30" t="e">
        <f>SUMIF(#REF!,'실행예산서 갑지'!$M25,#REF!)</f>
        <v>#REF!</v>
      </c>
      <c r="S25" s="31">
        <f t="shared" si="1"/>
        <v>0</v>
      </c>
      <c r="T25" s="30" t="e">
        <f>SUMIF(#REF!,'실행예산서 갑지'!$M25,#REF!)</f>
        <v>#REF!</v>
      </c>
      <c r="U25" s="31">
        <f t="shared" si="2"/>
        <v>0</v>
      </c>
      <c r="V25" s="38" t="e">
        <f t="shared" si="7"/>
        <v>#REF!</v>
      </c>
      <c r="W25" s="31">
        <f t="shared" si="8"/>
        <v>0</v>
      </c>
      <c r="X25" s="32"/>
      <c r="Y25" s="31">
        <f t="shared" si="5"/>
        <v>0</v>
      </c>
      <c r="Z25" s="33"/>
      <c r="AA25" s="22">
        <f t="shared" si="6"/>
        <v>0</v>
      </c>
      <c r="AC25" s="23"/>
      <c r="AD25" s="45"/>
      <c r="AE25" s="45"/>
      <c r="AF25" s="45"/>
    </row>
    <row r="26" spans="1:35" ht="25.2" customHeight="1" x14ac:dyDescent="0.4">
      <c r="A26" s="471"/>
      <c r="B26" s="468" t="s">
        <v>69</v>
      </c>
      <c r="C26" s="469"/>
      <c r="D26" s="469"/>
      <c r="E26" s="469"/>
      <c r="F26" s="469"/>
      <c r="G26" s="469"/>
      <c r="H26" s="469"/>
      <c r="I26" s="470"/>
      <c r="J26" s="26"/>
      <c r="K26" s="26"/>
      <c r="L26" s="46"/>
      <c r="M26" s="41" t="s">
        <v>56</v>
      </c>
      <c r="N26" s="48"/>
      <c r="O26" s="49"/>
      <c r="P26" s="28" t="e">
        <f>SUMIF(#REF!,'실행예산서 갑지'!$M26,#REF!)</f>
        <v>#REF!</v>
      </c>
      <c r="Q26" s="29" t="e">
        <f t="shared" si="0"/>
        <v>#REF!</v>
      </c>
      <c r="R26" s="30" t="e">
        <f>SUMIF(#REF!,'실행예산서 갑지'!$M26,#REF!)</f>
        <v>#REF!</v>
      </c>
      <c r="S26" s="31">
        <f t="shared" si="1"/>
        <v>0</v>
      </c>
      <c r="T26" s="30" t="e">
        <f>SUMIF(#REF!,'실행예산서 갑지'!$M26,#REF!)</f>
        <v>#REF!</v>
      </c>
      <c r="U26" s="31">
        <f t="shared" si="2"/>
        <v>0</v>
      </c>
      <c r="V26" s="38" t="e">
        <f t="shared" si="7"/>
        <v>#REF!</v>
      </c>
      <c r="W26" s="31">
        <f t="shared" si="8"/>
        <v>0</v>
      </c>
      <c r="X26" s="32"/>
      <c r="Y26" s="31">
        <f t="shared" si="5"/>
        <v>0</v>
      </c>
      <c r="Z26" s="33"/>
      <c r="AA26" s="22">
        <f t="shared" si="6"/>
        <v>0</v>
      </c>
      <c r="AC26" s="23"/>
      <c r="AD26" s="50"/>
      <c r="AE26" s="45"/>
      <c r="AF26" s="45"/>
    </row>
    <row r="27" spans="1:35" ht="25.2" customHeight="1" x14ac:dyDescent="0.4">
      <c r="A27" s="471"/>
      <c r="B27" s="454" t="s">
        <v>70</v>
      </c>
      <c r="C27" s="455"/>
      <c r="D27" s="455"/>
      <c r="E27" s="455"/>
      <c r="F27" s="455"/>
      <c r="G27" s="455"/>
      <c r="H27" s="455"/>
      <c r="I27" s="456"/>
      <c r="J27" s="26"/>
      <c r="K27" s="51"/>
      <c r="L27" s="46"/>
      <c r="M27" s="41" t="s">
        <v>57</v>
      </c>
      <c r="N27" s="42"/>
      <c r="O27" s="43"/>
      <c r="P27" s="28" t="e">
        <f>SUMIF(#REF!,'실행예산서 갑지'!$M27,#REF!)</f>
        <v>#REF!</v>
      </c>
      <c r="Q27" s="29" t="e">
        <f t="shared" si="0"/>
        <v>#REF!</v>
      </c>
      <c r="R27" s="30" t="e">
        <f>SUMIF(#REF!,'실행예산서 갑지'!$M27,#REF!)</f>
        <v>#REF!</v>
      </c>
      <c r="S27" s="31">
        <f t="shared" si="1"/>
        <v>0</v>
      </c>
      <c r="T27" s="30" t="e">
        <f>SUMIF(#REF!,'실행예산서 갑지'!$M27,#REF!)</f>
        <v>#REF!</v>
      </c>
      <c r="U27" s="31">
        <f t="shared" si="2"/>
        <v>0</v>
      </c>
      <c r="V27" s="38" t="e">
        <f t="shared" si="7"/>
        <v>#REF!</v>
      </c>
      <c r="W27" s="31">
        <f t="shared" si="8"/>
        <v>0</v>
      </c>
      <c r="X27" s="32"/>
      <c r="Y27" s="31">
        <f t="shared" si="5"/>
        <v>0</v>
      </c>
      <c r="Z27" s="33"/>
      <c r="AA27" s="22">
        <f t="shared" si="6"/>
        <v>0</v>
      </c>
      <c r="AC27" s="23"/>
      <c r="AD27" s="45"/>
      <c r="AE27" s="45"/>
      <c r="AF27" s="45"/>
    </row>
    <row r="28" spans="1:35" ht="25.2" customHeight="1" x14ac:dyDescent="0.4">
      <c r="A28" s="464" t="s">
        <v>58</v>
      </c>
      <c r="B28" s="465" t="s">
        <v>76</v>
      </c>
      <c r="C28" s="465"/>
      <c r="D28" s="465"/>
      <c r="E28" s="465"/>
      <c r="F28" s="465"/>
      <c r="G28" s="465"/>
      <c r="H28" s="465"/>
      <c r="I28" s="465"/>
      <c r="J28" s="26"/>
      <c r="K28" s="460" t="s">
        <v>59</v>
      </c>
      <c r="L28" s="418"/>
      <c r="M28" s="418"/>
      <c r="N28" s="418"/>
      <c r="O28" s="419"/>
      <c r="P28" s="37">
        <f>P$30*Q$28</f>
        <v>49449999.999999993</v>
      </c>
      <c r="Q28" s="29">
        <v>4.2999999999999997E-2</v>
      </c>
      <c r="R28" s="38" t="e">
        <f>#REF!</f>
        <v>#REF!</v>
      </c>
      <c r="S28" s="31">
        <f t="shared" si="1"/>
        <v>0</v>
      </c>
      <c r="T28" s="38" t="e">
        <f>#REF!</f>
        <v>#REF!</v>
      </c>
      <c r="U28" s="31">
        <f t="shared" si="2"/>
        <v>0</v>
      </c>
      <c r="V28" s="38" t="e">
        <f>T28-R28</f>
        <v>#REF!</v>
      </c>
      <c r="W28" s="31">
        <f t="shared" si="8"/>
        <v>0</v>
      </c>
      <c r="X28" s="32"/>
      <c r="Y28" s="31">
        <f t="shared" si="5"/>
        <v>0</v>
      </c>
      <c r="Z28" s="33"/>
      <c r="AA28" s="22">
        <f t="shared" si="6"/>
        <v>0</v>
      </c>
      <c r="AC28" s="23"/>
    </row>
    <row r="29" spans="1:35" ht="25.2" customHeight="1" x14ac:dyDescent="0.4">
      <c r="A29" s="464"/>
      <c r="B29" s="465"/>
      <c r="C29" s="465"/>
      <c r="D29" s="465"/>
      <c r="E29" s="465"/>
      <c r="F29" s="465"/>
      <c r="G29" s="465"/>
      <c r="H29" s="465"/>
      <c r="I29" s="465"/>
      <c r="J29" s="392" t="s">
        <v>60</v>
      </c>
      <c r="K29" s="425"/>
      <c r="L29" s="425"/>
      <c r="M29" s="425"/>
      <c r="N29" s="425"/>
      <c r="O29" s="393"/>
      <c r="P29" s="52" t="e">
        <f>P30-P6</f>
        <v>#REF!</v>
      </c>
      <c r="Q29" s="29" t="e">
        <f>P29/P$30</f>
        <v>#REF!</v>
      </c>
      <c r="R29" s="32" t="e">
        <f>R30-R6</f>
        <v>#REF!</v>
      </c>
      <c r="S29" s="31">
        <f t="shared" si="1"/>
        <v>0</v>
      </c>
      <c r="T29" s="32" t="e">
        <f>T30-T6</f>
        <v>#REF!</v>
      </c>
      <c r="U29" s="31">
        <f t="shared" si="2"/>
        <v>0</v>
      </c>
      <c r="V29" s="38" t="e">
        <f t="shared" ref="V29:V32" si="9">T29-R29</f>
        <v>#REF!</v>
      </c>
      <c r="W29" s="31">
        <f t="shared" si="8"/>
        <v>0</v>
      </c>
      <c r="X29" s="32">
        <f>X30-X6</f>
        <v>0</v>
      </c>
      <c r="Y29" s="31">
        <f t="shared" si="5"/>
        <v>0</v>
      </c>
      <c r="Z29" s="33"/>
      <c r="AA29" s="53" t="e">
        <f>S29-Q29</f>
        <v>#REF!</v>
      </c>
      <c r="AC29" s="23"/>
      <c r="AG29" s="54"/>
      <c r="AH29" s="54"/>
      <c r="AI29" s="54"/>
    </row>
    <row r="30" spans="1:35" ht="25.2" customHeight="1" x14ac:dyDescent="0.4">
      <c r="A30" s="464"/>
      <c r="B30" s="465"/>
      <c r="C30" s="465"/>
      <c r="D30" s="465"/>
      <c r="E30" s="465"/>
      <c r="F30" s="465"/>
      <c r="G30" s="465"/>
      <c r="H30" s="465"/>
      <c r="I30" s="465"/>
      <c r="J30" s="457" t="s">
        <v>61</v>
      </c>
      <c r="K30" s="458"/>
      <c r="L30" s="458"/>
      <c r="M30" s="458"/>
      <c r="N30" s="458"/>
      <c r="O30" s="459"/>
      <c r="P30" s="360">
        <v>1150000000</v>
      </c>
      <c r="Q30" s="55">
        <f>P30/P$30</f>
        <v>1</v>
      </c>
      <c r="R30" s="32">
        <v>935530000</v>
      </c>
      <c r="S30" s="56">
        <f t="shared" si="1"/>
        <v>1</v>
      </c>
      <c r="T30" s="32">
        <v>935530000</v>
      </c>
      <c r="U30" s="56">
        <f t="shared" si="2"/>
        <v>1</v>
      </c>
      <c r="V30" s="38">
        <f t="shared" si="9"/>
        <v>0</v>
      </c>
      <c r="W30" s="31">
        <f t="shared" si="8"/>
        <v>0</v>
      </c>
      <c r="X30" s="32">
        <v>0</v>
      </c>
      <c r="Y30" s="56">
        <f t="shared" si="5"/>
        <v>0</v>
      </c>
      <c r="Z30" s="33"/>
      <c r="AA30" s="57">
        <f t="shared" ref="AA30:AA32" si="10">S30-Q30</f>
        <v>0</v>
      </c>
      <c r="AC30" s="23"/>
    </row>
    <row r="31" spans="1:35" ht="25.2" customHeight="1" x14ac:dyDescent="0.4">
      <c r="A31" s="464"/>
      <c r="B31" s="465"/>
      <c r="C31" s="465"/>
      <c r="D31" s="465"/>
      <c r="E31" s="465"/>
      <c r="F31" s="465"/>
      <c r="G31" s="465"/>
      <c r="H31" s="465"/>
      <c r="I31" s="465"/>
      <c r="J31" s="457" t="s">
        <v>62</v>
      </c>
      <c r="K31" s="458"/>
      <c r="L31" s="458"/>
      <c r="M31" s="458"/>
      <c r="N31" s="458"/>
      <c r="O31" s="459"/>
      <c r="P31" s="52">
        <f>P30*Q31</f>
        <v>102350000</v>
      </c>
      <c r="Q31" s="29">
        <v>8.8999999999999996E-2</v>
      </c>
      <c r="R31" s="32">
        <v>0</v>
      </c>
      <c r="S31" s="31">
        <v>0</v>
      </c>
      <c r="T31" s="32">
        <v>0</v>
      </c>
      <c r="U31" s="31">
        <v>0</v>
      </c>
      <c r="V31" s="38">
        <f t="shared" si="9"/>
        <v>0</v>
      </c>
      <c r="W31" s="31">
        <f t="shared" si="8"/>
        <v>0</v>
      </c>
      <c r="X31" s="32">
        <f>X30*Y31</f>
        <v>0</v>
      </c>
      <c r="Y31" s="31">
        <v>8.8999999999999996E-2</v>
      </c>
      <c r="Z31" s="33"/>
      <c r="AA31" s="53">
        <f t="shared" si="10"/>
        <v>-8.8999999999999996E-2</v>
      </c>
      <c r="AC31" s="23"/>
    </row>
    <row r="32" spans="1:35" ht="25.2" customHeight="1" x14ac:dyDescent="0.4">
      <c r="A32" s="464"/>
      <c r="B32" s="465"/>
      <c r="C32" s="465"/>
      <c r="D32" s="465"/>
      <c r="E32" s="465"/>
      <c r="F32" s="465"/>
      <c r="G32" s="465"/>
      <c r="H32" s="465"/>
      <c r="I32" s="465"/>
      <c r="J32" s="457" t="s">
        <v>63</v>
      </c>
      <c r="K32" s="458"/>
      <c r="L32" s="458"/>
      <c r="M32" s="458"/>
      <c r="N32" s="458"/>
      <c r="O32" s="459"/>
      <c r="P32" s="58" t="e">
        <f>P29-P31</f>
        <v>#REF!</v>
      </c>
      <c r="Q32" s="29" t="e">
        <f>P32/P$30</f>
        <v>#REF!</v>
      </c>
      <c r="R32" s="59" t="e">
        <f>R29-R31</f>
        <v>#REF!</v>
      </c>
      <c r="S32" s="31">
        <v>0</v>
      </c>
      <c r="T32" s="59" t="e">
        <f>T29-T31</f>
        <v>#REF!</v>
      </c>
      <c r="U32" s="31">
        <v>0</v>
      </c>
      <c r="V32" s="38" t="e">
        <f t="shared" si="9"/>
        <v>#REF!</v>
      </c>
      <c r="W32" s="31">
        <f t="shared" si="8"/>
        <v>0</v>
      </c>
      <c r="X32" s="59">
        <f>X29-X31</f>
        <v>0</v>
      </c>
      <c r="Y32" s="31"/>
      <c r="Z32" s="33"/>
      <c r="AA32" s="53" t="e">
        <f t="shared" si="10"/>
        <v>#REF!</v>
      </c>
      <c r="AC32" s="60"/>
    </row>
    <row r="33" spans="26:38" ht="25.2" customHeight="1" x14ac:dyDescent="0.4">
      <c r="AD33" s="409" t="s">
        <v>77</v>
      </c>
      <c r="AE33" s="409" t="s">
        <v>278</v>
      </c>
      <c r="AF33" s="379"/>
      <c r="AG33" s="382"/>
      <c r="AH33" s="475" t="s">
        <v>279</v>
      </c>
      <c r="AI33" s="409" t="s">
        <v>281</v>
      </c>
      <c r="AJ33" s="409" t="s">
        <v>280</v>
      </c>
    </row>
    <row r="34" spans="26:38" ht="25.2" customHeight="1" x14ac:dyDescent="0.4">
      <c r="Z34" s="354"/>
      <c r="AA34" s="354"/>
      <c r="AB34" s="354"/>
      <c r="AD34" s="409"/>
      <c r="AE34" s="409"/>
      <c r="AF34" s="34" t="s">
        <v>20</v>
      </c>
      <c r="AG34" s="34" t="s">
        <v>282</v>
      </c>
      <c r="AH34" s="404"/>
      <c r="AI34" s="409"/>
      <c r="AJ34" s="409"/>
    </row>
    <row r="35" spans="26:38" ht="25.2" customHeight="1" x14ac:dyDescent="0.4">
      <c r="Z35" s="354"/>
      <c r="AA35" s="354"/>
      <c r="AB35" s="354"/>
      <c r="AD35" s="355" t="s">
        <v>276</v>
      </c>
      <c r="AE35" s="356">
        <v>1150000000</v>
      </c>
      <c r="AF35" s="356">
        <v>998200000</v>
      </c>
      <c r="AG35" s="356">
        <f>AE35*4.3%</f>
        <v>49449999.999999993</v>
      </c>
      <c r="AH35" s="356">
        <f>AF35+AG35</f>
        <v>1047650000</v>
      </c>
      <c r="AI35" s="356">
        <f>AE35*8.9%</f>
        <v>102350000.00000001</v>
      </c>
      <c r="AJ35" s="356">
        <f>AE35-AH35-AI35</f>
        <v>0</v>
      </c>
      <c r="AK35" s="354"/>
      <c r="AL35" s="354"/>
    </row>
    <row r="36" spans="26:38" ht="25.2" customHeight="1" x14ac:dyDescent="0.4">
      <c r="Z36" s="354"/>
      <c r="AA36" s="354"/>
      <c r="AB36" s="354"/>
      <c r="AD36" s="355" t="s">
        <v>277</v>
      </c>
      <c r="AE36" s="356">
        <v>935529999.99999988</v>
      </c>
      <c r="AF36" s="356">
        <v>995626360</v>
      </c>
      <c r="AG36" s="356">
        <f>AE36*4.3%</f>
        <v>40227789.999999993</v>
      </c>
      <c r="AH36" s="356">
        <f>AF36+AG36</f>
        <v>1035854150</v>
      </c>
      <c r="AI36" s="356">
        <f>AE36*8.9%</f>
        <v>83262170</v>
      </c>
      <c r="AJ36" s="357">
        <f>AE36-AH36-AI36</f>
        <v>-183586320.00000012</v>
      </c>
      <c r="AK36" s="354"/>
      <c r="AL36" s="354"/>
    </row>
    <row r="37" spans="26:38" ht="25.2" customHeight="1" x14ac:dyDescent="0.4">
      <c r="Z37" s="354"/>
      <c r="AA37" s="354"/>
      <c r="AB37" s="354"/>
      <c r="AD37" s="3" t="s">
        <v>283</v>
      </c>
      <c r="AE37" s="354"/>
      <c r="AF37" s="354"/>
      <c r="AG37" s="354"/>
      <c r="AH37" s="354"/>
      <c r="AI37" s="354"/>
      <c r="AJ37" s="354"/>
      <c r="AK37" s="354"/>
      <c r="AL37" s="354"/>
    </row>
    <row r="38" spans="26:38" ht="25.2" customHeight="1" x14ac:dyDescent="0.4">
      <c r="Z38" s="354"/>
      <c r="AA38" s="354"/>
      <c r="AB38" s="354"/>
      <c r="AG38" s="354"/>
    </row>
    <row r="39" spans="26:38" ht="25.2" customHeight="1" x14ac:dyDescent="0.4">
      <c r="Z39" s="354"/>
      <c r="AA39" s="354"/>
      <c r="AB39" s="354"/>
      <c r="AG39" s="354"/>
    </row>
    <row r="40" spans="26:38" ht="25.2" customHeight="1" x14ac:dyDescent="0.4"/>
    <row r="41" spans="26:38" ht="25.2" customHeight="1" x14ac:dyDescent="0.4"/>
    <row r="42" spans="26:38" ht="25.2" customHeight="1" x14ac:dyDescent="0.4"/>
    <row r="43" spans="26:38" ht="25.2" customHeight="1" x14ac:dyDescent="0.4"/>
    <row r="44" spans="26:38" ht="25.2" customHeight="1" x14ac:dyDescent="0.4"/>
    <row r="45" spans="26:38" ht="25.2" customHeight="1" x14ac:dyDescent="0.4"/>
    <row r="46" spans="26:38" ht="25.2" customHeight="1" x14ac:dyDescent="0.4"/>
    <row r="47" spans="26:38" ht="23.1" customHeight="1" x14ac:dyDescent="0.4"/>
    <row r="48" spans="26:38" ht="23.1" customHeight="1" x14ac:dyDescent="0.4"/>
    <row r="49" ht="23.1" customHeight="1" x14ac:dyDescent="0.4"/>
    <row r="50" ht="23.1" customHeight="1" x14ac:dyDescent="0.4"/>
    <row r="51" ht="23.1" customHeight="1" x14ac:dyDescent="0.4"/>
    <row r="52" ht="23.1" customHeight="1" x14ac:dyDescent="0.4"/>
    <row r="53" ht="23.1" customHeight="1" x14ac:dyDescent="0.4"/>
    <row r="54" ht="23.1" customHeight="1" x14ac:dyDescent="0.4"/>
    <row r="55" ht="23.1" customHeight="1" x14ac:dyDescent="0.4"/>
    <row r="56" ht="23.1" customHeight="1" x14ac:dyDescent="0.4"/>
    <row r="57" ht="23.1" customHeight="1" x14ac:dyDescent="0.4"/>
    <row r="58" ht="23.1" customHeight="1" x14ac:dyDescent="0.4"/>
    <row r="59" ht="23.1" customHeight="1" x14ac:dyDescent="0.4"/>
    <row r="60" ht="23.1" customHeight="1" x14ac:dyDescent="0.4"/>
    <row r="61" ht="23.1" customHeight="1" x14ac:dyDescent="0.4"/>
    <row r="62" ht="23.1" customHeight="1" x14ac:dyDescent="0.4"/>
    <row r="63" ht="23.1" customHeight="1" x14ac:dyDescent="0.4"/>
    <row r="64" ht="23.1" customHeight="1" x14ac:dyDescent="0.4"/>
    <row r="65" ht="23.1" customHeight="1" x14ac:dyDescent="0.4"/>
    <row r="66" ht="23.1" customHeight="1" x14ac:dyDescent="0.4"/>
    <row r="67" ht="23.1" customHeight="1" x14ac:dyDescent="0.4"/>
    <row r="68" ht="23.1" customHeight="1" x14ac:dyDescent="0.4"/>
    <row r="69" ht="23.1" customHeight="1" x14ac:dyDescent="0.4"/>
    <row r="70" ht="23.1" customHeight="1" x14ac:dyDescent="0.4"/>
    <row r="71" ht="23.1" customHeight="1" x14ac:dyDescent="0.4"/>
    <row r="72" ht="23.1" customHeight="1" x14ac:dyDescent="0.4"/>
  </sheetData>
  <mergeCells count="74">
    <mergeCell ref="U4:U5"/>
    <mergeCell ref="AE33:AE34"/>
    <mergeCell ref="AD33:AD34"/>
    <mergeCell ref="AI33:AI34"/>
    <mergeCell ref="AJ33:AJ34"/>
    <mergeCell ref="AH33:AH34"/>
    <mergeCell ref="AF33:AG33"/>
    <mergeCell ref="AD21:AG21"/>
    <mergeCell ref="A12:A16"/>
    <mergeCell ref="C12:E12"/>
    <mergeCell ref="F12:F16"/>
    <mergeCell ref="H12:I12"/>
    <mergeCell ref="A28:A32"/>
    <mergeCell ref="B28:I32"/>
    <mergeCell ref="A21:A24"/>
    <mergeCell ref="B21:I21"/>
    <mergeCell ref="A17:A20"/>
    <mergeCell ref="B17:I17"/>
    <mergeCell ref="B18:I18"/>
    <mergeCell ref="B19:I19"/>
    <mergeCell ref="B20:I20"/>
    <mergeCell ref="A25:A27"/>
    <mergeCell ref="B25:I25"/>
    <mergeCell ref="B26:I26"/>
    <mergeCell ref="B27:I27"/>
    <mergeCell ref="J32:O32"/>
    <mergeCell ref="K28:O28"/>
    <mergeCell ref="J29:O29"/>
    <mergeCell ref="J30:O30"/>
    <mergeCell ref="J31:O31"/>
    <mergeCell ref="C13:E13"/>
    <mergeCell ref="H13:I13"/>
    <mergeCell ref="C14:E14"/>
    <mergeCell ref="H14:I14"/>
    <mergeCell ref="C15:E15"/>
    <mergeCell ref="H15:I15"/>
    <mergeCell ref="B22:I22"/>
    <mergeCell ref="B23:I23"/>
    <mergeCell ref="B24:I24"/>
    <mergeCell ref="C16:E16"/>
    <mergeCell ref="H16:I16"/>
    <mergeCell ref="A10:A11"/>
    <mergeCell ref="C10:E10"/>
    <mergeCell ref="G10:I10"/>
    <mergeCell ref="L10:O10"/>
    <mergeCell ref="C11:E11"/>
    <mergeCell ref="G11:I11"/>
    <mergeCell ref="K7:O7"/>
    <mergeCell ref="L8:O8"/>
    <mergeCell ref="C9:E9"/>
    <mergeCell ref="F4:G6"/>
    <mergeCell ref="H4:I6"/>
    <mergeCell ref="L9:O9"/>
    <mergeCell ref="A7:A9"/>
    <mergeCell ref="B7:B8"/>
    <mergeCell ref="C7:E8"/>
    <mergeCell ref="F7:F9"/>
    <mergeCell ref="G7:I9"/>
    <mergeCell ref="A1:AA1"/>
    <mergeCell ref="Z2:AA2"/>
    <mergeCell ref="A3:A6"/>
    <mergeCell ref="B3:C3"/>
    <mergeCell ref="D3:E3"/>
    <mergeCell ref="F3:G3"/>
    <mergeCell ref="H3:I3"/>
    <mergeCell ref="J3:O5"/>
    <mergeCell ref="B4:C6"/>
    <mergeCell ref="D4:E6"/>
    <mergeCell ref="AA4:AA5"/>
    <mergeCell ref="J6:O6"/>
    <mergeCell ref="Q4:Q5"/>
    <mergeCell ref="S4:S5"/>
    <mergeCell ref="W4:W5"/>
    <mergeCell ref="Y4:Y5"/>
  </mergeCells>
  <phoneticPr fontId="2" type="noConversion"/>
  <conditionalFormatting sqref="P1:P1048576">
    <cfRule type="cellIs" dxfId="5" priority="20" operator="lessThan">
      <formula>0</formula>
    </cfRule>
  </conditionalFormatting>
  <conditionalFormatting sqref="R1:R1048576">
    <cfRule type="cellIs" dxfId="4" priority="17" operator="lessThan">
      <formula>0</formula>
    </cfRule>
  </conditionalFormatting>
  <conditionalFormatting sqref="T1:T1048576">
    <cfRule type="cellIs" dxfId="3" priority="3" operator="lessThan">
      <formula>0</formula>
    </cfRule>
  </conditionalFormatting>
  <conditionalFormatting sqref="V1:V1048576">
    <cfRule type="cellIs" dxfId="2" priority="1" operator="lessThan">
      <formula>0</formula>
    </cfRule>
  </conditionalFormatting>
  <conditionalFormatting sqref="X1:X1048576">
    <cfRule type="cellIs" dxfId="1" priority="15" operator="lessThan">
      <formula>0</formula>
    </cfRule>
  </conditionalFormatting>
  <conditionalFormatting sqref="Z1:Z1048576">
    <cfRule type="cellIs" dxfId="0" priority="14" operator="lessThan">
      <formula>0</formula>
    </cfRule>
  </conditionalFormatting>
  <printOptions horizontalCentered="1"/>
  <pageMargins left="0.35433070866141736" right="0.23622047244094491" top="0.70866141732283472" bottom="0.59055118110236227" header="0.19685039370078741" footer="0.19685039370078741"/>
  <pageSetup paperSize="9" scale="62" orientation="landscape" r:id="rId1"/>
  <headerFooter alignWithMargins="0">
    <oddFooter>&amp;L&amp;P&amp;R&amp;"맑은 고딕,굵게"ECOPROHN
&amp;KFF0000Confidential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614C0-4A40-485C-B497-7C3001F9AC25}">
  <dimension ref="A1:BS78"/>
  <sheetViews>
    <sheetView topLeftCell="A19" workbookViewId="0">
      <selection activeCell="BO30" sqref="BO30"/>
    </sheetView>
  </sheetViews>
  <sheetFormatPr defaultColWidth="9" defaultRowHeight="15.6" x14ac:dyDescent="0.4"/>
  <cols>
    <col min="1" max="1" width="1.19921875" style="62" customWidth="1"/>
    <col min="2" max="65" width="1.19921875" style="364" customWidth="1"/>
    <col min="66" max="66" width="9" style="62"/>
    <col min="67" max="67" width="11.5" style="62" bestFit="1" customWidth="1"/>
    <col min="68" max="68" width="9" style="62"/>
    <col min="69" max="69" width="11.5" style="62" bestFit="1" customWidth="1"/>
    <col min="70" max="16384" width="9" style="62"/>
  </cols>
  <sheetData>
    <row r="1" spans="1:65" x14ac:dyDescent="0.4">
      <c r="B1" s="543" t="s">
        <v>305</v>
      </c>
      <c r="C1" s="544"/>
      <c r="D1" s="544"/>
      <c r="E1" s="544"/>
      <c r="F1" s="544"/>
      <c r="G1" s="544"/>
      <c r="H1" s="544"/>
      <c r="I1" s="544"/>
      <c r="J1" s="544"/>
      <c r="K1" s="544"/>
      <c r="L1" s="544"/>
      <c r="M1" s="544"/>
      <c r="N1" s="544"/>
      <c r="O1" s="544"/>
      <c r="P1" s="544"/>
      <c r="Q1" s="544"/>
      <c r="R1" s="544"/>
      <c r="S1" s="544"/>
      <c r="T1" s="544"/>
      <c r="U1" s="544"/>
      <c r="V1" s="544"/>
      <c r="W1" s="544"/>
      <c r="X1" s="544"/>
      <c r="Y1" s="544"/>
      <c r="Z1" s="544"/>
      <c r="AA1" s="544"/>
      <c r="AB1" s="544"/>
      <c r="AC1" s="544"/>
      <c r="AD1" s="544"/>
      <c r="AE1" s="544"/>
      <c r="AF1" s="544"/>
      <c r="AG1" s="544"/>
      <c r="AH1" s="544"/>
      <c r="AI1" s="544"/>
      <c r="AJ1" s="544"/>
      <c r="AK1" s="544"/>
      <c r="AL1" s="544"/>
      <c r="AM1" s="544"/>
      <c r="AN1" s="544"/>
      <c r="AO1" s="544"/>
      <c r="AP1" s="544"/>
      <c r="AQ1" s="544"/>
      <c r="AR1" s="544"/>
      <c r="AS1" s="544"/>
      <c r="AT1" s="544"/>
      <c r="AU1" s="544"/>
      <c r="AV1" s="544"/>
      <c r="AW1" s="544"/>
      <c r="AX1" s="544"/>
      <c r="AY1" s="544"/>
      <c r="AZ1" s="544"/>
      <c r="BA1" s="544"/>
      <c r="BB1" s="544"/>
      <c r="BC1" s="544"/>
      <c r="BD1" s="544"/>
      <c r="BE1" s="544"/>
      <c r="BF1" s="544"/>
      <c r="BG1" s="544"/>
      <c r="BH1" s="544"/>
      <c r="BI1" s="544"/>
      <c r="BJ1" s="544"/>
      <c r="BK1" s="544"/>
      <c r="BL1" s="544"/>
      <c r="BM1" s="545"/>
    </row>
    <row r="2" spans="1:65" ht="15" customHeight="1" x14ac:dyDescent="0.4">
      <c r="A2" s="364">
        <v>1</v>
      </c>
      <c r="B2" s="364">
        <v>1</v>
      </c>
      <c r="C2" s="364">
        <v>1</v>
      </c>
      <c r="D2" s="364">
        <v>1</v>
      </c>
      <c r="E2" s="364">
        <v>1</v>
      </c>
      <c r="F2" s="364">
        <v>1</v>
      </c>
      <c r="G2" s="364">
        <v>1</v>
      </c>
      <c r="H2" s="364">
        <v>1</v>
      </c>
      <c r="I2" s="364">
        <v>1</v>
      </c>
      <c r="J2" s="364">
        <v>1</v>
      </c>
      <c r="K2" s="364">
        <v>1</v>
      </c>
      <c r="L2" s="364">
        <v>1</v>
      </c>
      <c r="M2" s="364">
        <v>1</v>
      </c>
      <c r="N2" s="364">
        <v>1</v>
      </c>
      <c r="O2" s="364">
        <v>1</v>
      </c>
      <c r="P2" s="364">
        <v>1</v>
      </c>
      <c r="Q2" s="364">
        <v>1</v>
      </c>
      <c r="R2" s="364">
        <v>1</v>
      </c>
      <c r="S2" s="364">
        <v>1</v>
      </c>
      <c r="T2" s="364">
        <v>1</v>
      </c>
      <c r="U2" s="364">
        <v>1</v>
      </c>
      <c r="V2" s="364">
        <v>1</v>
      </c>
      <c r="W2" s="364">
        <v>1</v>
      </c>
      <c r="X2" s="364">
        <v>1</v>
      </c>
      <c r="Y2" s="364">
        <v>1</v>
      </c>
      <c r="Z2" s="364">
        <v>1</v>
      </c>
      <c r="AA2" s="364">
        <v>1</v>
      </c>
      <c r="AB2" s="364">
        <v>1</v>
      </c>
      <c r="AC2" s="364">
        <v>1</v>
      </c>
      <c r="AD2" s="364">
        <v>1</v>
      </c>
      <c r="AE2" s="364">
        <v>1</v>
      </c>
      <c r="AF2" s="364">
        <v>1</v>
      </c>
      <c r="AG2" s="364">
        <v>1</v>
      </c>
      <c r="AH2" s="364">
        <v>1</v>
      </c>
      <c r="AI2" s="364">
        <v>1</v>
      </c>
      <c r="AJ2" s="364">
        <v>1</v>
      </c>
      <c r="AK2" s="364">
        <v>1</v>
      </c>
      <c r="AL2" s="364">
        <v>1</v>
      </c>
      <c r="AM2" s="364">
        <v>1</v>
      </c>
      <c r="AN2" s="364">
        <v>1</v>
      </c>
      <c r="AO2" s="364">
        <v>1</v>
      </c>
      <c r="AP2" s="364">
        <v>1</v>
      </c>
      <c r="AQ2" s="364">
        <v>1</v>
      </c>
      <c r="AR2" s="364">
        <v>1</v>
      </c>
      <c r="AS2" s="364">
        <v>1</v>
      </c>
      <c r="AT2" s="364">
        <v>1</v>
      </c>
      <c r="AU2" s="364">
        <v>1</v>
      </c>
      <c r="AV2" s="364">
        <v>1</v>
      </c>
      <c r="AW2" s="364">
        <v>1</v>
      </c>
      <c r="AX2" s="364">
        <v>1</v>
      </c>
      <c r="AY2" s="364">
        <v>1</v>
      </c>
      <c r="AZ2" s="364">
        <v>1</v>
      </c>
      <c r="BA2" s="364">
        <v>1</v>
      </c>
      <c r="BB2" s="364">
        <v>1</v>
      </c>
      <c r="BC2" s="364">
        <v>1</v>
      </c>
      <c r="BD2" s="364">
        <v>1</v>
      </c>
      <c r="BE2" s="364">
        <v>1</v>
      </c>
      <c r="BF2" s="364">
        <v>1</v>
      </c>
      <c r="BG2" s="364">
        <v>1</v>
      </c>
      <c r="BH2" s="364">
        <v>1</v>
      </c>
      <c r="BI2" s="364">
        <v>1</v>
      </c>
      <c r="BJ2" s="364">
        <v>1</v>
      </c>
      <c r="BK2" s="364">
        <v>1</v>
      </c>
      <c r="BL2" s="364">
        <v>1</v>
      </c>
      <c r="BM2" s="364">
        <v>1</v>
      </c>
    </row>
    <row r="3" spans="1:65" ht="20.100000000000001" customHeight="1" x14ac:dyDescent="0.4">
      <c r="B3" s="620" t="s">
        <v>306</v>
      </c>
      <c r="C3" s="620"/>
      <c r="D3" s="620"/>
      <c r="E3" s="620"/>
      <c r="F3" s="620"/>
      <c r="G3" s="620"/>
      <c r="H3" s="620"/>
      <c r="I3" s="620"/>
      <c r="J3" s="620"/>
      <c r="K3" s="620"/>
      <c r="L3" s="620"/>
      <c r="M3" s="620"/>
      <c r="N3" s="620"/>
      <c r="O3" s="620"/>
      <c r="P3" s="620"/>
      <c r="Q3" s="620"/>
      <c r="R3" s="620"/>
      <c r="S3" s="620"/>
      <c r="T3" s="620"/>
      <c r="U3" s="620"/>
      <c r="V3" s="620"/>
      <c r="W3" s="620"/>
      <c r="X3" s="620"/>
      <c r="Y3" s="620"/>
      <c r="Z3" s="620"/>
      <c r="AA3" s="620"/>
      <c r="AB3" s="620"/>
      <c r="AC3" s="620"/>
      <c r="AD3" s="620"/>
      <c r="AE3" s="620"/>
      <c r="AF3" s="620"/>
      <c r="AG3" s="620"/>
      <c r="AH3" s="620"/>
      <c r="AI3" s="620"/>
      <c r="AJ3" s="620"/>
      <c r="AK3" s="620"/>
      <c r="AL3" s="620"/>
      <c r="AM3" s="620"/>
      <c r="AN3" s="620"/>
      <c r="AO3" s="620"/>
      <c r="AP3" s="620"/>
      <c r="AQ3" s="620"/>
      <c r="AR3" s="620"/>
      <c r="AS3" s="620"/>
      <c r="AT3" s="620"/>
      <c r="AU3" s="620"/>
      <c r="AV3" s="620"/>
      <c r="AW3" s="620"/>
      <c r="AX3" s="620"/>
      <c r="AY3" s="620"/>
      <c r="AZ3" s="620"/>
      <c r="BA3" s="620"/>
      <c r="BB3" s="620"/>
      <c r="BC3" s="620"/>
      <c r="BD3" s="620"/>
      <c r="BE3" s="620"/>
      <c r="BF3" s="620"/>
      <c r="BG3" s="620"/>
      <c r="BH3" s="620"/>
      <c r="BI3" s="620"/>
      <c r="BJ3" s="620"/>
      <c r="BK3" s="620"/>
      <c r="BL3" s="620"/>
      <c r="BM3" s="620"/>
    </row>
    <row r="4" spans="1:65" ht="20.100000000000001" customHeight="1" x14ac:dyDescent="0.4">
      <c r="B4" s="582" t="s">
        <v>307</v>
      </c>
      <c r="C4" s="582"/>
      <c r="D4" s="582"/>
      <c r="E4" s="582"/>
      <c r="F4" s="582"/>
      <c r="G4" s="582"/>
      <c r="H4" s="582"/>
      <c r="I4" s="582"/>
      <c r="J4" s="582"/>
      <c r="K4" s="582"/>
      <c r="L4" s="582"/>
      <c r="M4" s="582"/>
      <c r="N4" s="582"/>
      <c r="O4" s="582"/>
      <c r="P4" s="582"/>
      <c r="Q4" s="582"/>
      <c r="R4" s="582"/>
      <c r="S4" s="582"/>
      <c r="T4" s="582"/>
      <c r="U4" s="582"/>
      <c r="V4" s="582"/>
      <c r="W4" s="582"/>
      <c r="X4" s="582"/>
      <c r="Y4" s="582"/>
      <c r="Z4" s="582"/>
      <c r="AA4" s="582"/>
      <c r="AB4" s="582"/>
      <c r="AC4" s="582"/>
      <c r="AD4" s="582"/>
      <c r="AE4" s="582"/>
      <c r="AF4" s="582"/>
      <c r="AG4" s="582"/>
      <c r="AH4" s="582"/>
      <c r="AI4" s="582"/>
      <c r="AJ4" s="582"/>
      <c r="AK4" s="582"/>
      <c r="AL4" s="582"/>
      <c r="AM4" s="582"/>
      <c r="AN4" s="582"/>
      <c r="AO4" s="582"/>
      <c r="AP4" s="582"/>
      <c r="AQ4" s="582"/>
      <c r="AR4" s="582"/>
      <c r="AS4" s="582"/>
      <c r="AT4" s="582"/>
      <c r="AU4" s="582"/>
      <c r="AV4" s="582"/>
      <c r="AW4" s="582"/>
      <c r="AX4" s="582"/>
      <c r="AY4" s="582"/>
      <c r="AZ4" s="582"/>
      <c r="BA4" s="582"/>
      <c r="BB4" s="582"/>
      <c r="BC4" s="582"/>
      <c r="BD4" s="582"/>
      <c r="BE4" s="582"/>
      <c r="BF4" s="582"/>
      <c r="BG4" s="582"/>
      <c r="BH4" s="582"/>
      <c r="BI4" s="582"/>
      <c r="BJ4" s="582"/>
      <c r="BK4" s="582"/>
      <c r="BL4" s="582"/>
      <c r="BM4" s="582"/>
    </row>
    <row r="5" spans="1:65" ht="20.100000000000001" customHeight="1" x14ac:dyDescent="0.4">
      <c r="B5" s="621" t="s">
        <v>308</v>
      </c>
      <c r="C5" s="621"/>
      <c r="D5" s="621"/>
      <c r="E5" s="621"/>
      <c r="F5" s="621"/>
      <c r="G5" s="621"/>
      <c r="H5" s="621"/>
      <c r="I5" s="621"/>
      <c r="J5" s="621"/>
      <c r="K5" s="621"/>
      <c r="L5" s="621"/>
      <c r="M5" s="621"/>
      <c r="N5" s="621"/>
      <c r="O5" s="621"/>
      <c r="P5" s="621"/>
      <c r="Q5" s="621"/>
      <c r="R5" s="621"/>
      <c r="S5" s="621"/>
      <c r="T5" s="621"/>
      <c r="U5" s="621"/>
      <c r="V5" s="621"/>
      <c r="W5" s="621"/>
      <c r="X5" s="621"/>
      <c r="Y5" s="621"/>
      <c r="Z5" s="621"/>
      <c r="AA5" s="621"/>
      <c r="AB5" s="621"/>
      <c r="AC5" s="621"/>
      <c r="AD5" s="621"/>
      <c r="AE5" s="621"/>
      <c r="AF5" s="621"/>
      <c r="AG5" s="621"/>
      <c r="AH5" s="621"/>
      <c r="AI5" s="621"/>
      <c r="AJ5" s="621"/>
      <c r="AK5" s="621"/>
      <c r="AL5" s="621"/>
      <c r="AM5" s="621"/>
      <c r="AN5" s="621"/>
      <c r="AO5" s="621"/>
      <c r="AP5" s="621"/>
      <c r="AQ5" s="621"/>
      <c r="AR5" s="621"/>
      <c r="AS5" s="621"/>
      <c r="AT5" s="621"/>
      <c r="AU5" s="621"/>
      <c r="AV5" s="621"/>
      <c r="AW5" s="621"/>
      <c r="AX5" s="621"/>
      <c r="AY5" s="621"/>
      <c r="AZ5" s="621"/>
      <c r="BA5" s="621"/>
      <c r="BB5" s="621"/>
      <c r="BC5" s="621"/>
      <c r="BD5" s="621"/>
      <c r="BE5" s="621"/>
      <c r="BF5" s="621"/>
      <c r="BG5" s="621"/>
      <c r="BH5" s="621"/>
      <c r="BI5" s="621"/>
      <c r="BJ5" s="621"/>
      <c r="BK5" s="621"/>
      <c r="BL5" s="621"/>
      <c r="BM5" s="621"/>
    </row>
    <row r="6" spans="1:65" ht="6.9" customHeight="1" x14ac:dyDescent="0.4">
      <c r="B6" s="584"/>
      <c r="C6" s="584"/>
      <c r="D6" s="584"/>
      <c r="E6" s="584"/>
      <c r="F6" s="584"/>
      <c r="G6" s="584"/>
      <c r="H6" s="584"/>
      <c r="I6" s="584"/>
      <c r="J6" s="584"/>
      <c r="K6" s="584"/>
      <c r="L6" s="584"/>
      <c r="M6" s="584"/>
      <c r="N6" s="584"/>
      <c r="O6" s="584"/>
      <c r="P6" s="584"/>
      <c r="Q6" s="584"/>
      <c r="R6" s="584"/>
      <c r="S6" s="584"/>
      <c r="T6" s="584"/>
      <c r="U6" s="584"/>
      <c r="V6" s="584"/>
      <c r="W6" s="584"/>
      <c r="X6" s="584"/>
      <c r="Y6" s="584"/>
      <c r="Z6" s="584"/>
      <c r="AA6" s="584"/>
      <c r="AB6" s="584"/>
      <c r="AC6" s="584"/>
      <c r="AD6" s="584"/>
      <c r="AE6" s="584"/>
      <c r="AF6" s="584"/>
      <c r="AG6" s="584"/>
      <c r="AH6" s="584"/>
      <c r="AI6" s="584"/>
      <c r="AJ6" s="584"/>
      <c r="AK6" s="584"/>
      <c r="AL6" s="584"/>
      <c r="AM6" s="584"/>
      <c r="AN6" s="584"/>
      <c r="AO6" s="584"/>
      <c r="AP6" s="584"/>
      <c r="AQ6" s="584"/>
      <c r="AR6" s="584"/>
      <c r="AS6" s="584"/>
      <c r="AT6" s="584"/>
      <c r="AU6" s="584"/>
      <c r="AV6" s="584"/>
      <c r="AW6" s="584"/>
      <c r="AX6" s="584"/>
      <c r="AY6" s="584"/>
      <c r="AZ6" s="584"/>
      <c r="BA6" s="584"/>
      <c r="BB6" s="584"/>
      <c r="BC6" s="584"/>
      <c r="BD6" s="584"/>
      <c r="BE6" s="584"/>
      <c r="BF6" s="584"/>
      <c r="BG6" s="584"/>
      <c r="BH6" s="584"/>
      <c r="BI6" s="584"/>
      <c r="BJ6" s="584"/>
      <c r="BK6" s="584"/>
      <c r="BL6" s="584"/>
      <c r="BM6" s="584"/>
    </row>
    <row r="7" spans="1:65" ht="20.100000000000001" customHeight="1" x14ac:dyDescent="0.4">
      <c r="B7" s="608" t="s">
        <v>309</v>
      </c>
      <c r="C7" s="608"/>
      <c r="D7" s="608"/>
      <c r="E7" s="608"/>
      <c r="F7" s="608"/>
      <c r="G7" s="608"/>
      <c r="H7" s="608"/>
      <c r="I7" s="608"/>
      <c r="J7" s="608"/>
      <c r="K7" s="608"/>
      <c r="L7" s="608"/>
      <c r="M7" s="608"/>
      <c r="N7" s="608"/>
      <c r="O7" s="608"/>
      <c r="P7" s="608"/>
      <c r="Q7" s="608"/>
      <c r="R7" s="608"/>
      <c r="S7" s="608"/>
      <c r="T7" s="608"/>
      <c r="U7" s="608"/>
      <c r="V7" s="608"/>
      <c r="W7" s="608"/>
      <c r="X7" s="608"/>
      <c r="Y7" s="608"/>
      <c r="Z7" s="608"/>
      <c r="AA7" s="608"/>
      <c r="AB7" s="608"/>
      <c r="AC7" s="608"/>
      <c r="AD7" s="608"/>
      <c r="AE7" s="608"/>
      <c r="AF7" s="608"/>
      <c r="AG7" s="608"/>
      <c r="AH7" s="608"/>
      <c r="AI7" s="608"/>
      <c r="AJ7" s="608"/>
      <c r="AK7" s="608"/>
      <c r="AL7" s="608"/>
      <c r="AM7" s="608"/>
      <c r="AN7" s="608"/>
      <c r="AO7" s="608"/>
      <c r="AP7" s="608"/>
      <c r="AQ7" s="608"/>
      <c r="AR7" s="608"/>
      <c r="AS7" s="608"/>
      <c r="AT7" s="608"/>
      <c r="AU7" s="608"/>
      <c r="AV7" s="608"/>
      <c r="AW7" s="608"/>
      <c r="AX7" s="608"/>
      <c r="AY7" s="608"/>
      <c r="AZ7" s="608"/>
      <c r="BA7" s="608"/>
      <c r="BB7" s="608"/>
      <c r="BC7" s="608"/>
      <c r="BD7" s="608"/>
      <c r="BE7" s="608"/>
      <c r="BF7" s="608"/>
      <c r="BG7" s="608"/>
      <c r="BH7" s="608"/>
      <c r="BI7" s="608"/>
      <c r="BJ7" s="608"/>
      <c r="BK7" s="608"/>
      <c r="BL7" s="608"/>
      <c r="BM7" s="608"/>
    </row>
    <row r="8" spans="1:65" ht="20.100000000000001" customHeight="1" x14ac:dyDescent="0.4">
      <c r="B8" s="608" t="s">
        <v>310</v>
      </c>
      <c r="C8" s="608"/>
      <c r="D8" s="608"/>
      <c r="E8" s="608"/>
      <c r="F8" s="608"/>
      <c r="G8" s="608"/>
      <c r="H8" s="608"/>
      <c r="I8" s="608"/>
      <c r="J8" s="608"/>
      <c r="K8" s="608"/>
      <c r="L8" s="608"/>
      <c r="M8" s="608"/>
      <c r="N8" s="608"/>
      <c r="O8" s="608"/>
      <c r="P8" s="608"/>
      <c r="Q8" s="608"/>
      <c r="R8" s="608"/>
      <c r="S8" s="608"/>
      <c r="T8" s="608"/>
      <c r="U8" s="608"/>
      <c r="V8" s="608"/>
      <c r="W8" s="608"/>
      <c r="X8" s="608"/>
      <c r="Y8" s="608"/>
      <c r="Z8" s="608"/>
      <c r="AA8" s="608"/>
      <c r="AB8" s="608"/>
      <c r="AC8" s="608"/>
      <c r="AD8" s="608"/>
      <c r="AE8" s="608"/>
      <c r="AF8" s="608"/>
      <c r="AG8" s="608"/>
      <c r="AH8" s="608"/>
      <c r="AI8" s="608"/>
      <c r="AJ8" s="608"/>
      <c r="AK8" s="608"/>
      <c r="AL8" s="608"/>
      <c r="AM8" s="608"/>
      <c r="AN8" s="608"/>
      <c r="AO8" s="608"/>
      <c r="AP8" s="608"/>
      <c r="AQ8" s="608"/>
      <c r="AR8" s="608"/>
      <c r="AS8" s="608"/>
      <c r="AT8" s="608"/>
      <c r="AU8" s="608"/>
      <c r="AV8" s="608"/>
      <c r="AW8" s="608"/>
      <c r="AX8" s="608"/>
      <c r="AY8" s="608"/>
      <c r="AZ8" s="608"/>
      <c r="BA8" s="608"/>
      <c r="BB8" s="608"/>
      <c r="BC8" s="608"/>
      <c r="BD8" s="608"/>
      <c r="BE8" s="608"/>
      <c r="BF8" s="608"/>
      <c r="BG8" s="608"/>
      <c r="BH8" s="608"/>
      <c r="BI8" s="608"/>
      <c r="BJ8" s="608"/>
      <c r="BK8" s="608"/>
      <c r="BL8" s="608"/>
      <c r="BM8" s="608"/>
    </row>
    <row r="9" spans="1:65" ht="20.100000000000001" customHeight="1" x14ac:dyDescent="0.4">
      <c r="A9" s="364"/>
      <c r="B9" s="580" t="s">
        <v>311</v>
      </c>
      <c r="C9" s="580"/>
      <c r="D9" s="580"/>
      <c r="E9" s="580"/>
      <c r="F9" s="580"/>
      <c r="G9" s="580"/>
      <c r="H9" s="580"/>
      <c r="I9" s="580"/>
      <c r="J9" s="580"/>
      <c r="K9" s="580"/>
      <c r="L9" s="580"/>
      <c r="M9" s="580"/>
      <c r="N9" s="580"/>
      <c r="O9" s="580"/>
      <c r="P9" s="580"/>
      <c r="Q9" s="580"/>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368"/>
      <c r="AY9" s="368"/>
      <c r="BB9" s="369"/>
      <c r="BC9" s="369" t="s">
        <v>312</v>
      </c>
      <c r="BD9" s="368"/>
      <c r="BE9" s="368"/>
      <c r="BF9" s="368"/>
      <c r="BG9" s="368"/>
      <c r="BH9" s="368"/>
      <c r="BI9" s="368"/>
      <c r="BJ9" s="368"/>
      <c r="BK9" s="368"/>
      <c r="BL9" s="368"/>
      <c r="BM9" s="367"/>
    </row>
    <row r="10" spans="1:65" ht="20.100000000000001" customHeight="1" x14ac:dyDescent="0.4">
      <c r="B10" s="62"/>
      <c r="C10" s="609" t="s">
        <v>64</v>
      </c>
      <c r="D10" s="610"/>
      <c r="E10" s="610"/>
      <c r="F10" s="610"/>
      <c r="G10" s="610"/>
      <c r="H10" s="610"/>
      <c r="I10" s="610"/>
      <c r="J10" s="610"/>
      <c r="K10" s="610"/>
      <c r="L10" s="610"/>
      <c r="M10" s="610"/>
      <c r="N10" s="611"/>
      <c r="O10" s="609" t="s">
        <v>313</v>
      </c>
      <c r="P10" s="610"/>
      <c r="Q10" s="610"/>
      <c r="R10" s="610"/>
      <c r="S10" s="610"/>
      <c r="T10" s="610"/>
      <c r="U10" s="610"/>
      <c r="V10" s="610"/>
      <c r="W10" s="610"/>
      <c r="X10" s="610"/>
      <c r="Y10" s="611"/>
      <c r="Z10" s="609" t="s">
        <v>369</v>
      </c>
      <c r="AA10" s="610"/>
      <c r="AB10" s="610"/>
      <c r="AC10" s="610"/>
      <c r="AD10" s="610"/>
      <c r="AE10" s="610"/>
      <c r="AF10" s="610"/>
      <c r="AG10" s="610"/>
      <c r="AH10" s="610"/>
      <c r="AI10" s="612"/>
      <c r="AJ10" s="613" t="s">
        <v>314</v>
      </c>
      <c r="AK10" s="614"/>
      <c r="AL10" s="614"/>
      <c r="AM10" s="614"/>
      <c r="AN10" s="614"/>
      <c r="AO10" s="614"/>
      <c r="AP10" s="614"/>
      <c r="AQ10" s="614"/>
      <c r="AR10" s="614"/>
      <c r="AS10" s="615"/>
      <c r="AT10" s="616" t="s">
        <v>315</v>
      </c>
      <c r="AU10" s="617"/>
      <c r="AV10" s="617"/>
      <c r="AW10" s="617"/>
      <c r="AX10" s="617"/>
      <c r="AY10" s="617"/>
      <c r="AZ10" s="617"/>
      <c r="BA10" s="617"/>
      <c r="BB10" s="617"/>
      <c r="BC10" s="618"/>
      <c r="BD10" s="619" t="s">
        <v>316</v>
      </c>
      <c r="BE10" s="610"/>
      <c r="BF10" s="610"/>
      <c r="BG10" s="610"/>
      <c r="BH10" s="610"/>
      <c r="BI10" s="610"/>
      <c r="BJ10" s="610"/>
      <c r="BK10" s="610"/>
      <c r="BL10" s="610"/>
      <c r="BM10" s="611"/>
    </row>
    <row r="11" spans="1:65" ht="20.100000000000001" customHeight="1" x14ac:dyDescent="0.4">
      <c r="B11" s="62"/>
      <c r="C11" s="594" t="s">
        <v>317</v>
      </c>
      <c r="D11" s="595"/>
      <c r="E11" s="595"/>
      <c r="F11" s="595"/>
      <c r="G11" s="595"/>
      <c r="H11" s="595"/>
      <c r="I11" s="595"/>
      <c r="J11" s="595"/>
      <c r="K11" s="595"/>
      <c r="L11" s="595"/>
      <c r="M11" s="595"/>
      <c r="N11" s="596"/>
      <c r="O11" s="600" t="s">
        <v>318</v>
      </c>
      <c r="P11" s="601"/>
      <c r="Q11" s="601"/>
      <c r="R11" s="601"/>
      <c r="S11" s="601"/>
      <c r="T11" s="601"/>
      <c r="U11" s="601"/>
      <c r="V11" s="601"/>
      <c r="W11" s="601"/>
      <c r="X11" s="601"/>
      <c r="Y11" s="602"/>
      <c r="Z11" s="603">
        <v>61000000</v>
      </c>
      <c r="AA11" s="603"/>
      <c r="AB11" s="603"/>
      <c r="AC11" s="603"/>
      <c r="AD11" s="603"/>
      <c r="AE11" s="603"/>
      <c r="AF11" s="603"/>
      <c r="AG11" s="603"/>
      <c r="AH11" s="603"/>
      <c r="AI11" s="603"/>
      <c r="AJ11" s="604">
        <v>6100000</v>
      </c>
      <c r="AK11" s="604"/>
      <c r="AL11" s="604"/>
      <c r="AM11" s="604"/>
      <c r="AN11" s="604"/>
      <c r="AO11" s="604"/>
      <c r="AP11" s="604"/>
      <c r="AQ11" s="604"/>
      <c r="AR11" s="604"/>
      <c r="AS11" s="604"/>
      <c r="AT11" s="603">
        <v>61000000</v>
      </c>
      <c r="AU11" s="603"/>
      <c r="AV11" s="603"/>
      <c r="AW11" s="603"/>
      <c r="AX11" s="603"/>
      <c r="AY11" s="603"/>
      <c r="AZ11" s="603"/>
      <c r="BA11" s="603"/>
      <c r="BB11" s="603"/>
      <c r="BC11" s="603"/>
      <c r="BD11" s="603" t="s">
        <v>10</v>
      </c>
      <c r="BE11" s="603"/>
      <c r="BF11" s="603"/>
      <c r="BG11" s="603"/>
      <c r="BH11" s="603"/>
      <c r="BI11" s="603"/>
      <c r="BJ11" s="603"/>
      <c r="BK11" s="603"/>
      <c r="BL11" s="603"/>
      <c r="BM11" s="603"/>
    </row>
    <row r="12" spans="1:65" ht="24.75" customHeight="1" x14ac:dyDescent="0.4">
      <c r="B12" s="62"/>
      <c r="C12" s="597"/>
      <c r="D12" s="598"/>
      <c r="E12" s="598"/>
      <c r="F12" s="598"/>
      <c r="G12" s="598"/>
      <c r="H12" s="598"/>
      <c r="I12" s="598"/>
      <c r="J12" s="598"/>
      <c r="K12" s="598"/>
      <c r="L12" s="598"/>
      <c r="M12" s="598"/>
      <c r="N12" s="599"/>
      <c r="O12" s="597"/>
      <c r="P12" s="598"/>
      <c r="Q12" s="598"/>
      <c r="R12" s="598"/>
      <c r="S12" s="598"/>
      <c r="T12" s="598"/>
      <c r="U12" s="598"/>
      <c r="V12" s="598"/>
      <c r="W12" s="598"/>
      <c r="X12" s="598"/>
      <c r="Y12" s="599"/>
      <c r="Z12" s="605">
        <v>1</v>
      </c>
      <c r="AA12" s="605"/>
      <c r="AB12" s="605"/>
      <c r="AC12" s="605"/>
      <c r="AD12" s="605"/>
      <c r="AE12" s="605"/>
      <c r="AF12" s="605"/>
      <c r="AG12" s="605"/>
      <c r="AH12" s="605"/>
      <c r="AI12" s="605"/>
      <c r="AJ12" s="606">
        <f>AJ11/Z11</f>
        <v>0.1</v>
      </c>
      <c r="AK12" s="606"/>
      <c r="AL12" s="606"/>
      <c r="AM12" s="606"/>
      <c r="AN12" s="606"/>
      <c r="AO12" s="606"/>
      <c r="AP12" s="606"/>
      <c r="AQ12" s="606"/>
      <c r="AR12" s="606"/>
      <c r="AS12" s="606"/>
      <c r="AT12" s="606">
        <f>AT11/Z11</f>
        <v>1</v>
      </c>
      <c r="AU12" s="606"/>
      <c r="AV12" s="606"/>
      <c r="AW12" s="606"/>
      <c r="AX12" s="606"/>
      <c r="AY12" s="606"/>
      <c r="AZ12" s="606"/>
      <c r="BA12" s="606"/>
      <c r="BB12" s="606"/>
      <c r="BC12" s="606"/>
      <c r="BD12" s="606">
        <v>0</v>
      </c>
      <c r="BE12" s="606"/>
      <c r="BF12" s="606"/>
      <c r="BG12" s="606"/>
      <c r="BH12" s="606"/>
      <c r="BI12" s="606"/>
      <c r="BJ12" s="606"/>
      <c r="BK12" s="606"/>
      <c r="BL12" s="606"/>
      <c r="BM12" s="607"/>
    </row>
    <row r="13" spans="1:65" ht="20.100000000000001" customHeight="1" x14ac:dyDescent="0.4">
      <c r="B13" s="62"/>
      <c r="C13" s="594" t="s">
        <v>319</v>
      </c>
      <c r="D13" s="595"/>
      <c r="E13" s="595"/>
      <c r="F13" s="595"/>
      <c r="G13" s="595"/>
      <c r="H13" s="595"/>
      <c r="I13" s="595"/>
      <c r="J13" s="595"/>
      <c r="K13" s="595"/>
      <c r="L13" s="595"/>
      <c r="M13" s="595"/>
      <c r="N13" s="596"/>
      <c r="O13" s="600" t="s">
        <v>320</v>
      </c>
      <c r="P13" s="601"/>
      <c r="Q13" s="601"/>
      <c r="R13" s="601"/>
      <c r="S13" s="601"/>
      <c r="T13" s="601"/>
      <c r="U13" s="601"/>
      <c r="V13" s="601"/>
      <c r="W13" s="601"/>
      <c r="X13" s="601"/>
      <c r="Y13" s="602"/>
      <c r="Z13" s="603">
        <v>69000000</v>
      </c>
      <c r="AA13" s="603"/>
      <c r="AB13" s="603"/>
      <c r="AC13" s="603"/>
      <c r="AD13" s="603"/>
      <c r="AE13" s="603"/>
      <c r="AF13" s="603"/>
      <c r="AG13" s="603"/>
      <c r="AH13" s="603"/>
      <c r="AI13" s="603"/>
      <c r="AJ13" s="604">
        <v>6900000</v>
      </c>
      <c r="AK13" s="604"/>
      <c r="AL13" s="604"/>
      <c r="AM13" s="604"/>
      <c r="AN13" s="604"/>
      <c r="AO13" s="604"/>
      <c r="AP13" s="604"/>
      <c r="AQ13" s="604"/>
      <c r="AR13" s="604"/>
      <c r="AS13" s="604"/>
      <c r="AT13" s="603">
        <v>69000000</v>
      </c>
      <c r="AU13" s="603"/>
      <c r="AV13" s="603"/>
      <c r="AW13" s="603"/>
      <c r="AX13" s="603"/>
      <c r="AY13" s="603"/>
      <c r="AZ13" s="603"/>
      <c r="BA13" s="603"/>
      <c r="BB13" s="603"/>
      <c r="BC13" s="603"/>
      <c r="BD13" s="603" t="s">
        <v>10</v>
      </c>
      <c r="BE13" s="603"/>
      <c r="BF13" s="603"/>
      <c r="BG13" s="603"/>
      <c r="BH13" s="603"/>
      <c r="BI13" s="603"/>
      <c r="BJ13" s="603"/>
      <c r="BK13" s="603"/>
      <c r="BL13" s="603"/>
      <c r="BM13" s="603"/>
    </row>
    <row r="14" spans="1:65" ht="24.75" customHeight="1" x14ac:dyDescent="0.4">
      <c r="B14" s="62"/>
      <c r="C14" s="597"/>
      <c r="D14" s="598"/>
      <c r="E14" s="598"/>
      <c r="F14" s="598"/>
      <c r="G14" s="598"/>
      <c r="H14" s="598"/>
      <c r="I14" s="598"/>
      <c r="J14" s="598"/>
      <c r="K14" s="598"/>
      <c r="L14" s="598"/>
      <c r="M14" s="598"/>
      <c r="N14" s="599"/>
      <c r="O14" s="597"/>
      <c r="P14" s="598"/>
      <c r="Q14" s="598"/>
      <c r="R14" s="598"/>
      <c r="S14" s="598"/>
      <c r="T14" s="598"/>
      <c r="U14" s="598"/>
      <c r="V14" s="598"/>
      <c r="W14" s="598"/>
      <c r="X14" s="598"/>
      <c r="Y14" s="599"/>
      <c r="Z14" s="605">
        <v>1</v>
      </c>
      <c r="AA14" s="605"/>
      <c r="AB14" s="605"/>
      <c r="AC14" s="605"/>
      <c r="AD14" s="605"/>
      <c r="AE14" s="605"/>
      <c r="AF14" s="605"/>
      <c r="AG14" s="605"/>
      <c r="AH14" s="605"/>
      <c r="AI14" s="605"/>
      <c r="AJ14" s="606">
        <f>AJ13/Z13</f>
        <v>0.1</v>
      </c>
      <c r="AK14" s="606"/>
      <c r="AL14" s="606"/>
      <c r="AM14" s="606"/>
      <c r="AN14" s="606"/>
      <c r="AO14" s="606"/>
      <c r="AP14" s="606"/>
      <c r="AQ14" s="606"/>
      <c r="AR14" s="606"/>
      <c r="AS14" s="606"/>
      <c r="AT14" s="606">
        <f>AT13/Z13</f>
        <v>1</v>
      </c>
      <c r="AU14" s="606"/>
      <c r="AV14" s="606"/>
      <c r="AW14" s="606"/>
      <c r="AX14" s="606"/>
      <c r="AY14" s="606"/>
      <c r="AZ14" s="606"/>
      <c r="BA14" s="606"/>
      <c r="BB14" s="606"/>
      <c r="BC14" s="606"/>
      <c r="BD14" s="606">
        <v>0</v>
      </c>
      <c r="BE14" s="606"/>
      <c r="BF14" s="606"/>
      <c r="BG14" s="606"/>
      <c r="BH14" s="606"/>
      <c r="BI14" s="606"/>
      <c r="BJ14" s="606"/>
      <c r="BK14" s="606"/>
      <c r="BL14" s="606"/>
      <c r="BM14" s="607"/>
    </row>
    <row r="15" spans="1:65" ht="20.100000000000001" customHeight="1" x14ac:dyDescent="0.4">
      <c r="B15" s="62"/>
      <c r="C15" s="594" t="s">
        <v>294</v>
      </c>
      <c r="D15" s="595"/>
      <c r="E15" s="595"/>
      <c r="F15" s="595"/>
      <c r="G15" s="595"/>
      <c r="H15" s="595"/>
      <c r="I15" s="595"/>
      <c r="J15" s="595"/>
      <c r="K15" s="595"/>
      <c r="L15" s="595"/>
      <c r="M15" s="595"/>
      <c r="N15" s="596"/>
      <c r="O15" s="600" t="s">
        <v>321</v>
      </c>
      <c r="P15" s="601"/>
      <c r="Q15" s="601"/>
      <c r="R15" s="601"/>
      <c r="S15" s="601"/>
      <c r="T15" s="601"/>
      <c r="U15" s="601"/>
      <c r="V15" s="601"/>
      <c r="W15" s="601"/>
      <c r="X15" s="601"/>
      <c r="Y15" s="602"/>
      <c r="Z15" s="603">
        <v>8800000</v>
      </c>
      <c r="AA15" s="603"/>
      <c r="AB15" s="603"/>
      <c r="AC15" s="603"/>
      <c r="AD15" s="603"/>
      <c r="AE15" s="603"/>
      <c r="AF15" s="603"/>
      <c r="AG15" s="603"/>
      <c r="AH15" s="603"/>
      <c r="AI15" s="603"/>
      <c r="AJ15" s="604">
        <v>8800000</v>
      </c>
      <c r="AK15" s="604"/>
      <c r="AL15" s="604"/>
      <c r="AM15" s="604"/>
      <c r="AN15" s="604"/>
      <c r="AO15" s="604"/>
      <c r="AP15" s="604"/>
      <c r="AQ15" s="604"/>
      <c r="AR15" s="604"/>
      <c r="AS15" s="604"/>
      <c r="AT15" s="603">
        <v>8800000</v>
      </c>
      <c r="AU15" s="603"/>
      <c r="AV15" s="603"/>
      <c r="AW15" s="603"/>
      <c r="AX15" s="603"/>
      <c r="AY15" s="603"/>
      <c r="AZ15" s="603"/>
      <c r="BA15" s="603"/>
      <c r="BB15" s="603"/>
      <c r="BC15" s="603"/>
      <c r="BD15" s="603" t="s">
        <v>10</v>
      </c>
      <c r="BE15" s="603"/>
      <c r="BF15" s="603"/>
      <c r="BG15" s="603"/>
      <c r="BH15" s="603"/>
      <c r="BI15" s="603"/>
      <c r="BJ15" s="603"/>
      <c r="BK15" s="603"/>
      <c r="BL15" s="603"/>
      <c r="BM15" s="603"/>
    </row>
    <row r="16" spans="1:65" ht="24.75" customHeight="1" x14ac:dyDescent="0.4">
      <c r="B16" s="62"/>
      <c r="C16" s="597"/>
      <c r="D16" s="598"/>
      <c r="E16" s="598"/>
      <c r="F16" s="598"/>
      <c r="G16" s="598"/>
      <c r="H16" s="598"/>
      <c r="I16" s="598"/>
      <c r="J16" s="598"/>
      <c r="K16" s="598"/>
      <c r="L16" s="598"/>
      <c r="M16" s="598"/>
      <c r="N16" s="599"/>
      <c r="O16" s="597"/>
      <c r="P16" s="598"/>
      <c r="Q16" s="598"/>
      <c r="R16" s="598"/>
      <c r="S16" s="598"/>
      <c r="T16" s="598"/>
      <c r="U16" s="598"/>
      <c r="V16" s="598"/>
      <c r="W16" s="598"/>
      <c r="X16" s="598"/>
      <c r="Y16" s="599"/>
      <c r="Z16" s="605">
        <v>1</v>
      </c>
      <c r="AA16" s="605"/>
      <c r="AB16" s="605"/>
      <c r="AC16" s="605"/>
      <c r="AD16" s="605"/>
      <c r="AE16" s="605"/>
      <c r="AF16" s="605"/>
      <c r="AG16" s="605"/>
      <c r="AH16" s="605"/>
      <c r="AI16" s="605"/>
      <c r="AJ16" s="606">
        <f>AJ15/Z15</f>
        <v>1</v>
      </c>
      <c r="AK16" s="606"/>
      <c r="AL16" s="606"/>
      <c r="AM16" s="606"/>
      <c r="AN16" s="606"/>
      <c r="AO16" s="606"/>
      <c r="AP16" s="606"/>
      <c r="AQ16" s="606"/>
      <c r="AR16" s="606"/>
      <c r="AS16" s="606"/>
      <c r="AT16" s="606">
        <f>AT15/Z15</f>
        <v>1</v>
      </c>
      <c r="AU16" s="606"/>
      <c r="AV16" s="606"/>
      <c r="AW16" s="606"/>
      <c r="AX16" s="606"/>
      <c r="AY16" s="606"/>
      <c r="AZ16" s="606"/>
      <c r="BA16" s="606"/>
      <c r="BB16" s="606"/>
      <c r="BC16" s="606"/>
      <c r="BD16" s="606">
        <v>0</v>
      </c>
      <c r="BE16" s="606"/>
      <c r="BF16" s="606"/>
      <c r="BG16" s="606"/>
      <c r="BH16" s="606"/>
      <c r="BI16" s="606"/>
      <c r="BJ16" s="606"/>
      <c r="BK16" s="606"/>
      <c r="BL16" s="606"/>
      <c r="BM16" s="607"/>
    </row>
    <row r="17" spans="1:71" ht="6.9" customHeight="1" x14ac:dyDescent="0.4">
      <c r="B17" s="584"/>
      <c r="C17" s="584"/>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584"/>
      <c r="AH17" s="584"/>
      <c r="AI17" s="584"/>
      <c r="AJ17" s="584"/>
      <c r="AK17" s="584"/>
      <c r="AL17" s="584"/>
      <c r="AM17" s="584"/>
      <c r="AN17" s="584"/>
      <c r="AO17" s="584"/>
      <c r="AP17" s="584"/>
      <c r="AQ17" s="584"/>
      <c r="AR17" s="584"/>
      <c r="AS17" s="584"/>
      <c r="AT17" s="584"/>
      <c r="AU17" s="584"/>
      <c r="AV17" s="584"/>
      <c r="AW17" s="584"/>
      <c r="AX17" s="584"/>
      <c r="AY17" s="584"/>
      <c r="AZ17" s="584"/>
      <c r="BA17" s="584"/>
      <c r="BB17" s="584"/>
      <c r="BC17" s="584"/>
      <c r="BD17" s="584"/>
      <c r="BE17" s="584"/>
      <c r="BF17" s="584"/>
      <c r="BG17" s="584"/>
      <c r="BH17" s="584"/>
      <c r="BI17" s="584"/>
      <c r="BJ17" s="584"/>
      <c r="BK17" s="584"/>
      <c r="BL17" s="584"/>
      <c r="BM17" s="584"/>
    </row>
    <row r="18" spans="1:71" ht="20.100000000000001" customHeight="1" x14ac:dyDescent="0.4">
      <c r="B18" s="580" t="s">
        <v>304</v>
      </c>
      <c r="C18" s="580"/>
      <c r="D18" s="580"/>
      <c r="E18" s="580"/>
      <c r="F18" s="580"/>
      <c r="G18" s="580"/>
      <c r="H18" s="580"/>
      <c r="I18" s="580"/>
      <c r="J18" s="580"/>
      <c r="K18" s="580"/>
      <c r="L18" s="580"/>
      <c r="M18" s="580"/>
      <c r="N18" s="580"/>
      <c r="O18" s="580"/>
      <c r="P18" s="580"/>
      <c r="Q18" s="580"/>
      <c r="R18" s="580"/>
      <c r="S18" s="580"/>
      <c r="T18" s="580"/>
      <c r="U18" s="580"/>
      <c r="V18" s="580"/>
      <c r="W18" s="580"/>
      <c r="X18" s="580"/>
      <c r="Y18" s="580"/>
      <c r="Z18" s="580"/>
      <c r="AA18" s="580"/>
      <c r="AB18" s="580"/>
      <c r="AC18" s="580"/>
      <c r="AD18" s="580"/>
      <c r="AE18" s="580"/>
      <c r="AF18" s="580"/>
      <c r="AG18" s="580"/>
      <c r="AH18" s="580"/>
      <c r="AI18" s="580"/>
      <c r="AJ18" s="580"/>
      <c r="AK18" s="580"/>
      <c r="AL18" s="580"/>
      <c r="AM18" s="580"/>
      <c r="AN18" s="580"/>
      <c r="AO18" s="580"/>
      <c r="AP18" s="580"/>
      <c r="AQ18" s="580"/>
      <c r="AR18" s="580"/>
      <c r="AS18" s="580"/>
      <c r="AT18" s="580"/>
      <c r="AU18" s="580"/>
      <c r="AV18" s="580"/>
      <c r="AW18" s="580"/>
      <c r="AX18" s="580"/>
      <c r="AY18" s="580"/>
      <c r="AZ18" s="580"/>
      <c r="BA18" s="580"/>
      <c r="BB18" s="580"/>
      <c r="BC18" s="580"/>
      <c r="BD18" s="580"/>
      <c r="BE18" s="580"/>
      <c r="BF18" s="580"/>
      <c r="BG18" s="580"/>
      <c r="BH18" s="580"/>
      <c r="BI18" s="580"/>
      <c r="BJ18" s="580"/>
      <c r="BK18" s="580"/>
      <c r="BL18" s="580"/>
      <c r="BM18" s="580"/>
    </row>
    <row r="19" spans="1:71" ht="20.100000000000001" customHeight="1" x14ac:dyDescent="0.4">
      <c r="B19" s="581" t="s">
        <v>322</v>
      </c>
      <c r="C19" s="581"/>
      <c r="D19" s="581"/>
      <c r="E19" s="581"/>
      <c r="F19" s="581"/>
      <c r="G19" s="581"/>
      <c r="H19" s="581"/>
      <c r="I19" s="581"/>
      <c r="J19" s="581"/>
      <c r="K19" s="581"/>
      <c r="L19" s="581"/>
      <c r="M19" s="581"/>
      <c r="N19" s="581"/>
      <c r="O19" s="581"/>
      <c r="P19" s="581"/>
      <c r="Q19" s="581"/>
      <c r="R19" s="581"/>
      <c r="S19" s="581"/>
      <c r="T19" s="581"/>
      <c r="U19" s="581"/>
      <c r="V19" s="581"/>
      <c r="W19" s="581"/>
      <c r="X19" s="581"/>
      <c r="Y19" s="581"/>
      <c r="Z19" s="581"/>
      <c r="AA19" s="581"/>
      <c r="AB19" s="581"/>
      <c r="AC19" s="581"/>
      <c r="AD19" s="581"/>
      <c r="AE19" s="581"/>
      <c r="AF19" s="581"/>
      <c r="AG19" s="581"/>
      <c r="AH19" s="581"/>
      <c r="AI19" s="581"/>
      <c r="AJ19" s="581"/>
      <c r="AK19" s="581"/>
      <c r="AL19" s="581"/>
      <c r="AM19" s="581"/>
      <c r="AN19" s="581"/>
      <c r="AO19" s="581"/>
      <c r="AP19" s="581"/>
      <c r="AQ19" s="581"/>
      <c r="AR19" s="581"/>
      <c r="AS19" s="581"/>
      <c r="AT19" s="581"/>
      <c r="AU19" s="581"/>
      <c r="AV19" s="581"/>
      <c r="AW19" s="581"/>
      <c r="AX19" s="581"/>
      <c r="AY19" s="581"/>
      <c r="AZ19" s="581"/>
      <c r="BA19" s="581"/>
      <c r="BB19" s="581"/>
      <c r="BC19" s="581"/>
      <c r="BD19" s="581"/>
      <c r="BE19" s="581"/>
      <c r="BF19" s="581"/>
      <c r="BG19" s="581"/>
      <c r="BH19" s="581"/>
      <c r="BI19" s="581"/>
      <c r="BJ19" s="581"/>
      <c r="BK19" s="581"/>
      <c r="BL19" s="581"/>
      <c r="BM19" s="581"/>
    </row>
    <row r="20" spans="1:71" ht="20.100000000000001" customHeight="1" x14ac:dyDescent="0.4">
      <c r="B20" s="581" t="s">
        <v>323</v>
      </c>
      <c r="C20" s="581"/>
      <c r="D20" s="581"/>
      <c r="E20" s="581"/>
      <c r="F20" s="581"/>
      <c r="G20" s="581"/>
      <c r="H20" s="581"/>
      <c r="I20" s="581"/>
      <c r="J20" s="581"/>
      <c r="K20" s="581"/>
      <c r="L20" s="581"/>
      <c r="M20" s="581"/>
      <c r="N20" s="581"/>
      <c r="O20" s="581"/>
      <c r="P20" s="581"/>
      <c r="Q20" s="581"/>
      <c r="R20" s="581"/>
      <c r="S20" s="581"/>
      <c r="T20" s="581"/>
      <c r="U20" s="581"/>
      <c r="V20" s="581"/>
      <c r="W20" s="581"/>
      <c r="X20" s="581"/>
      <c r="Y20" s="581"/>
      <c r="Z20" s="581"/>
      <c r="AA20" s="581"/>
      <c r="AB20" s="581"/>
      <c r="AC20" s="581"/>
      <c r="AD20" s="581"/>
      <c r="AE20" s="581"/>
      <c r="AF20" s="581"/>
      <c r="AG20" s="581"/>
      <c r="AH20" s="581"/>
      <c r="AI20" s="581"/>
      <c r="AJ20" s="581"/>
      <c r="AK20" s="581"/>
      <c r="AL20" s="581"/>
      <c r="AM20" s="581"/>
      <c r="AN20" s="581"/>
      <c r="AO20" s="581"/>
      <c r="AP20" s="581"/>
      <c r="AQ20" s="581"/>
      <c r="AR20" s="581"/>
      <c r="AS20" s="581"/>
      <c r="AT20" s="581"/>
      <c r="AU20" s="581"/>
      <c r="AV20" s="581"/>
      <c r="AW20" s="581"/>
      <c r="AX20" s="581"/>
      <c r="AY20" s="581"/>
      <c r="AZ20" s="581"/>
      <c r="BA20" s="581"/>
      <c r="BB20" s="581"/>
      <c r="BC20" s="581"/>
      <c r="BD20" s="581"/>
      <c r="BE20" s="581"/>
      <c r="BF20" s="581"/>
      <c r="BG20" s="581"/>
      <c r="BH20" s="581"/>
      <c r="BI20" s="581"/>
      <c r="BJ20" s="581"/>
      <c r="BK20" s="581"/>
      <c r="BL20" s="581"/>
      <c r="BM20" s="581"/>
    </row>
    <row r="21" spans="1:71" ht="6.9" customHeight="1" x14ac:dyDescent="0.4">
      <c r="B21" s="584"/>
      <c r="C21" s="584"/>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584"/>
      <c r="AH21" s="584"/>
      <c r="AI21" s="584"/>
      <c r="AJ21" s="584"/>
      <c r="AK21" s="584"/>
      <c r="AL21" s="584"/>
      <c r="AM21" s="584"/>
      <c r="AN21" s="584"/>
      <c r="AO21" s="584"/>
      <c r="AP21" s="584"/>
      <c r="AQ21" s="584"/>
      <c r="AR21" s="584"/>
      <c r="AS21" s="584"/>
      <c r="AT21" s="584"/>
      <c r="AU21" s="584"/>
      <c r="AV21" s="584"/>
      <c r="AW21" s="584"/>
      <c r="AX21" s="584"/>
      <c r="AY21" s="584"/>
      <c r="AZ21" s="584"/>
      <c r="BA21" s="584"/>
      <c r="BB21" s="584"/>
      <c r="BC21" s="584"/>
      <c r="BD21" s="584"/>
      <c r="BE21" s="584"/>
      <c r="BF21" s="584"/>
      <c r="BG21" s="584"/>
      <c r="BH21" s="584"/>
      <c r="BI21" s="584"/>
      <c r="BJ21" s="584"/>
      <c r="BK21" s="584"/>
      <c r="BL21" s="584"/>
      <c r="BM21" s="584"/>
    </row>
    <row r="22" spans="1:71" ht="20.100000000000001" customHeight="1" x14ac:dyDescent="0.4">
      <c r="A22" s="364"/>
      <c r="B22" s="580" t="s">
        <v>373</v>
      </c>
      <c r="C22" s="580"/>
      <c r="D22" s="580"/>
      <c r="E22" s="580"/>
      <c r="F22" s="580"/>
      <c r="G22" s="580"/>
      <c r="H22" s="580"/>
      <c r="I22" s="580"/>
      <c r="J22" s="580"/>
      <c r="K22" s="580"/>
      <c r="L22" s="580"/>
      <c r="M22" s="580"/>
      <c r="N22" s="580"/>
      <c r="O22" s="580"/>
      <c r="P22" s="580"/>
      <c r="Q22" s="580"/>
      <c r="R22" s="580"/>
      <c r="S22" s="580"/>
      <c r="T22" s="580"/>
      <c r="U22" s="580"/>
      <c r="V22" s="580"/>
      <c r="W22" s="580"/>
      <c r="X22" s="580"/>
      <c r="Y22" s="580"/>
      <c r="Z22" s="580"/>
      <c r="AA22" s="580"/>
      <c r="AB22" s="580"/>
      <c r="AC22" s="580"/>
      <c r="AD22" s="580"/>
      <c r="AE22" s="580"/>
      <c r="AF22" s="580"/>
      <c r="AG22" s="580"/>
      <c r="AH22" s="580"/>
      <c r="AI22" s="580"/>
      <c r="AJ22" s="580"/>
      <c r="AK22" s="580"/>
      <c r="AL22" s="580"/>
      <c r="AM22" s="580"/>
      <c r="AN22" s="580"/>
      <c r="AO22" s="580"/>
      <c r="AP22" s="580"/>
      <c r="AQ22" s="580"/>
      <c r="AR22" s="580"/>
      <c r="AS22" s="580"/>
      <c r="AT22" s="580"/>
      <c r="AU22" s="580"/>
      <c r="AV22" s="580"/>
      <c r="AW22" s="580"/>
      <c r="AX22" s="542" t="s">
        <v>312</v>
      </c>
      <c r="AY22" s="542"/>
      <c r="AZ22" s="542"/>
      <c r="BA22" s="542"/>
      <c r="BB22" s="542"/>
      <c r="BC22" s="542"/>
      <c r="BD22" s="542"/>
      <c r="BE22" s="542"/>
      <c r="BF22" s="542"/>
      <c r="BG22" s="542"/>
      <c r="BH22" s="542"/>
      <c r="BI22" s="542"/>
      <c r="BJ22" s="542"/>
      <c r="BK22" s="542"/>
      <c r="BL22" s="542"/>
      <c r="BM22" s="542"/>
      <c r="BO22" s="370"/>
    </row>
    <row r="23" spans="1:71" customFormat="1" ht="19.5" customHeight="1" x14ac:dyDescent="0.4">
      <c r="B23" s="363"/>
      <c r="C23" s="560" t="s">
        <v>64</v>
      </c>
      <c r="D23" s="560"/>
      <c r="E23" s="560"/>
      <c r="F23" s="560"/>
      <c r="G23" s="560"/>
      <c r="H23" s="560"/>
      <c r="I23" s="560"/>
      <c r="J23" s="560"/>
      <c r="K23" s="560"/>
      <c r="L23" s="560"/>
      <c r="M23" s="560"/>
      <c r="N23" s="560"/>
      <c r="O23" s="560" t="s">
        <v>313</v>
      </c>
      <c r="P23" s="560"/>
      <c r="Q23" s="560"/>
      <c r="R23" s="560"/>
      <c r="S23" s="560"/>
      <c r="T23" s="560"/>
      <c r="U23" s="560"/>
      <c r="V23" s="560"/>
      <c r="W23" s="560"/>
      <c r="X23" s="560"/>
      <c r="Y23" s="560"/>
      <c r="Z23" s="560" t="s">
        <v>369</v>
      </c>
      <c r="AA23" s="560"/>
      <c r="AB23" s="560"/>
      <c r="AC23" s="560"/>
      <c r="AD23" s="560"/>
      <c r="AE23" s="560"/>
      <c r="AF23" s="560"/>
      <c r="AG23" s="560"/>
      <c r="AH23" s="560"/>
      <c r="AI23" s="560"/>
      <c r="AJ23" s="560" t="s">
        <v>367</v>
      </c>
      <c r="AK23" s="560"/>
      <c r="AL23" s="560"/>
      <c r="AM23" s="560"/>
      <c r="AN23" s="560"/>
      <c r="AO23" s="560"/>
      <c r="AP23" s="560"/>
      <c r="AQ23" s="560"/>
      <c r="AR23" s="560"/>
      <c r="AS23" s="560"/>
      <c r="AT23" s="560" t="s">
        <v>374</v>
      </c>
      <c r="AU23" s="560"/>
      <c r="AV23" s="560"/>
      <c r="AW23" s="560"/>
      <c r="AX23" s="560"/>
      <c r="AY23" s="560"/>
      <c r="AZ23" s="560"/>
      <c r="BA23" s="560"/>
      <c r="BB23" s="560"/>
      <c r="BC23" s="560"/>
      <c r="BD23" s="560" t="s">
        <v>368</v>
      </c>
      <c r="BE23" s="560"/>
      <c r="BF23" s="560"/>
      <c r="BG23" s="560"/>
      <c r="BH23" s="560"/>
      <c r="BI23" s="560"/>
      <c r="BJ23" s="560"/>
      <c r="BK23" s="560"/>
      <c r="BL23" s="560"/>
      <c r="BM23" s="560"/>
      <c r="BN23" s="62" t="s">
        <v>300</v>
      </c>
      <c r="BO23" s="62" t="s">
        <v>301</v>
      </c>
      <c r="BP23" s="361" t="s">
        <v>302</v>
      </c>
      <c r="BQ23" s="361" t="s">
        <v>303</v>
      </c>
      <c r="BR23" s="62" t="s">
        <v>64</v>
      </c>
      <c r="BS23" s="62" t="s">
        <v>65</v>
      </c>
    </row>
    <row r="24" spans="1:71" customFormat="1" ht="20.100000000000001" customHeight="1" x14ac:dyDescent="0.4">
      <c r="B24" s="363"/>
      <c r="C24" s="590"/>
      <c r="D24" s="591"/>
      <c r="E24" s="543" t="s">
        <v>352</v>
      </c>
      <c r="F24" s="544"/>
      <c r="G24" s="544"/>
      <c r="H24" s="544"/>
      <c r="I24" s="544"/>
      <c r="J24" s="544"/>
      <c r="K24" s="544"/>
      <c r="L24" s="544"/>
      <c r="M24" s="544"/>
      <c r="N24" s="545"/>
      <c r="O24" s="546" t="s">
        <v>351</v>
      </c>
      <c r="P24" s="547"/>
      <c r="Q24" s="547"/>
      <c r="R24" s="547"/>
      <c r="S24" s="547"/>
      <c r="T24" s="547"/>
      <c r="U24" s="547"/>
      <c r="V24" s="547"/>
      <c r="W24" s="547"/>
      <c r="X24" s="547"/>
      <c r="Y24" s="548"/>
      <c r="Z24" s="537">
        <v>71000000</v>
      </c>
      <c r="AA24" s="538"/>
      <c r="AB24" s="538"/>
      <c r="AC24" s="538"/>
      <c r="AD24" s="538"/>
      <c r="AE24" s="538"/>
      <c r="AF24" s="538"/>
      <c r="AG24" s="538"/>
      <c r="AH24" s="538"/>
      <c r="AI24" s="539"/>
      <c r="AJ24" s="540">
        <v>49700000</v>
      </c>
      <c r="AK24" s="540"/>
      <c r="AL24" s="540"/>
      <c r="AM24" s="540"/>
      <c r="AN24" s="540"/>
      <c r="AO24" s="540"/>
      <c r="AP24" s="540"/>
      <c r="AQ24" s="540"/>
      <c r="AR24" s="540"/>
      <c r="AS24" s="540"/>
      <c r="AT24" s="540">
        <v>14200000</v>
      </c>
      <c r="AU24" s="540"/>
      <c r="AV24" s="540"/>
      <c r="AW24" s="540"/>
      <c r="AX24" s="540"/>
      <c r="AY24" s="540"/>
      <c r="AZ24" s="540"/>
      <c r="BA24" s="540"/>
      <c r="BB24" s="540"/>
      <c r="BC24" s="540"/>
      <c r="BD24" s="540">
        <f>Z24-AJ24-AT24</f>
        <v>7100000</v>
      </c>
      <c r="BE24" s="540"/>
      <c r="BF24" s="540"/>
      <c r="BG24" s="540"/>
      <c r="BH24" s="540"/>
      <c r="BI24" s="540"/>
      <c r="BJ24" s="540"/>
      <c r="BK24" s="540"/>
      <c r="BL24" s="540"/>
      <c r="BM24" s="540"/>
      <c r="BN24" s="61"/>
      <c r="BO24" s="361"/>
      <c r="BP24" s="361"/>
      <c r="BQ24" s="361"/>
      <c r="BR24" s="62"/>
    </row>
    <row r="25" spans="1:71" customFormat="1" ht="20.100000000000001" customHeight="1" x14ac:dyDescent="0.4">
      <c r="B25" s="363"/>
      <c r="C25" s="592"/>
      <c r="D25" s="593"/>
      <c r="E25" s="543" t="s">
        <v>349</v>
      </c>
      <c r="F25" s="544"/>
      <c r="G25" s="544"/>
      <c r="H25" s="544"/>
      <c r="I25" s="544"/>
      <c r="J25" s="544"/>
      <c r="K25" s="544"/>
      <c r="L25" s="544"/>
      <c r="M25" s="544"/>
      <c r="N25" s="545"/>
      <c r="O25" s="546" t="s">
        <v>371</v>
      </c>
      <c r="P25" s="547"/>
      <c r="Q25" s="547"/>
      <c r="R25" s="547"/>
      <c r="S25" s="547"/>
      <c r="T25" s="547"/>
      <c r="U25" s="547"/>
      <c r="V25" s="547"/>
      <c r="W25" s="547"/>
      <c r="X25" s="547"/>
      <c r="Y25" s="548"/>
      <c r="Z25" s="537">
        <v>235000000</v>
      </c>
      <c r="AA25" s="538"/>
      <c r="AB25" s="538"/>
      <c r="AC25" s="538"/>
      <c r="AD25" s="538"/>
      <c r="AE25" s="538"/>
      <c r="AF25" s="538"/>
      <c r="AG25" s="538"/>
      <c r="AH25" s="538"/>
      <c r="AI25" s="539"/>
      <c r="AJ25" s="540">
        <v>70500000</v>
      </c>
      <c r="AK25" s="540"/>
      <c r="AL25" s="540"/>
      <c r="AM25" s="540"/>
      <c r="AN25" s="540"/>
      <c r="AO25" s="540"/>
      <c r="AP25" s="540"/>
      <c r="AQ25" s="540"/>
      <c r="AR25" s="540"/>
      <c r="AS25" s="540"/>
      <c r="AT25" s="540">
        <v>117500000</v>
      </c>
      <c r="AU25" s="540"/>
      <c r="AV25" s="540"/>
      <c r="AW25" s="540"/>
      <c r="AX25" s="540"/>
      <c r="AY25" s="540"/>
      <c r="AZ25" s="540"/>
      <c r="BA25" s="540"/>
      <c r="BB25" s="540"/>
      <c r="BC25" s="540"/>
      <c r="BD25" s="540">
        <f>Z25-AJ25-AT25</f>
        <v>47000000</v>
      </c>
      <c r="BE25" s="540"/>
      <c r="BF25" s="540"/>
      <c r="BG25" s="540"/>
      <c r="BH25" s="540"/>
      <c r="BI25" s="540"/>
      <c r="BJ25" s="540"/>
      <c r="BK25" s="540"/>
      <c r="BL25" s="540"/>
      <c r="BM25" s="540"/>
      <c r="BN25" s="62"/>
      <c r="BO25" s="62"/>
      <c r="BP25" s="62"/>
      <c r="BQ25" s="62"/>
      <c r="BR25" s="62"/>
    </row>
    <row r="26" spans="1:71" customFormat="1" ht="20.100000000000001" customHeight="1" x14ac:dyDescent="0.4">
      <c r="B26" s="363"/>
      <c r="C26" s="592"/>
      <c r="D26" s="593"/>
      <c r="E26" s="543" t="s">
        <v>357</v>
      </c>
      <c r="F26" s="544"/>
      <c r="G26" s="544"/>
      <c r="H26" s="544"/>
      <c r="I26" s="544"/>
      <c r="J26" s="544"/>
      <c r="K26" s="544"/>
      <c r="L26" s="544"/>
      <c r="M26" s="544"/>
      <c r="N26" s="545"/>
      <c r="O26" s="546" t="s">
        <v>353</v>
      </c>
      <c r="P26" s="547"/>
      <c r="Q26" s="547"/>
      <c r="R26" s="547"/>
      <c r="S26" s="547"/>
      <c r="T26" s="547"/>
      <c r="U26" s="547"/>
      <c r="V26" s="547"/>
      <c r="W26" s="547"/>
      <c r="X26" s="547"/>
      <c r="Y26" s="548"/>
      <c r="Z26" s="537">
        <v>61000000</v>
      </c>
      <c r="AA26" s="538"/>
      <c r="AB26" s="538"/>
      <c r="AC26" s="538"/>
      <c r="AD26" s="538"/>
      <c r="AE26" s="538"/>
      <c r="AF26" s="538"/>
      <c r="AG26" s="538"/>
      <c r="AH26" s="538"/>
      <c r="AI26" s="539"/>
      <c r="AJ26" s="540">
        <v>6100000</v>
      </c>
      <c r="AK26" s="540"/>
      <c r="AL26" s="540"/>
      <c r="AM26" s="540"/>
      <c r="AN26" s="540"/>
      <c r="AO26" s="540"/>
      <c r="AP26" s="540"/>
      <c r="AQ26" s="540"/>
      <c r="AR26" s="540"/>
      <c r="AS26" s="540"/>
      <c r="AT26" s="540">
        <v>54900000</v>
      </c>
      <c r="AU26" s="540"/>
      <c r="AV26" s="540"/>
      <c r="AW26" s="540"/>
      <c r="AX26" s="540"/>
      <c r="AY26" s="540"/>
      <c r="AZ26" s="540"/>
      <c r="BA26" s="540"/>
      <c r="BB26" s="540"/>
      <c r="BC26" s="540"/>
      <c r="BD26" s="540">
        <f t="shared" ref="BD26:BD30" si="0">Z26-AJ26-AT26</f>
        <v>0</v>
      </c>
      <c r="BE26" s="540"/>
      <c r="BF26" s="540"/>
      <c r="BG26" s="540"/>
      <c r="BH26" s="540"/>
      <c r="BI26" s="540"/>
      <c r="BJ26" s="540"/>
      <c r="BK26" s="540"/>
      <c r="BL26" s="540"/>
      <c r="BM26" s="540"/>
      <c r="BN26" s="365"/>
      <c r="BO26" s="62"/>
      <c r="BP26" s="62"/>
      <c r="BQ26" s="62"/>
      <c r="BR26" s="62"/>
    </row>
    <row r="27" spans="1:71" customFormat="1" ht="20.100000000000001" customHeight="1" x14ac:dyDescent="0.4">
      <c r="B27" s="363"/>
      <c r="C27" s="592"/>
      <c r="D27" s="593"/>
      <c r="E27" s="543" t="s">
        <v>354</v>
      </c>
      <c r="F27" s="544"/>
      <c r="G27" s="544"/>
      <c r="H27" s="544"/>
      <c r="I27" s="544"/>
      <c r="J27" s="544"/>
      <c r="K27" s="544"/>
      <c r="L27" s="544"/>
      <c r="M27" s="544"/>
      <c r="N27" s="545"/>
      <c r="O27" s="546" t="s">
        <v>299</v>
      </c>
      <c r="P27" s="547"/>
      <c r="Q27" s="547"/>
      <c r="R27" s="547"/>
      <c r="S27" s="547"/>
      <c r="T27" s="547"/>
      <c r="U27" s="547"/>
      <c r="V27" s="547"/>
      <c r="W27" s="547"/>
      <c r="X27" s="547"/>
      <c r="Y27" s="548"/>
      <c r="Z27" s="537">
        <v>69000000</v>
      </c>
      <c r="AA27" s="538"/>
      <c r="AB27" s="538"/>
      <c r="AC27" s="538"/>
      <c r="AD27" s="538"/>
      <c r="AE27" s="538"/>
      <c r="AF27" s="538"/>
      <c r="AG27" s="538"/>
      <c r="AH27" s="538"/>
      <c r="AI27" s="539"/>
      <c r="AJ27" s="540"/>
      <c r="AK27" s="540"/>
      <c r="AL27" s="540"/>
      <c r="AM27" s="540"/>
      <c r="AN27" s="540"/>
      <c r="AO27" s="540"/>
      <c r="AP27" s="540"/>
      <c r="AQ27" s="540"/>
      <c r="AR27" s="540"/>
      <c r="AS27" s="540"/>
      <c r="AT27" s="540"/>
      <c r="AU27" s="540"/>
      <c r="AV27" s="540"/>
      <c r="AW27" s="540"/>
      <c r="AX27" s="540"/>
      <c r="AY27" s="540"/>
      <c r="AZ27" s="540"/>
      <c r="BA27" s="540"/>
      <c r="BB27" s="540"/>
      <c r="BC27" s="540"/>
      <c r="BD27" s="540">
        <f t="shared" si="0"/>
        <v>69000000</v>
      </c>
      <c r="BE27" s="540"/>
      <c r="BF27" s="540"/>
      <c r="BG27" s="540"/>
      <c r="BH27" s="540"/>
      <c r="BI27" s="540"/>
      <c r="BJ27" s="540"/>
      <c r="BK27" s="540"/>
      <c r="BL27" s="540"/>
      <c r="BM27" s="540"/>
      <c r="BN27" s="365"/>
      <c r="BO27" s="62"/>
      <c r="BP27" s="62"/>
      <c r="BQ27" s="62"/>
      <c r="BR27" s="62"/>
    </row>
    <row r="28" spans="1:71" customFormat="1" ht="20.100000000000001" customHeight="1" x14ac:dyDescent="0.4">
      <c r="B28" s="363"/>
      <c r="C28" s="592"/>
      <c r="D28" s="593"/>
      <c r="E28" s="543" t="s">
        <v>358</v>
      </c>
      <c r="F28" s="544"/>
      <c r="G28" s="544"/>
      <c r="H28" s="544"/>
      <c r="I28" s="544"/>
      <c r="J28" s="544"/>
      <c r="K28" s="544"/>
      <c r="L28" s="544"/>
      <c r="M28" s="544"/>
      <c r="N28" s="545"/>
      <c r="O28" s="546" t="s">
        <v>359</v>
      </c>
      <c r="P28" s="547"/>
      <c r="Q28" s="547"/>
      <c r="R28" s="547"/>
      <c r="S28" s="547"/>
      <c r="T28" s="547"/>
      <c r="U28" s="547"/>
      <c r="V28" s="547"/>
      <c r="W28" s="547"/>
      <c r="X28" s="547"/>
      <c r="Y28" s="548"/>
      <c r="Z28" s="537">
        <v>33000000</v>
      </c>
      <c r="AA28" s="538"/>
      <c r="AB28" s="538"/>
      <c r="AC28" s="538"/>
      <c r="AD28" s="538"/>
      <c r="AE28" s="538"/>
      <c r="AF28" s="538"/>
      <c r="AG28" s="538"/>
      <c r="AH28" s="538"/>
      <c r="AI28" s="539"/>
      <c r="AJ28" s="540"/>
      <c r="AK28" s="540"/>
      <c r="AL28" s="540"/>
      <c r="AM28" s="540"/>
      <c r="AN28" s="540"/>
      <c r="AO28" s="540"/>
      <c r="AP28" s="540"/>
      <c r="AQ28" s="540"/>
      <c r="AR28" s="540"/>
      <c r="AS28" s="540"/>
      <c r="AT28" s="540"/>
      <c r="AU28" s="540"/>
      <c r="AV28" s="540"/>
      <c r="AW28" s="540"/>
      <c r="AX28" s="540"/>
      <c r="AY28" s="540"/>
      <c r="AZ28" s="540"/>
      <c r="BA28" s="540"/>
      <c r="BB28" s="540"/>
      <c r="BC28" s="540"/>
      <c r="BD28" s="540">
        <f t="shared" si="0"/>
        <v>33000000</v>
      </c>
      <c r="BE28" s="540"/>
      <c r="BF28" s="540"/>
      <c r="BG28" s="540"/>
      <c r="BH28" s="540"/>
      <c r="BI28" s="540"/>
      <c r="BJ28" s="540"/>
      <c r="BK28" s="540"/>
      <c r="BL28" s="540"/>
      <c r="BM28" s="540"/>
      <c r="BN28" s="365"/>
      <c r="BO28" s="62"/>
      <c r="BP28" s="62"/>
      <c r="BQ28" s="62"/>
      <c r="BR28" s="62"/>
    </row>
    <row r="29" spans="1:71" customFormat="1" ht="20.100000000000001" customHeight="1" x14ac:dyDescent="0.4">
      <c r="B29" s="363"/>
      <c r="C29" s="592"/>
      <c r="D29" s="593"/>
      <c r="E29" s="543" t="s">
        <v>358</v>
      </c>
      <c r="F29" s="544"/>
      <c r="G29" s="544"/>
      <c r="H29" s="544"/>
      <c r="I29" s="544"/>
      <c r="J29" s="544"/>
      <c r="K29" s="544"/>
      <c r="L29" s="544"/>
      <c r="M29" s="544"/>
      <c r="N29" s="545"/>
      <c r="O29" s="546" t="s">
        <v>372</v>
      </c>
      <c r="P29" s="547"/>
      <c r="Q29" s="547"/>
      <c r="R29" s="547"/>
      <c r="S29" s="547"/>
      <c r="T29" s="547"/>
      <c r="U29" s="547"/>
      <c r="V29" s="547"/>
      <c r="W29" s="547"/>
      <c r="X29" s="547"/>
      <c r="Y29" s="548"/>
      <c r="Z29" s="537">
        <v>141000000</v>
      </c>
      <c r="AA29" s="538"/>
      <c r="AB29" s="538"/>
      <c r="AC29" s="538"/>
      <c r="AD29" s="538"/>
      <c r="AE29" s="538"/>
      <c r="AF29" s="538"/>
      <c r="AG29" s="538"/>
      <c r="AH29" s="538"/>
      <c r="AI29" s="539"/>
      <c r="AJ29" s="540"/>
      <c r="AK29" s="540"/>
      <c r="AL29" s="540"/>
      <c r="AM29" s="540"/>
      <c r="AN29" s="540"/>
      <c r="AO29" s="540"/>
      <c r="AP29" s="540"/>
      <c r="AQ29" s="540"/>
      <c r="AR29" s="540"/>
      <c r="AS29" s="540"/>
      <c r="AT29" s="540"/>
      <c r="AU29" s="540"/>
      <c r="AV29" s="540"/>
      <c r="AW29" s="540"/>
      <c r="AX29" s="540"/>
      <c r="AY29" s="540"/>
      <c r="AZ29" s="540"/>
      <c r="BA29" s="540"/>
      <c r="BB29" s="540"/>
      <c r="BC29" s="540"/>
      <c r="BD29" s="540">
        <f t="shared" si="0"/>
        <v>141000000</v>
      </c>
      <c r="BE29" s="540"/>
      <c r="BF29" s="540"/>
      <c r="BG29" s="540"/>
      <c r="BH29" s="540"/>
      <c r="BI29" s="540"/>
      <c r="BJ29" s="540"/>
      <c r="BK29" s="540"/>
      <c r="BL29" s="540"/>
      <c r="BM29" s="540"/>
      <c r="BN29" s="62"/>
      <c r="BO29" s="62"/>
      <c r="BP29" s="62"/>
      <c r="BQ29" s="62"/>
      <c r="BR29" s="62"/>
    </row>
    <row r="30" spans="1:71" customFormat="1" ht="20.100000000000001" customHeight="1" x14ac:dyDescent="0.4">
      <c r="B30" s="363"/>
      <c r="C30" s="592"/>
      <c r="D30" s="593"/>
      <c r="E30" s="543" t="s">
        <v>356</v>
      </c>
      <c r="F30" s="544"/>
      <c r="G30" s="544"/>
      <c r="H30" s="544"/>
      <c r="I30" s="544"/>
      <c r="J30" s="544"/>
      <c r="K30" s="544"/>
      <c r="L30" s="544"/>
      <c r="M30" s="544"/>
      <c r="N30" s="545"/>
      <c r="O30" s="546" t="s">
        <v>355</v>
      </c>
      <c r="P30" s="547"/>
      <c r="Q30" s="547"/>
      <c r="R30" s="547"/>
      <c r="S30" s="547"/>
      <c r="T30" s="547"/>
      <c r="U30" s="547"/>
      <c r="V30" s="547"/>
      <c r="W30" s="547"/>
      <c r="X30" s="547"/>
      <c r="Y30" s="548"/>
      <c r="Z30" s="537">
        <v>35500000</v>
      </c>
      <c r="AA30" s="538"/>
      <c r="AB30" s="538"/>
      <c r="AC30" s="538"/>
      <c r="AD30" s="538"/>
      <c r="AE30" s="538"/>
      <c r="AF30" s="538"/>
      <c r="AG30" s="538"/>
      <c r="AH30" s="538"/>
      <c r="AI30" s="539"/>
      <c r="AJ30" s="540"/>
      <c r="AK30" s="540"/>
      <c r="AL30" s="540"/>
      <c r="AM30" s="540"/>
      <c r="AN30" s="540"/>
      <c r="AO30" s="540"/>
      <c r="AP30" s="540"/>
      <c r="AQ30" s="540"/>
      <c r="AR30" s="540"/>
      <c r="AS30" s="540"/>
      <c r="AT30" s="540"/>
      <c r="AU30" s="540"/>
      <c r="AV30" s="540"/>
      <c r="AW30" s="540"/>
      <c r="AX30" s="540"/>
      <c r="AY30" s="540"/>
      <c r="AZ30" s="540"/>
      <c r="BA30" s="540"/>
      <c r="BB30" s="540"/>
      <c r="BC30" s="540"/>
      <c r="BD30" s="540">
        <f t="shared" si="0"/>
        <v>35500000</v>
      </c>
      <c r="BE30" s="540"/>
      <c r="BF30" s="540"/>
      <c r="BG30" s="540"/>
      <c r="BH30" s="540"/>
      <c r="BI30" s="540"/>
      <c r="BJ30" s="540"/>
      <c r="BK30" s="540"/>
      <c r="BL30" s="540"/>
      <c r="BM30" s="540"/>
      <c r="BN30" s="365"/>
      <c r="BO30" s="62"/>
      <c r="BP30" s="62"/>
      <c r="BQ30" s="62"/>
      <c r="BR30" s="62"/>
    </row>
    <row r="31" spans="1:71" customFormat="1" ht="20.100000000000001" customHeight="1" x14ac:dyDescent="0.4">
      <c r="B31" s="363"/>
      <c r="C31" s="561" t="s">
        <v>360</v>
      </c>
      <c r="D31" s="562"/>
      <c r="E31" s="562"/>
      <c r="F31" s="562"/>
      <c r="G31" s="562"/>
      <c r="H31" s="562"/>
      <c r="I31" s="562"/>
      <c r="J31" s="562"/>
      <c r="K31" s="562"/>
      <c r="L31" s="562"/>
      <c r="M31" s="562"/>
      <c r="N31" s="562"/>
      <c r="O31" s="562"/>
      <c r="P31" s="562"/>
      <c r="Q31" s="562"/>
      <c r="R31" s="562"/>
      <c r="S31" s="562"/>
      <c r="T31" s="562"/>
      <c r="U31" s="562"/>
      <c r="V31" s="562"/>
      <c r="W31" s="562"/>
      <c r="X31" s="562"/>
      <c r="Y31" s="563"/>
      <c r="Z31" s="536">
        <f>SUM(Z24:AI30)</f>
        <v>645500000</v>
      </c>
      <c r="AA31" s="536"/>
      <c r="AB31" s="536"/>
      <c r="AC31" s="536"/>
      <c r="AD31" s="536"/>
      <c r="AE31" s="536"/>
      <c r="AF31" s="536"/>
      <c r="AG31" s="536"/>
      <c r="AH31" s="536"/>
      <c r="AI31" s="536"/>
      <c r="AJ31" s="536">
        <f>SUM(AJ24:AS30)</f>
        <v>126300000</v>
      </c>
      <c r="AK31" s="536"/>
      <c r="AL31" s="536"/>
      <c r="AM31" s="536"/>
      <c r="AN31" s="536"/>
      <c r="AO31" s="536"/>
      <c r="AP31" s="536"/>
      <c r="AQ31" s="536"/>
      <c r="AR31" s="536"/>
      <c r="AS31" s="536"/>
      <c r="AT31" s="536">
        <f>SUM(AT24:BC30)</f>
        <v>186600000</v>
      </c>
      <c r="AU31" s="536"/>
      <c r="AV31" s="536"/>
      <c r="AW31" s="536"/>
      <c r="AX31" s="536"/>
      <c r="AY31" s="536"/>
      <c r="AZ31" s="536"/>
      <c r="BA31" s="536"/>
      <c r="BB31" s="536"/>
      <c r="BC31" s="536"/>
      <c r="BD31" s="536">
        <f>SUM(BD24:BM30)</f>
        <v>332600000</v>
      </c>
      <c r="BE31" s="536"/>
      <c r="BF31" s="536"/>
      <c r="BG31" s="536"/>
      <c r="BH31" s="536"/>
      <c r="BI31" s="536"/>
      <c r="BJ31" s="536"/>
      <c r="BK31" s="536"/>
      <c r="BL31" s="536"/>
      <c r="BM31" s="536"/>
      <c r="BN31" s="61"/>
      <c r="BO31" s="62"/>
      <c r="BP31" s="366"/>
      <c r="BQ31" s="362"/>
      <c r="BR31" s="62"/>
    </row>
    <row r="32" spans="1:71" customFormat="1" ht="20.100000000000001" customHeight="1" x14ac:dyDescent="0.4">
      <c r="B32" s="363"/>
      <c r="C32" s="554"/>
      <c r="D32" s="555"/>
      <c r="E32" s="552" t="s">
        <v>347</v>
      </c>
      <c r="F32" s="552"/>
      <c r="G32" s="552"/>
      <c r="H32" s="552"/>
      <c r="I32" s="552"/>
      <c r="J32" s="552"/>
      <c r="K32" s="552"/>
      <c r="L32" s="552"/>
      <c r="M32" s="552"/>
      <c r="N32" s="552"/>
      <c r="O32" s="552" t="s">
        <v>294</v>
      </c>
      <c r="P32" s="552"/>
      <c r="Q32" s="552"/>
      <c r="R32" s="552"/>
      <c r="S32" s="552"/>
      <c r="T32" s="552"/>
      <c r="U32" s="552"/>
      <c r="V32" s="552"/>
      <c r="W32" s="552"/>
      <c r="X32" s="552"/>
      <c r="Y32" s="553"/>
      <c r="Z32" s="540">
        <v>8800000</v>
      </c>
      <c r="AA32" s="540"/>
      <c r="AB32" s="540"/>
      <c r="AC32" s="540"/>
      <c r="AD32" s="540"/>
      <c r="AE32" s="540"/>
      <c r="AF32" s="540"/>
      <c r="AG32" s="540"/>
      <c r="AH32" s="540"/>
      <c r="AI32" s="540"/>
      <c r="AJ32" s="540"/>
      <c r="AK32" s="540"/>
      <c r="AL32" s="540"/>
      <c r="AM32" s="540"/>
      <c r="AN32" s="540"/>
      <c r="AO32" s="540"/>
      <c r="AP32" s="540"/>
      <c r="AQ32" s="540"/>
      <c r="AR32" s="540"/>
      <c r="AS32" s="540"/>
      <c r="AT32" s="540"/>
      <c r="AU32" s="540"/>
      <c r="AV32" s="540"/>
      <c r="AW32" s="540"/>
      <c r="AX32" s="540"/>
      <c r="AY32" s="540"/>
      <c r="AZ32" s="540"/>
      <c r="BA32" s="540"/>
      <c r="BB32" s="540"/>
      <c r="BC32" s="540"/>
      <c r="BD32" s="540"/>
      <c r="BE32" s="540"/>
      <c r="BF32" s="540"/>
      <c r="BG32" s="540"/>
      <c r="BH32" s="540"/>
      <c r="BI32" s="540"/>
      <c r="BJ32" s="540"/>
      <c r="BK32" s="540"/>
      <c r="BL32" s="540"/>
      <c r="BM32" s="540"/>
      <c r="BN32" s="61"/>
      <c r="BO32" s="62"/>
      <c r="BP32" s="366"/>
      <c r="BQ32" s="362"/>
      <c r="BR32" s="62"/>
    </row>
    <row r="33" spans="1:70" customFormat="1" ht="20.100000000000001" customHeight="1" x14ac:dyDescent="0.4">
      <c r="B33" s="363"/>
      <c r="C33" s="554"/>
      <c r="D33" s="555"/>
      <c r="E33" s="552" t="s">
        <v>348</v>
      </c>
      <c r="F33" s="552"/>
      <c r="G33" s="552"/>
      <c r="H33" s="552"/>
      <c r="I33" s="552"/>
      <c r="J33" s="552"/>
      <c r="K33" s="552"/>
      <c r="L33" s="552"/>
      <c r="M33" s="552"/>
      <c r="N33" s="552"/>
      <c r="O33" s="552" t="s">
        <v>350</v>
      </c>
      <c r="P33" s="552"/>
      <c r="Q33" s="552"/>
      <c r="R33" s="552"/>
      <c r="S33" s="552"/>
      <c r="T33" s="552"/>
      <c r="U33" s="552"/>
      <c r="V33" s="552"/>
      <c r="W33" s="552"/>
      <c r="X33" s="552"/>
      <c r="Y33" s="553"/>
      <c r="Z33" s="540">
        <v>17000000</v>
      </c>
      <c r="AA33" s="540"/>
      <c r="AB33" s="540"/>
      <c r="AC33" s="540"/>
      <c r="AD33" s="540"/>
      <c r="AE33" s="540"/>
      <c r="AF33" s="540"/>
      <c r="AG33" s="540"/>
      <c r="AH33" s="540"/>
      <c r="AI33" s="540"/>
      <c r="AJ33" s="540"/>
      <c r="AK33" s="540"/>
      <c r="AL33" s="540"/>
      <c r="AM33" s="540"/>
      <c r="AN33" s="540"/>
      <c r="AO33" s="540"/>
      <c r="AP33" s="540"/>
      <c r="AQ33" s="540"/>
      <c r="AR33" s="540"/>
      <c r="AS33" s="540"/>
      <c r="AT33" s="540"/>
      <c r="AU33" s="540"/>
      <c r="AV33" s="540"/>
      <c r="AW33" s="540"/>
      <c r="AX33" s="540"/>
      <c r="AY33" s="540"/>
      <c r="AZ33" s="540"/>
      <c r="BA33" s="540"/>
      <c r="BB33" s="540"/>
      <c r="BC33" s="540"/>
      <c r="BD33" s="540"/>
      <c r="BE33" s="540"/>
      <c r="BF33" s="540"/>
      <c r="BG33" s="540"/>
      <c r="BH33" s="540"/>
      <c r="BI33" s="540"/>
      <c r="BJ33" s="540"/>
      <c r="BK33" s="540"/>
      <c r="BL33" s="540"/>
      <c r="BM33" s="540"/>
      <c r="BN33" s="61"/>
      <c r="BO33" s="62"/>
      <c r="BP33" s="361"/>
      <c r="BQ33" s="362"/>
      <c r="BR33" s="62"/>
    </row>
    <row r="34" spans="1:70" customFormat="1" ht="20.100000000000001" customHeight="1" x14ac:dyDescent="0.4">
      <c r="B34" s="363"/>
      <c r="C34" s="556" t="s">
        <v>361</v>
      </c>
      <c r="D34" s="557"/>
      <c r="E34" s="558"/>
      <c r="F34" s="558"/>
      <c r="G34" s="558"/>
      <c r="H34" s="558"/>
      <c r="I34" s="558"/>
      <c r="J34" s="558"/>
      <c r="K34" s="558"/>
      <c r="L34" s="558"/>
      <c r="M34" s="558"/>
      <c r="N34" s="558"/>
      <c r="O34" s="558"/>
      <c r="P34" s="558"/>
      <c r="Q34" s="558"/>
      <c r="R34" s="558"/>
      <c r="S34" s="558"/>
      <c r="T34" s="558"/>
      <c r="U34" s="558"/>
      <c r="V34" s="558"/>
      <c r="W34" s="558"/>
      <c r="X34" s="558"/>
      <c r="Y34" s="559"/>
      <c r="Z34" s="536">
        <f>SUM(Z32:AI33)</f>
        <v>25800000</v>
      </c>
      <c r="AA34" s="536"/>
      <c r="AB34" s="536"/>
      <c r="AC34" s="536"/>
      <c r="AD34" s="536"/>
      <c r="AE34" s="536"/>
      <c r="AF34" s="536"/>
      <c r="AG34" s="536"/>
      <c r="AH34" s="536"/>
      <c r="AI34" s="536"/>
      <c r="AJ34" s="536">
        <f>SUM(AJ32:AS33)</f>
        <v>0</v>
      </c>
      <c r="AK34" s="536"/>
      <c r="AL34" s="536"/>
      <c r="AM34" s="536"/>
      <c r="AN34" s="536"/>
      <c r="AO34" s="536"/>
      <c r="AP34" s="536"/>
      <c r="AQ34" s="536"/>
      <c r="AR34" s="536"/>
      <c r="AS34" s="536"/>
      <c r="AT34" s="536">
        <f>SUM(AT32:BC33)</f>
        <v>0</v>
      </c>
      <c r="AU34" s="536"/>
      <c r="AV34" s="536"/>
      <c r="AW34" s="536"/>
      <c r="AX34" s="536"/>
      <c r="AY34" s="536"/>
      <c r="AZ34" s="536"/>
      <c r="BA34" s="536"/>
      <c r="BB34" s="536"/>
      <c r="BC34" s="536"/>
      <c r="BD34" s="536">
        <f>SUM(BD32:BM33)</f>
        <v>0</v>
      </c>
      <c r="BE34" s="536"/>
      <c r="BF34" s="536"/>
      <c r="BG34" s="536"/>
      <c r="BH34" s="536"/>
      <c r="BI34" s="536"/>
      <c r="BJ34" s="536"/>
      <c r="BK34" s="536"/>
      <c r="BL34" s="536"/>
      <c r="BM34" s="536"/>
      <c r="BN34" s="61"/>
      <c r="BO34" s="62"/>
      <c r="BP34" s="366"/>
      <c r="BQ34" s="362"/>
      <c r="BR34" s="62"/>
    </row>
    <row r="35" spans="1:70" customFormat="1" ht="20.100000000000001" customHeight="1" x14ac:dyDescent="0.4">
      <c r="B35" s="363"/>
      <c r="C35" s="549" t="s">
        <v>362</v>
      </c>
      <c r="D35" s="550"/>
      <c r="E35" s="550"/>
      <c r="F35" s="550"/>
      <c r="G35" s="550"/>
      <c r="H35" s="550"/>
      <c r="I35" s="550"/>
      <c r="J35" s="550"/>
      <c r="K35" s="550"/>
      <c r="L35" s="550"/>
      <c r="M35" s="550"/>
      <c r="N35" s="550"/>
      <c r="O35" s="550"/>
      <c r="P35" s="550"/>
      <c r="Q35" s="550"/>
      <c r="R35" s="550"/>
      <c r="S35" s="550"/>
      <c r="T35" s="550"/>
      <c r="U35" s="550"/>
      <c r="V35" s="550"/>
      <c r="W35" s="550"/>
      <c r="X35" s="550"/>
      <c r="Y35" s="551"/>
      <c r="Z35" s="541"/>
      <c r="AA35" s="541"/>
      <c r="AB35" s="541"/>
      <c r="AC35" s="541"/>
      <c r="AD35" s="541"/>
      <c r="AE35" s="541"/>
      <c r="AF35" s="541"/>
      <c r="AG35" s="541"/>
      <c r="AH35" s="541"/>
      <c r="AI35" s="541"/>
      <c r="AJ35" s="541"/>
      <c r="AK35" s="541"/>
      <c r="AL35" s="541"/>
      <c r="AM35" s="541"/>
      <c r="AN35" s="541"/>
      <c r="AO35" s="541"/>
      <c r="AP35" s="541"/>
      <c r="AQ35" s="541"/>
      <c r="AR35" s="541"/>
      <c r="AS35" s="541"/>
      <c r="AT35" s="541"/>
      <c r="AU35" s="541"/>
      <c r="AV35" s="541"/>
      <c r="AW35" s="541"/>
      <c r="AX35" s="541"/>
      <c r="AY35" s="541"/>
      <c r="AZ35" s="541"/>
      <c r="BA35" s="541"/>
      <c r="BB35" s="541"/>
      <c r="BC35" s="541"/>
      <c r="BD35" s="541"/>
      <c r="BE35" s="541"/>
      <c r="BF35" s="541"/>
      <c r="BG35" s="541"/>
      <c r="BH35" s="541"/>
      <c r="BI35" s="541"/>
      <c r="BJ35" s="541"/>
      <c r="BK35" s="541"/>
      <c r="BL35" s="541"/>
      <c r="BM35" s="541"/>
      <c r="BN35" s="61"/>
      <c r="BO35" s="62"/>
      <c r="BP35" s="366"/>
      <c r="BQ35" s="362"/>
      <c r="BR35" s="62"/>
    </row>
    <row r="36" spans="1:70" customFormat="1" ht="20.100000000000001" customHeight="1" x14ac:dyDescent="0.4">
      <c r="B36" s="363"/>
      <c r="C36" s="549" t="s">
        <v>363</v>
      </c>
      <c r="D36" s="550"/>
      <c r="E36" s="550"/>
      <c r="F36" s="550"/>
      <c r="G36" s="550"/>
      <c r="H36" s="550"/>
      <c r="I36" s="550"/>
      <c r="J36" s="550"/>
      <c r="K36" s="550"/>
      <c r="L36" s="550"/>
      <c r="M36" s="550"/>
      <c r="N36" s="550"/>
      <c r="O36" s="550"/>
      <c r="P36" s="550"/>
      <c r="Q36" s="550"/>
      <c r="R36" s="550"/>
      <c r="S36" s="550"/>
      <c r="T36" s="550"/>
      <c r="U36" s="550"/>
      <c r="V36" s="550"/>
      <c r="W36" s="550"/>
      <c r="X36" s="550"/>
      <c r="Y36" s="551"/>
      <c r="Z36" s="541"/>
      <c r="AA36" s="541"/>
      <c r="AB36" s="541"/>
      <c r="AC36" s="541"/>
      <c r="AD36" s="541"/>
      <c r="AE36" s="541"/>
      <c r="AF36" s="541"/>
      <c r="AG36" s="541"/>
      <c r="AH36" s="541"/>
      <c r="AI36" s="541"/>
      <c r="AJ36" s="541"/>
      <c r="AK36" s="541"/>
      <c r="AL36" s="541"/>
      <c r="AM36" s="541"/>
      <c r="AN36" s="541"/>
      <c r="AO36" s="541"/>
      <c r="AP36" s="541"/>
      <c r="AQ36" s="541"/>
      <c r="AR36" s="541"/>
      <c r="AS36" s="541"/>
      <c r="AT36" s="541"/>
      <c r="AU36" s="541"/>
      <c r="AV36" s="541"/>
      <c r="AW36" s="541"/>
      <c r="AX36" s="541"/>
      <c r="AY36" s="541"/>
      <c r="AZ36" s="541"/>
      <c r="BA36" s="541"/>
      <c r="BB36" s="541"/>
      <c r="BC36" s="541"/>
      <c r="BD36" s="541"/>
      <c r="BE36" s="541"/>
      <c r="BF36" s="541"/>
      <c r="BG36" s="541"/>
      <c r="BH36" s="541"/>
      <c r="BI36" s="541"/>
      <c r="BJ36" s="541"/>
      <c r="BK36" s="541"/>
      <c r="BL36" s="541"/>
      <c r="BM36" s="541"/>
      <c r="BN36" s="61"/>
      <c r="BO36" s="361"/>
      <c r="BP36" s="361"/>
      <c r="BQ36" s="362"/>
      <c r="BR36" s="62"/>
    </row>
    <row r="37" spans="1:70" customFormat="1" ht="20.100000000000001" customHeight="1" x14ac:dyDescent="0.4">
      <c r="B37" s="363"/>
      <c r="C37" s="549" t="s">
        <v>364</v>
      </c>
      <c r="D37" s="550"/>
      <c r="E37" s="550"/>
      <c r="F37" s="550"/>
      <c r="G37" s="550"/>
      <c r="H37" s="550"/>
      <c r="I37" s="550"/>
      <c r="J37" s="550"/>
      <c r="K37" s="550"/>
      <c r="L37" s="550"/>
      <c r="M37" s="550"/>
      <c r="N37" s="550"/>
      <c r="O37" s="550"/>
      <c r="P37" s="550"/>
      <c r="Q37" s="550"/>
      <c r="R37" s="550"/>
      <c r="S37" s="550"/>
      <c r="T37" s="550"/>
      <c r="U37" s="550"/>
      <c r="V37" s="550"/>
      <c r="W37" s="550"/>
      <c r="X37" s="550"/>
      <c r="Y37" s="551"/>
      <c r="Z37" s="541"/>
      <c r="AA37" s="541"/>
      <c r="AB37" s="541"/>
      <c r="AC37" s="541"/>
      <c r="AD37" s="541"/>
      <c r="AE37" s="541"/>
      <c r="AF37" s="541"/>
      <c r="AG37" s="541"/>
      <c r="AH37" s="541"/>
      <c r="AI37" s="541"/>
      <c r="AJ37" s="541"/>
      <c r="AK37" s="541"/>
      <c r="AL37" s="541"/>
      <c r="AM37" s="541"/>
      <c r="AN37" s="541"/>
      <c r="AO37" s="541"/>
      <c r="AP37" s="541"/>
      <c r="AQ37" s="541"/>
      <c r="AR37" s="541"/>
      <c r="AS37" s="541"/>
      <c r="AT37" s="541"/>
      <c r="AU37" s="541"/>
      <c r="AV37" s="541"/>
      <c r="AW37" s="541"/>
      <c r="AX37" s="541"/>
      <c r="AY37" s="541"/>
      <c r="AZ37" s="541"/>
      <c r="BA37" s="541"/>
      <c r="BB37" s="541"/>
      <c r="BC37" s="541"/>
      <c r="BD37" s="541"/>
      <c r="BE37" s="541"/>
      <c r="BF37" s="541"/>
      <c r="BG37" s="541"/>
      <c r="BH37" s="541"/>
      <c r="BI37" s="541"/>
      <c r="BJ37" s="541"/>
      <c r="BK37" s="541"/>
      <c r="BL37" s="541"/>
      <c r="BM37" s="541"/>
      <c r="BN37" s="61"/>
      <c r="BO37" s="361"/>
      <c r="BP37" s="361"/>
      <c r="BQ37" s="362"/>
      <c r="BR37" s="62"/>
    </row>
    <row r="38" spans="1:70" customFormat="1" ht="20.100000000000001" customHeight="1" x14ac:dyDescent="0.4">
      <c r="B38" s="363"/>
      <c r="C38" s="549" t="s">
        <v>365</v>
      </c>
      <c r="D38" s="550"/>
      <c r="E38" s="550"/>
      <c r="F38" s="550"/>
      <c r="G38" s="550"/>
      <c r="H38" s="550"/>
      <c r="I38" s="550"/>
      <c r="J38" s="550"/>
      <c r="K38" s="550"/>
      <c r="L38" s="550"/>
      <c r="M38" s="550"/>
      <c r="N38" s="550"/>
      <c r="O38" s="550"/>
      <c r="P38" s="550"/>
      <c r="Q38" s="550"/>
      <c r="R38" s="550"/>
      <c r="S38" s="550"/>
      <c r="T38" s="550"/>
      <c r="U38" s="550"/>
      <c r="V38" s="550"/>
      <c r="W38" s="550"/>
      <c r="X38" s="550"/>
      <c r="Y38" s="551"/>
      <c r="Z38" s="541"/>
      <c r="AA38" s="541"/>
      <c r="AB38" s="541"/>
      <c r="AC38" s="541"/>
      <c r="AD38" s="541"/>
      <c r="AE38" s="541"/>
      <c r="AF38" s="541"/>
      <c r="AG38" s="541"/>
      <c r="AH38" s="541"/>
      <c r="AI38" s="541"/>
      <c r="AJ38" s="541"/>
      <c r="AK38" s="541"/>
      <c r="AL38" s="541"/>
      <c r="AM38" s="541"/>
      <c r="AN38" s="541"/>
      <c r="AO38" s="541"/>
      <c r="AP38" s="541"/>
      <c r="AQ38" s="541"/>
      <c r="AR38" s="541"/>
      <c r="AS38" s="541"/>
      <c r="AT38" s="541"/>
      <c r="AU38" s="541"/>
      <c r="AV38" s="541"/>
      <c r="AW38" s="541"/>
      <c r="AX38" s="541"/>
      <c r="AY38" s="541"/>
      <c r="AZ38" s="541"/>
      <c r="BA38" s="541"/>
      <c r="BB38" s="541"/>
      <c r="BC38" s="541"/>
      <c r="BD38" s="541"/>
      <c r="BE38" s="541"/>
      <c r="BF38" s="541"/>
      <c r="BG38" s="541"/>
      <c r="BH38" s="541"/>
      <c r="BI38" s="541"/>
      <c r="BJ38" s="541"/>
      <c r="BK38" s="541"/>
      <c r="BL38" s="541"/>
      <c r="BM38" s="541"/>
      <c r="BN38" s="61"/>
      <c r="BO38" s="361"/>
      <c r="BP38" s="361"/>
      <c r="BQ38" s="362"/>
      <c r="BR38" s="62"/>
    </row>
    <row r="39" spans="1:70" customFormat="1" ht="20.100000000000001" customHeight="1" x14ac:dyDescent="0.4">
      <c r="B39" s="363"/>
      <c r="C39" s="549" t="s">
        <v>366</v>
      </c>
      <c r="D39" s="550"/>
      <c r="E39" s="550"/>
      <c r="F39" s="550"/>
      <c r="G39" s="550"/>
      <c r="H39" s="550"/>
      <c r="I39" s="550"/>
      <c r="J39" s="550"/>
      <c r="K39" s="550"/>
      <c r="L39" s="550"/>
      <c r="M39" s="550"/>
      <c r="N39" s="550"/>
      <c r="O39" s="550"/>
      <c r="P39" s="550"/>
      <c r="Q39" s="550"/>
      <c r="R39" s="550"/>
      <c r="S39" s="550"/>
      <c r="T39" s="550"/>
      <c r="U39" s="550"/>
      <c r="V39" s="550"/>
      <c r="W39" s="550"/>
      <c r="X39" s="550"/>
      <c r="Y39" s="551"/>
      <c r="Z39" s="541"/>
      <c r="AA39" s="541"/>
      <c r="AB39" s="541"/>
      <c r="AC39" s="541"/>
      <c r="AD39" s="541"/>
      <c r="AE39" s="541"/>
      <c r="AF39" s="541"/>
      <c r="AG39" s="541"/>
      <c r="AH39" s="541"/>
      <c r="AI39" s="541"/>
      <c r="AJ39" s="541"/>
      <c r="AK39" s="541"/>
      <c r="AL39" s="541"/>
      <c r="AM39" s="541"/>
      <c r="AN39" s="541"/>
      <c r="AO39" s="541"/>
      <c r="AP39" s="541"/>
      <c r="AQ39" s="541"/>
      <c r="AR39" s="541"/>
      <c r="AS39" s="541"/>
      <c r="AT39" s="541"/>
      <c r="AU39" s="541"/>
      <c r="AV39" s="541"/>
      <c r="AW39" s="541"/>
      <c r="AX39" s="541"/>
      <c r="AY39" s="541"/>
      <c r="AZ39" s="541"/>
      <c r="BA39" s="541"/>
      <c r="BB39" s="541"/>
      <c r="BC39" s="541"/>
      <c r="BD39" s="541"/>
      <c r="BE39" s="541"/>
      <c r="BF39" s="541"/>
      <c r="BG39" s="541"/>
      <c r="BH39" s="541"/>
      <c r="BI39" s="541"/>
      <c r="BJ39" s="541"/>
      <c r="BK39" s="541"/>
      <c r="BL39" s="541"/>
      <c r="BM39" s="541"/>
      <c r="BN39" s="61"/>
      <c r="BO39" s="361"/>
      <c r="BP39" s="361"/>
      <c r="BQ39" s="362"/>
      <c r="BR39" s="62"/>
    </row>
    <row r="40" spans="1:70" customFormat="1" ht="20.100000000000001" customHeight="1" x14ac:dyDescent="0.4">
      <c r="B40" s="363"/>
      <c r="C40" s="549" t="s">
        <v>365</v>
      </c>
      <c r="D40" s="550"/>
      <c r="E40" s="550"/>
      <c r="F40" s="550"/>
      <c r="G40" s="550"/>
      <c r="H40" s="550"/>
      <c r="I40" s="550"/>
      <c r="J40" s="550"/>
      <c r="K40" s="550"/>
      <c r="L40" s="550"/>
      <c r="M40" s="550"/>
      <c r="N40" s="550"/>
      <c r="O40" s="550"/>
      <c r="P40" s="550"/>
      <c r="Q40" s="550"/>
      <c r="R40" s="550"/>
      <c r="S40" s="550"/>
      <c r="T40" s="550"/>
      <c r="U40" s="550"/>
      <c r="V40" s="550"/>
      <c r="W40" s="550"/>
      <c r="X40" s="550"/>
      <c r="Y40" s="551"/>
      <c r="Z40" s="541"/>
      <c r="AA40" s="541"/>
      <c r="AB40" s="541"/>
      <c r="AC40" s="541"/>
      <c r="AD40" s="541"/>
      <c r="AE40" s="541"/>
      <c r="AF40" s="541"/>
      <c r="AG40" s="541"/>
      <c r="AH40" s="541"/>
      <c r="AI40" s="541"/>
      <c r="AJ40" s="541"/>
      <c r="AK40" s="541"/>
      <c r="AL40" s="541"/>
      <c r="AM40" s="541"/>
      <c r="AN40" s="541"/>
      <c r="AO40" s="541"/>
      <c r="AP40" s="541"/>
      <c r="AQ40" s="541"/>
      <c r="AR40" s="541"/>
      <c r="AS40" s="541"/>
      <c r="AT40" s="541"/>
      <c r="AU40" s="541"/>
      <c r="AV40" s="541"/>
      <c r="AW40" s="541"/>
      <c r="AX40" s="541"/>
      <c r="AY40" s="541"/>
      <c r="AZ40" s="541"/>
      <c r="BA40" s="541"/>
      <c r="BB40" s="541"/>
      <c r="BC40" s="541"/>
      <c r="BD40" s="541"/>
      <c r="BE40" s="541"/>
      <c r="BF40" s="541"/>
      <c r="BG40" s="541"/>
      <c r="BH40" s="541"/>
      <c r="BI40" s="541"/>
      <c r="BJ40" s="541"/>
      <c r="BK40" s="541"/>
      <c r="BL40" s="541"/>
      <c r="BM40" s="541"/>
      <c r="BN40" s="61"/>
      <c r="BO40" s="361"/>
      <c r="BP40" s="361"/>
      <c r="BQ40" s="361"/>
      <c r="BR40" s="62"/>
    </row>
    <row r="41" spans="1:70" customFormat="1" ht="20.100000000000001" customHeight="1" x14ac:dyDescent="0.4">
      <c r="B41" s="363"/>
      <c r="C41" s="587" t="s">
        <v>370</v>
      </c>
      <c r="D41" s="588"/>
      <c r="E41" s="588"/>
      <c r="F41" s="588"/>
      <c r="G41" s="588"/>
      <c r="H41" s="588"/>
      <c r="I41" s="588"/>
      <c r="J41" s="588"/>
      <c r="K41" s="588"/>
      <c r="L41" s="588"/>
      <c r="M41" s="588"/>
      <c r="N41" s="588"/>
      <c r="O41" s="588"/>
      <c r="P41" s="588"/>
      <c r="Q41" s="588"/>
      <c r="R41" s="588"/>
      <c r="S41" s="588"/>
      <c r="T41" s="588"/>
      <c r="U41" s="588"/>
      <c r="V41" s="588"/>
      <c r="W41" s="588"/>
      <c r="X41" s="588"/>
      <c r="Y41" s="589"/>
      <c r="Z41" s="536"/>
      <c r="AA41" s="536"/>
      <c r="AB41" s="536"/>
      <c r="AC41" s="536"/>
      <c r="AD41" s="536"/>
      <c r="AE41" s="536"/>
      <c r="AF41" s="536"/>
      <c r="AG41" s="536"/>
      <c r="AH41" s="536"/>
      <c r="AI41" s="536"/>
      <c r="AJ41" s="536"/>
      <c r="AK41" s="536"/>
      <c r="AL41" s="536"/>
      <c r="AM41" s="536"/>
      <c r="AN41" s="536"/>
      <c r="AO41" s="536"/>
      <c r="AP41" s="536"/>
      <c r="AQ41" s="536"/>
      <c r="AR41" s="536"/>
      <c r="AS41" s="536"/>
      <c r="AT41" s="536"/>
      <c r="AU41" s="536"/>
      <c r="AV41" s="536"/>
      <c r="AW41" s="536"/>
      <c r="AX41" s="536"/>
      <c r="AY41" s="536"/>
      <c r="AZ41" s="536"/>
      <c r="BA41" s="536"/>
      <c r="BB41" s="536"/>
      <c r="BC41" s="536"/>
      <c r="BD41" s="536"/>
      <c r="BE41" s="536"/>
      <c r="BF41" s="536"/>
      <c r="BG41" s="536"/>
      <c r="BH41" s="536"/>
      <c r="BI41" s="536"/>
      <c r="BJ41" s="536"/>
      <c r="BK41" s="536"/>
      <c r="BL41" s="536"/>
      <c r="BM41" s="536"/>
      <c r="BN41" s="61"/>
      <c r="BO41" s="62"/>
      <c r="BP41" s="361"/>
      <c r="BQ41" s="361"/>
      <c r="BR41" s="62"/>
    </row>
    <row r="42" spans="1:70" ht="6.9" customHeight="1" x14ac:dyDescent="0.4">
      <c r="B42" s="584"/>
      <c r="C42" s="584"/>
      <c r="D42" s="584"/>
      <c r="E42" s="584"/>
      <c r="F42" s="584"/>
      <c r="G42" s="584"/>
      <c r="H42" s="584"/>
      <c r="I42" s="584"/>
      <c r="J42" s="584"/>
      <c r="K42" s="584"/>
      <c r="L42" s="584"/>
      <c r="M42" s="584"/>
      <c r="N42" s="584"/>
      <c r="O42" s="584"/>
      <c r="P42" s="584"/>
      <c r="Q42" s="584"/>
      <c r="R42" s="584"/>
      <c r="S42" s="584"/>
      <c r="T42" s="584"/>
      <c r="U42" s="584"/>
      <c r="V42" s="584"/>
      <c r="W42" s="584"/>
      <c r="X42" s="584"/>
      <c r="Y42" s="584"/>
      <c r="Z42" s="584"/>
      <c r="AA42" s="584"/>
      <c r="AB42" s="584"/>
      <c r="AC42" s="584"/>
      <c r="AD42" s="584"/>
      <c r="AE42" s="584"/>
      <c r="AF42" s="584"/>
      <c r="AG42" s="584"/>
      <c r="AH42" s="584"/>
      <c r="AI42" s="584"/>
      <c r="AJ42" s="584"/>
      <c r="AK42" s="584"/>
      <c r="AL42" s="584"/>
      <c r="AM42" s="584"/>
      <c r="AN42" s="584"/>
      <c r="AO42" s="584"/>
      <c r="AP42" s="584"/>
      <c r="AQ42" s="584"/>
      <c r="AR42" s="584"/>
      <c r="AS42" s="584"/>
      <c r="AT42" s="584"/>
      <c r="AU42" s="584"/>
      <c r="AV42" s="584"/>
      <c r="AW42" s="584"/>
      <c r="AX42" s="584"/>
      <c r="AY42" s="584"/>
      <c r="AZ42" s="584"/>
      <c r="BA42" s="584"/>
      <c r="BB42" s="584"/>
      <c r="BC42" s="584"/>
      <c r="BD42" s="584"/>
      <c r="BE42" s="584"/>
      <c r="BF42" s="584"/>
      <c r="BG42" s="584"/>
      <c r="BH42" s="584"/>
      <c r="BI42" s="584"/>
      <c r="BJ42" s="584"/>
      <c r="BK42" s="584"/>
      <c r="BL42" s="584"/>
      <c r="BM42" s="584"/>
    </row>
    <row r="43" spans="1:70" ht="20.100000000000001" customHeight="1" x14ac:dyDescent="0.4">
      <c r="A43" s="364"/>
      <c r="B43" s="580" t="s">
        <v>345</v>
      </c>
      <c r="C43" s="580"/>
      <c r="D43" s="580"/>
      <c r="E43" s="580"/>
      <c r="F43" s="580"/>
      <c r="G43" s="580"/>
      <c r="H43" s="580"/>
      <c r="I43" s="580"/>
      <c r="J43" s="580"/>
      <c r="K43" s="580"/>
      <c r="L43" s="580"/>
      <c r="M43" s="580"/>
      <c r="N43" s="580"/>
      <c r="O43" s="580"/>
      <c r="P43" s="580"/>
      <c r="Q43" s="580"/>
      <c r="R43" s="580"/>
      <c r="S43" s="580"/>
      <c r="T43" s="580"/>
      <c r="U43" s="580"/>
      <c r="V43" s="580"/>
      <c r="W43" s="580"/>
      <c r="X43" s="580"/>
      <c r="Y43" s="580"/>
      <c r="Z43" s="580"/>
      <c r="AA43" s="580"/>
      <c r="AB43" s="580"/>
      <c r="AC43" s="580"/>
      <c r="AD43" s="580"/>
      <c r="AE43" s="580"/>
      <c r="AF43" s="580"/>
      <c r="AG43" s="580"/>
      <c r="AH43" s="580"/>
      <c r="AI43" s="580"/>
      <c r="AJ43" s="580"/>
      <c r="AK43" s="580"/>
      <c r="AL43" s="580"/>
      <c r="AM43" s="580"/>
      <c r="AN43" s="580"/>
      <c r="AO43" s="580"/>
      <c r="AP43" s="580"/>
      <c r="AQ43" s="580"/>
      <c r="AR43" s="580"/>
      <c r="AS43" s="580"/>
      <c r="AT43" s="580"/>
      <c r="AU43" s="580"/>
      <c r="AV43" s="580"/>
      <c r="AW43" s="580"/>
      <c r="BB43" s="369"/>
      <c r="BC43" s="369" t="s">
        <v>312</v>
      </c>
      <c r="BM43" s="62"/>
      <c r="BO43" s="370"/>
    </row>
    <row r="44" spans="1:70" ht="20.100000000000001" customHeight="1" x14ac:dyDescent="0.4">
      <c r="B44" s="371"/>
      <c r="C44" s="586" t="s">
        <v>77</v>
      </c>
      <c r="D44" s="586"/>
      <c r="E44" s="586"/>
      <c r="F44" s="586"/>
      <c r="G44" s="586"/>
      <c r="H44" s="586"/>
      <c r="I44" s="586"/>
      <c r="J44" s="586"/>
      <c r="K44" s="586"/>
      <c r="L44" s="586"/>
      <c r="M44" s="586"/>
      <c r="N44" s="586"/>
      <c r="O44" s="586" t="s">
        <v>324</v>
      </c>
      <c r="P44" s="586"/>
      <c r="Q44" s="586"/>
      <c r="R44" s="586"/>
      <c r="S44" s="586"/>
      <c r="T44" s="586"/>
      <c r="U44" s="586"/>
      <c r="V44" s="586"/>
      <c r="W44" s="586"/>
      <c r="X44" s="586"/>
      <c r="Y44" s="586"/>
      <c r="Z44" s="586"/>
      <c r="AA44" s="586" t="s">
        <v>325</v>
      </c>
      <c r="AB44" s="586"/>
      <c r="AC44" s="586"/>
      <c r="AD44" s="586"/>
      <c r="AE44" s="586"/>
      <c r="AF44" s="586"/>
      <c r="AG44" s="586"/>
      <c r="AH44" s="586"/>
      <c r="AI44" s="586"/>
      <c r="AJ44" s="586"/>
      <c r="AK44" s="586"/>
      <c r="AL44" s="586"/>
      <c r="AM44" s="586" t="s">
        <v>326</v>
      </c>
      <c r="AN44" s="586"/>
      <c r="AO44" s="586"/>
      <c r="AP44" s="586"/>
      <c r="AQ44" s="586"/>
      <c r="AR44" s="586"/>
      <c r="AS44" s="586"/>
      <c r="AT44" s="586"/>
      <c r="AU44" s="586"/>
      <c r="AV44" s="586"/>
      <c r="AW44" s="586"/>
      <c r="AX44" s="586"/>
      <c r="AY44" s="586" t="s">
        <v>65</v>
      </c>
      <c r="AZ44" s="586"/>
      <c r="BA44" s="586"/>
      <c r="BB44" s="586"/>
      <c r="BC44" s="586"/>
      <c r="BD44" s="586"/>
      <c r="BE44" s="586"/>
      <c r="BF44" s="586"/>
      <c r="BG44" s="586"/>
      <c r="BH44" s="586"/>
      <c r="BI44" s="586"/>
      <c r="BJ44" s="586"/>
      <c r="BK44" s="586"/>
      <c r="BL44" s="586"/>
      <c r="BM44" s="586"/>
      <c r="BO44" s="61"/>
      <c r="BP44" s="372"/>
    </row>
    <row r="45" spans="1:70" ht="20.100000000000001" customHeight="1" x14ac:dyDescent="0.4">
      <c r="B45" s="371"/>
      <c r="C45" s="567" t="s">
        <v>327</v>
      </c>
      <c r="D45" s="568"/>
      <c r="E45" s="568"/>
      <c r="F45" s="569"/>
      <c r="G45" s="564" t="s">
        <v>293</v>
      </c>
      <c r="H45" s="565"/>
      <c r="I45" s="565"/>
      <c r="J45" s="565"/>
      <c r="K45" s="565"/>
      <c r="L45" s="565"/>
      <c r="M45" s="565"/>
      <c r="N45" s="566"/>
      <c r="O45" s="579">
        <v>93553000</v>
      </c>
      <c r="P45" s="579"/>
      <c r="Q45" s="579"/>
      <c r="R45" s="579"/>
      <c r="S45" s="579"/>
      <c r="T45" s="579"/>
      <c r="U45" s="579"/>
      <c r="V45" s="579"/>
      <c r="W45" s="579"/>
      <c r="X45" s="579"/>
      <c r="Y45" s="579"/>
      <c r="Z45" s="579"/>
      <c r="AA45" s="579">
        <v>291746141</v>
      </c>
      <c r="AB45" s="579"/>
      <c r="AC45" s="579"/>
      <c r="AD45" s="579"/>
      <c r="AE45" s="579"/>
      <c r="AF45" s="579"/>
      <c r="AG45" s="579"/>
      <c r="AH45" s="579"/>
      <c r="AI45" s="579"/>
      <c r="AJ45" s="579"/>
      <c r="AK45" s="579"/>
      <c r="AL45" s="579"/>
      <c r="AM45" s="579">
        <f t="shared" ref="AM45:AM56" si="1">O45-AA45</f>
        <v>-198193141</v>
      </c>
      <c r="AN45" s="579"/>
      <c r="AO45" s="579"/>
      <c r="AP45" s="579"/>
      <c r="AQ45" s="579"/>
      <c r="AR45" s="579"/>
      <c r="AS45" s="579"/>
      <c r="AT45" s="579"/>
      <c r="AU45" s="579"/>
      <c r="AV45" s="579"/>
      <c r="AW45" s="579"/>
      <c r="AX45" s="579"/>
      <c r="AY45" s="579" t="s">
        <v>10</v>
      </c>
      <c r="AZ45" s="579"/>
      <c r="BA45" s="579"/>
      <c r="BB45" s="579"/>
      <c r="BC45" s="579"/>
      <c r="BD45" s="579"/>
      <c r="BE45" s="579"/>
      <c r="BF45" s="579"/>
      <c r="BG45" s="579"/>
      <c r="BH45" s="579"/>
      <c r="BI45" s="579"/>
      <c r="BJ45" s="579"/>
      <c r="BK45" s="579"/>
      <c r="BL45" s="579"/>
      <c r="BM45" s="579"/>
      <c r="BO45" s="61"/>
      <c r="BP45" s="372"/>
    </row>
    <row r="46" spans="1:70" ht="20.100000000000001" customHeight="1" x14ac:dyDescent="0.4">
      <c r="B46" s="371"/>
      <c r="C46" s="567" t="s">
        <v>332</v>
      </c>
      <c r="D46" s="568"/>
      <c r="E46" s="568"/>
      <c r="F46" s="569"/>
      <c r="G46" s="564" t="s">
        <v>334</v>
      </c>
      <c r="H46" s="565"/>
      <c r="I46" s="565"/>
      <c r="J46" s="565"/>
      <c r="K46" s="565"/>
      <c r="L46" s="565"/>
      <c r="M46" s="565"/>
      <c r="N46" s="566"/>
      <c r="O46" s="579">
        <v>0</v>
      </c>
      <c r="P46" s="579"/>
      <c r="Q46" s="579"/>
      <c r="R46" s="579"/>
      <c r="S46" s="579"/>
      <c r="T46" s="579"/>
      <c r="U46" s="579"/>
      <c r="V46" s="579"/>
      <c r="W46" s="579"/>
      <c r="X46" s="579"/>
      <c r="Y46" s="579"/>
      <c r="Z46" s="579"/>
      <c r="AA46" s="579">
        <v>168400000</v>
      </c>
      <c r="AB46" s="579"/>
      <c r="AC46" s="579"/>
      <c r="AD46" s="579"/>
      <c r="AE46" s="579"/>
      <c r="AF46" s="579"/>
      <c r="AG46" s="579"/>
      <c r="AH46" s="579"/>
      <c r="AI46" s="579"/>
      <c r="AJ46" s="579"/>
      <c r="AK46" s="579"/>
      <c r="AL46" s="579"/>
      <c r="AM46" s="579">
        <f t="shared" si="1"/>
        <v>-168400000</v>
      </c>
      <c r="AN46" s="579"/>
      <c r="AO46" s="579"/>
      <c r="AP46" s="579"/>
      <c r="AQ46" s="579"/>
      <c r="AR46" s="579"/>
      <c r="AS46" s="579"/>
      <c r="AT46" s="579"/>
      <c r="AU46" s="579"/>
      <c r="AV46" s="579"/>
      <c r="AW46" s="579"/>
      <c r="AX46" s="579"/>
      <c r="AY46" s="579"/>
      <c r="AZ46" s="579"/>
      <c r="BA46" s="579"/>
      <c r="BB46" s="579"/>
      <c r="BC46" s="579"/>
      <c r="BD46" s="579"/>
      <c r="BE46" s="579"/>
      <c r="BF46" s="579"/>
      <c r="BG46" s="579"/>
      <c r="BH46" s="579"/>
      <c r="BI46" s="579"/>
      <c r="BJ46" s="579"/>
      <c r="BK46" s="579"/>
      <c r="BL46" s="579"/>
      <c r="BM46" s="579"/>
      <c r="BO46" s="61"/>
    </row>
    <row r="47" spans="1:70" ht="20.100000000000001" customHeight="1" x14ac:dyDescent="0.4">
      <c r="B47" s="371"/>
      <c r="C47" s="570" t="s">
        <v>333</v>
      </c>
      <c r="D47" s="571"/>
      <c r="E47" s="571"/>
      <c r="F47" s="572"/>
      <c r="G47" s="564" t="s">
        <v>335</v>
      </c>
      <c r="H47" s="565"/>
      <c r="I47" s="565"/>
      <c r="J47" s="565"/>
      <c r="K47" s="565"/>
      <c r="L47" s="565"/>
      <c r="M47" s="565"/>
      <c r="N47" s="566"/>
      <c r="O47" s="579">
        <v>467765000</v>
      </c>
      <c r="P47" s="579"/>
      <c r="Q47" s="579"/>
      <c r="R47" s="579"/>
      <c r="S47" s="579"/>
      <c r="T47" s="579"/>
      <c r="U47" s="579"/>
      <c r="V47" s="579"/>
      <c r="W47" s="579"/>
      <c r="X47" s="579"/>
      <c r="Y47" s="579"/>
      <c r="Z47" s="579"/>
      <c r="AA47" s="579"/>
      <c r="AB47" s="579"/>
      <c r="AC47" s="579"/>
      <c r="AD47" s="579"/>
      <c r="AE47" s="579"/>
      <c r="AF47" s="579"/>
      <c r="AG47" s="579"/>
      <c r="AH47" s="579"/>
      <c r="AI47" s="579"/>
      <c r="AJ47" s="579"/>
      <c r="AK47" s="579"/>
      <c r="AL47" s="579"/>
      <c r="AM47" s="579">
        <f t="shared" si="1"/>
        <v>467765000</v>
      </c>
      <c r="AN47" s="579"/>
      <c r="AO47" s="579"/>
      <c r="AP47" s="579"/>
      <c r="AQ47" s="579"/>
      <c r="AR47" s="579"/>
      <c r="AS47" s="579"/>
      <c r="AT47" s="579"/>
      <c r="AU47" s="579"/>
      <c r="AV47" s="579"/>
      <c r="AW47" s="579"/>
      <c r="AX47" s="579"/>
      <c r="AY47" s="579" t="s">
        <v>10</v>
      </c>
      <c r="AZ47" s="579"/>
      <c r="BA47" s="579"/>
      <c r="BB47" s="579"/>
      <c r="BC47" s="579"/>
      <c r="BD47" s="579"/>
      <c r="BE47" s="579"/>
      <c r="BF47" s="579"/>
      <c r="BG47" s="579"/>
      <c r="BH47" s="579"/>
      <c r="BI47" s="579"/>
      <c r="BJ47" s="579"/>
      <c r="BK47" s="579"/>
      <c r="BL47" s="579"/>
      <c r="BM47" s="579"/>
      <c r="BO47" s="61"/>
    </row>
    <row r="48" spans="1:70" ht="20.100000000000001" customHeight="1" x14ac:dyDescent="0.4">
      <c r="B48" s="371"/>
      <c r="C48" s="573"/>
      <c r="D48" s="574"/>
      <c r="E48" s="574"/>
      <c r="F48" s="575"/>
      <c r="G48" s="564" t="s">
        <v>336</v>
      </c>
      <c r="H48" s="565"/>
      <c r="I48" s="565"/>
      <c r="J48" s="565"/>
      <c r="K48" s="565"/>
      <c r="L48" s="565"/>
      <c r="M48" s="565"/>
      <c r="N48" s="566"/>
      <c r="O48" s="579"/>
      <c r="P48" s="579"/>
      <c r="Q48" s="579"/>
      <c r="R48" s="579"/>
      <c r="S48" s="579"/>
      <c r="T48" s="579"/>
      <c r="U48" s="579"/>
      <c r="V48" s="579"/>
      <c r="W48" s="579"/>
      <c r="X48" s="579"/>
      <c r="Y48" s="579"/>
      <c r="Z48" s="579"/>
      <c r="AA48" s="579"/>
      <c r="AB48" s="579"/>
      <c r="AC48" s="579"/>
      <c r="AD48" s="579"/>
      <c r="AE48" s="579"/>
      <c r="AF48" s="579"/>
      <c r="AG48" s="579"/>
      <c r="AH48" s="579"/>
      <c r="AI48" s="579"/>
      <c r="AJ48" s="579"/>
      <c r="AK48" s="579"/>
      <c r="AL48" s="579"/>
      <c r="AM48" s="579">
        <f t="shared" si="1"/>
        <v>0</v>
      </c>
      <c r="AN48" s="579"/>
      <c r="AO48" s="579"/>
      <c r="AP48" s="579"/>
      <c r="AQ48" s="579"/>
      <c r="AR48" s="579"/>
      <c r="AS48" s="579"/>
      <c r="AT48" s="579"/>
      <c r="AU48" s="579"/>
      <c r="AV48" s="579"/>
      <c r="AW48" s="579"/>
      <c r="AX48" s="579"/>
      <c r="AY48" s="579" t="s">
        <v>10</v>
      </c>
      <c r="AZ48" s="579"/>
      <c r="BA48" s="579"/>
      <c r="BB48" s="579"/>
      <c r="BC48" s="579"/>
      <c r="BD48" s="579"/>
      <c r="BE48" s="579"/>
      <c r="BF48" s="579"/>
      <c r="BG48" s="579"/>
      <c r="BH48" s="579"/>
      <c r="BI48" s="579"/>
      <c r="BJ48" s="579"/>
      <c r="BK48" s="579"/>
      <c r="BL48" s="579"/>
      <c r="BM48" s="579"/>
      <c r="BO48" s="61"/>
    </row>
    <row r="49" spans="1:67" ht="20.100000000000001" customHeight="1" x14ac:dyDescent="0.4">
      <c r="B49" s="371"/>
      <c r="C49" s="573"/>
      <c r="D49" s="574"/>
      <c r="E49" s="574"/>
      <c r="F49" s="575"/>
      <c r="G49" s="564" t="s">
        <v>337</v>
      </c>
      <c r="H49" s="565"/>
      <c r="I49" s="565"/>
      <c r="J49" s="565"/>
      <c r="K49" s="565"/>
      <c r="L49" s="565"/>
      <c r="M49" s="565"/>
      <c r="N49" s="566"/>
      <c r="O49" s="579"/>
      <c r="P49" s="579"/>
      <c r="Q49" s="579"/>
      <c r="R49" s="579"/>
      <c r="S49" s="579"/>
      <c r="T49" s="579"/>
      <c r="U49" s="579"/>
      <c r="V49" s="579"/>
      <c r="W49" s="579"/>
      <c r="X49" s="579"/>
      <c r="Y49" s="579"/>
      <c r="Z49" s="579"/>
      <c r="AA49" s="579"/>
      <c r="AB49" s="579"/>
      <c r="AC49" s="579"/>
      <c r="AD49" s="579"/>
      <c r="AE49" s="579"/>
      <c r="AF49" s="579"/>
      <c r="AG49" s="579"/>
      <c r="AH49" s="579"/>
      <c r="AI49" s="579"/>
      <c r="AJ49" s="579"/>
      <c r="AK49" s="579"/>
      <c r="AL49" s="579"/>
      <c r="AM49" s="579">
        <f t="shared" si="1"/>
        <v>0</v>
      </c>
      <c r="AN49" s="579"/>
      <c r="AO49" s="579"/>
      <c r="AP49" s="579"/>
      <c r="AQ49" s="579"/>
      <c r="AR49" s="579"/>
      <c r="AS49" s="579"/>
      <c r="AT49" s="579"/>
      <c r="AU49" s="579"/>
      <c r="AV49" s="579"/>
      <c r="AW49" s="579"/>
      <c r="AX49" s="579"/>
      <c r="AY49" s="579" t="s">
        <v>10</v>
      </c>
      <c r="AZ49" s="579"/>
      <c r="BA49" s="579"/>
      <c r="BB49" s="579"/>
      <c r="BC49" s="579"/>
      <c r="BD49" s="579"/>
      <c r="BE49" s="579"/>
      <c r="BF49" s="579"/>
      <c r="BG49" s="579"/>
      <c r="BH49" s="579"/>
      <c r="BI49" s="579"/>
      <c r="BJ49" s="579"/>
      <c r="BK49" s="579"/>
      <c r="BL49" s="579"/>
      <c r="BM49" s="579"/>
      <c r="BO49" s="61"/>
    </row>
    <row r="50" spans="1:67" ht="20.100000000000001" customHeight="1" x14ac:dyDescent="0.4">
      <c r="B50" s="371"/>
      <c r="C50" s="573"/>
      <c r="D50" s="574"/>
      <c r="E50" s="574"/>
      <c r="F50" s="575"/>
      <c r="G50" s="564" t="s">
        <v>338</v>
      </c>
      <c r="H50" s="565"/>
      <c r="I50" s="565"/>
      <c r="J50" s="565"/>
      <c r="K50" s="565"/>
      <c r="L50" s="565"/>
      <c r="M50" s="565"/>
      <c r="N50" s="566"/>
      <c r="O50" s="579"/>
      <c r="P50" s="579"/>
      <c r="Q50" s="579"/>
      <c r="R50" s="579"/>
      <c r="S50" s="579"/>
      <c r="T50" s="579"/>
      <c r="U50" s="579"/>
      <c r="V50" s="579"/>
      <c r="W50" s="579"/>
      <c r="X50" s="579"/>
      <c r="Y50" s="579"/>
      <c r="Z50" s="579"/>
      <c r="AA50" s="579"/>
      <c r="AB50" s="579"/>
      <c r="AC50" s="579"/>
      <c r="AD50" s="579"/>
      <c r="AE50" s="579"/>
      <c r="AF50" s="579"/>
      <c r="AG50" s="579"/>
      <c r="AH50" s="579"/>
      <c r="AI50" s="579"/>
      <c r="AJ50" s="579"/>
      <c r="AK50" s="579"/>
      <c r="AL50" s="579"/>
      <c r="AM50" s="579">
        <f t="shared" si="1"/>
        <v>0</v>
      </c>
      <c r="AN50" s="579"/>
      <c r="AO50" s="579"/>
      <c r="AP50" s="579"/>
      <c r="AQ50" s="579"/>
      <c r="AR50" s="579"/>
      <c r="AS50" s="579"/>
      <c r="AT50" s="579"/>
      <c r="AU50" s="579"/>
      <c r="AV50" s="579"/>
      <c r="AW50" s="579"/>
      <c r="AX50" s="579"/>
      <c r="AY50" s="579" t="s">
        <v>10</v>
      </c>
      <c r="AZ50" s="579"/>
      <c r="BA50" s="579"/>
      <c r="BB50" s="579"/>
      <c r="BC50" s="579"/>
      <c r="BD50" s="579"/>
      <c r="BE50" s="579"/>
      <c r="BF50" s="579"/>
      <c r="BG50" s="579"/>
      <c r="BH50" s="579"/>
      <c r="BI50" s="579"/>
      <c r="BJ50" s="579"/>
      <c r="BK50" s="579"/>
      <c r="BL50" s="579"/>
      <c r="BM50" s="579"/>
      <c r="BO50" s="61"/>
    </row>
    <row r="51" spans="1:67" ht="20.100000000000001" customHeight="1" x14ac:dyDescent="0.4">
      <c r="B51" s="371"/>
      <c r="C51" s="573"/>
      <c r="D51" s="574"/>
      <c r="E51" s="574"/>
      <c r="F51" s="575"/>
      <c r="G51" s="564" t="s">
        <v>339</v>
      </c>
      <c r="H51" s="565"/>
      <c r="I51" s="565"/>
      <c r="J51" s="565"/>
      <c r="K51" s="565"/>
      <c r="L51" s="565"/>
      <c r="M51" s="565"/>
      <c r="N51" s="566"/>
      <c r="O51" s="579"/>
      <c r="P51" s="579"/>
      <c r="Q51" s="579"/>
      <c r="R51" s="579"/>
      <c r="S51" s="579"/>
      <c r="T51" s="579"/>
      <c r="U51" s="579"/>
      <c r="V51" s="579"/>
      <c r="W51" s="579"/>
      <c r="X51" s="579"/>
      <c r="Y51" s="579"/>
      <c r="Z51" s="579"/>
      <c r="AA51" s="579"/>
      <c r="AB51" s="579"/>
      <c r="AC51" s="579"/>
      <c r="AD51" s="579"/>
      <c r="AE51" s="579"/>
      <c r="AF51" s="579"/>
      <c r="AG51" s="579"/>
      <c r="AH51" s="579"/>
      <c r="AI51" s="579"/>
      <c r="AJ51" s="579"/>
      <c r="AK51" s="579"/>
      <c r="AL51" s="579"/>
      <c r="AM51" s="579">
        <f t="shared" si="1"/>
        <v>0</v>
      </c>
      <c r="AN51" s="579"/>
      <c r="AO51" s="579"/>
      <c r="AP51" s="579"/>
      <c r="AQ51" s="579"/>
      <c r="AR51" s="579"/>
      <c r="AS51" s="579"/>
      <c r="AT51" s="579"/>
      <c r="AU51" s="579"/>
      <c r="AV51" s="579"/>
      <c r="AW51" s="579"/>
      <c r="AX51" s="579"/>
      <c r="AY51" s="579" t="s">
        <v>10</v>
      </c>
      <c r="AZ51" s="579"/>
      <c r="BA51" s="579"/>
      <c r="BB51" s="579"/>
      <c r="BC51" s="579"/>
      <c r="BD51" s="579"/>
      <c r="BE51" s="579"/>
      <c r="BF51" s="579"/>
      <c r="BG51" s="579"/>
      <c r="BH51" s="579"/>
      <c r="BI51" s="579"/>
      <c r="BJ51" s="579"/>
      <c r="BK51" s="579"/>
      <c r="BL51" s="579"/>
      <c r="BM51" s="579"/>
      <c r="BO51" s="61"/>
    </row>
    <row r="52" spans="1:67" ht="20.100000000000001" customHeight="1" x14ac:dyDescent="0.4">
      <c r="B52" s="371"/>
      <c r="C52" s="573"/>
      <c r="D52" s="574"/>
      <c r="E52" s="574"/>
      <c r="F52" s="575"/>
      <c r="G52" s="564" t="s">
        <v>340</v>
      </c>
      <c r="H52" s="565"/>
      <c r="I52" s="565"/>
      <c r="J52" s="565"/>
      <c r="K52" s="565"/>
      <c r="L52" s="565"/>
      <c r="M52" s="565"/>
      <c r="N52" s="566"/>
      <c r="O52" s="579"/>
      <c r="P52" s="579"/>
      <c r="Q52" s="579"/>
      <c r="R52" s="579"/>
      <c r="S52" s="579"/>
      <c r="T52" s="579"/>
      <c r="U52" s="579"/>
      <c r="V52" s="579"/>
      <c r="W52" s="579"/>
      <c r="X52" s="579"/>
      <c r="Y52" s="579"/>
      <c r="Z52" s="579"/>
      <c r="AA52" s="579"/>
      <c r="AB52" s="579"/>
      <c r="AC52" s="579"/>
      <c r="AD52" s="579"/>
      <c r="AE52" s="579"/>
      <c r="AF52" s="579"/>
      <c r="AG52" s="579"/>
      <c r="AH52" s="579"/>
      <c r="AI52" s="579"/>
      <c r="AJ52" s="579"/>
      <c r="AK52" s="579"/>
      <c r="AL52" s="579"/>
      <c r="AM52" s="579">
        <f t="shared" si="1"/>
        <v>0</v>
      </c>
      <c r="AN52" s="579"/>
      <c r="AO52" s="579"/>
      <c r="AP52" s="579"/>
      <c r="AQ52" s="579"/>
      <c r="AR52" s="579"/>
      <c r="AS52" s="579"/>
      <c r="AT52" s="579"/>
      <c r="AU52" s="579"/>
      <c r="AV52" s="579"/>
      <c r="AW52" s="579"/>
      <c r="AX52" s="579"/>
      <c r="AY52" s="579" t="s">
        <v>10</v>
      </c>
      <c r="AZ52" s="579"/>
      <c r="BA52" s="579"/>
      <c r="BB52" s="579"/>
      <c r="BC52" s="579"/>
      <c r="BD52" s="579"/>
      <c r="BE52" s="579"/>
      <c r="BF52" s="579"/>
      <c r="BG52" s="579"/>
      <c r="BH52" s="579"/>
      <c r="BI52" s="579"/>
      <c r="BJ52" s="579"/>
      <c r="BK52" s="579"/>
      <c r="BL52" s="579"/>
      <c r="BM52" s="579"/>
      <c r="BO52" s="61"/>
    </row>
    <row r="53" spans="1:67" ht="20.100000000000001" customHeight="1" x14ac:dyDescent="0.4">
      <c r="B53" s="371"/>
      <c r="C53" s="573"/>
      <c r="D53" s="574"/>
      <c r="E53" s="574"/>
      <c r="F53" s="575"/>
      <c r="G53" s="564" t="s">
        <v>341</v>
      </c>
      <c r="H53" s="565"/>
      <c r="I53" s="565"/>
      <c r="J53" s="565"/>
      <c r="K53" s="565"/>
      <c r="L53" s="565"/>
      <c r="M53" s="565"/>
      <c r="N53" s="566"/>
      <c r="O53" s="579"/>
      <c r="P53" s="579"/>
      <c r="Q53" s="579"/>
      <c r="R53" s="579"/>
      <c r="S53" s="579"/>
      <c r="T53" s="579"/>
      <c r="U53" s="579"/>
      <c r="V53" s="579"/>
      <c r="W53" s="579"/>
      <c r="X53" s="579"/>
      <c r="Y53" s="579"/>
      <c r="Z53" s="579"/>
      <c r="AA53" s="579"/>
      <c r="AB53" s="579"/>
      <c r="AC53" s="579"/>
      <c r="AD53" s="579"/>
      <c r="AE53" s="579"/>
      <c r="AF53" s="579"/>
      <c r="AG53" s="579"/>
      <c r="AH53" s="579"/>
      <c r="AI53" s="579"/>
      <c r="AJ53" s="579"/>
      <c r="AK53" s="579"/>
      <c r="AL53" s="579"/>
      <c r="AM53" s="579">
        <f t="shared" si="1"/>
        <v>0</v>
      </c>
      <c r="AN53" s="579"/>
      <c r="AO53" s="579"/>
      <c r="AP53" s="579"/>
      <c r="AQ53" s="579"/>
      <c r="AR53" s="579"/>
      <c r="AS53" s="579"/>
      <c r="AT53" s="579"/>
      <c r="AU53" s="579"/>
      <c r="AV53" s="579"/>
      <c r="AW53" s="579"/>
      <c r="AX53" s="579"/>
      <c r="AY53" s="579" t="s">
        <v>10</v>
      </c>
      <c r="AZ53" s="579"/>
      <c r="BA53" s="579"/>
      <c r="BB53" s="579"/>
      <c r="BC53" s="579"/>
      <c r="BD53" s="579"/>
      <c r="BE53" s="579"/>
      <c r="BF53" s="579"/>
      <c r="BG53" s="579"/>
      <c r="BH53" s="579"/>
      <c r="BI53" s="579"/>
      <c r="BJ53" s="579"/>
      <c r="BK53" s="579"/>
      <c r="BL53" s="579"/>
      <c r="BM53" s="579"/>
      <c r="BO53" s="61"/>
    </row>
    <row r="54" spans="1:67" ht="20.100000000000001" customHeight="1" x14ac:dyDescent="0.4">
      <c r="B54" s="371"/>
      <c r="C54" s="573"/>
      <c r="D54" s="574"/>
      <c r="E54" s="574"/>
      <c r="F54" s="575"/>
      <c r="G54" s="564" t="s">
        <v>342</v>
      </c>
      <c r="H54" s="565"/>
      <c r="I54" s="565"/>
      <c r="J54" s="565"/>
      <c r="K54" s="565"/>
      <c r="L54" s="565"/>
      <c r="M54" s="565"/>
      <c r="N54" s="566"/>
      <c r="O54" s="579"/>
      <c r="P54" s="579"/>
      <c r="Q54" s="579"/>
      <c r="R54" s="579"/>
      <c r="S54" s="579"/>
      <c r="T54" s="579"/>
      <c r="U54" s="579"/>
      <c r="V54" s="579"/>
      <c r="W54" s="579"/>
      <c r="X54" s="579"/>
      <c r="Y54" s="579"/>
      <c r="Z54" s="579"/>
      <c r="AA54" s="579"/>
      <c r="AB54" s="579"/>
      <c r="AC54" s="579"/>
      <c r="AD54" s="579"/>
      <c r="AE54" s="579"/>
      <c r="AF54" s="579"/>
      <c r="AG54" s="579"/>
      <c r="AH54" s="579"/>
      <c r="AI54" s="579"/>
      <c r="AJ54" s="579"/>
      <c r="AK54" s="579"/>
      <c r="AL54" s="579"/>
      <c r="AM54" s="579">
        <f t="shared" si="1"/>
        <v>0</v>
      </c>
      <c r="AN54" s="579"/>
      <c r="AO54" s="579"/>
      <c r="AP54" s="579"/>
      <c r="AQ54" s="579"/>
      <c r="AR54" s="579"/>
      <c r="AS54" s="579"/>
      <c r="AT54" s="579"/>
      <c r="AU54" s="579"/>
      <c r="AV54" s="579"/>
      <c r="AW54" s="579"/>
      <c r="AX54" s="579"/>
      <c r="AY54" s="579" t="s">
        <v>10</v>
      </c>
      <c r="AZ54" s="579"/>
      <c r="BA54" s="579"/>
      <c r="BB54" s="579"/>
      <c r="BC54" s="579"/>
      <c r="BD54" s="579"/>
      <c r="BE54" s="579"/>
      <c r="BF54" s="579"/>
      <c r="BG54" s="579"/>
      <c r="BH54" s="579"/>
      <c r="BI54" s="579"/>
      <c r="BJ54" s="579"/>
      <c r="BK54" s="579"/>
      <c r="BL54" s="579"/>
      <c r="BM54" s="579"/>
      <c r="BO54" s="61"/>
    </row>
    <row r="55" spans="1:67" ht="20.100000000000001" customHeight="1" x14ac:dyDescent="0.4">
      <c r="B55" s="371"/>
      <c r="C55" s="573"/>
      <c r="D55" s="574"/>
      <c r="E55" s="574"/>
      <c r="F55" s="575"/>
      <c r="G55" s="564" t="s">
        <v>343</v>
      </c>
      <c r="H55" s="565"/>
      <c r="I55" s="565"/>
      <c r="J55" s="565"/>
      <c r="K55" s="565"/>
      <c r="L55" s="565"/>
      <c r="M55" s="565"/>
      <c r="N55" s="566"/>
      <c r="O55" s="579"/>
      <c r="P55" s="579"/>
      <c r="Q55" s="579"/>
      <c r="R55" s="579"/>
      <c r="S55" s="579"/>
      <c r="T55" s="579"/>
      <c r="U55" s="579"/>
      <c r="V55" s="579"/>
      <c r="W55" s="579"/>
      <c r="X55" s="579"/>
      <c r="Y55" s="579"/>
      <c r="Z55" s="579"/>
      <c r="AA55" s="579"/>
      <c r="AB55" s="579"/>
      <c r="AC55" s="579"/>
      <c r="AD55" s="579"/>
      <c r="AE55" s="579"/>
      <c r="AF55" s="579"/>
      <c r="AG55" s="579"/>
      <c r="AH55" s="579"/>
      <c r="AI55" s="579"/>
      <c r="AJ55" s="579"/>
      <c r="AK55" s="579"/>
      <c r="AL55" s="579"/>
      <c r="AM55" s="579">
        <f t="shared" si="1"/>
        <v>0</v>
      </c>
      <c r="AN55" s="579"/>
      <c r="AO55" s="579"/>
      <c r="AP55" s="579"/>
      <c r="AQ55" s="579"/>
      <c r="AR55" s="579"/>
      <c r="AS55" s="579"/>
      <c r="AT55" s="579"/>
      <c r="AU55" s="579"/>
      <c r="AV55" s="579"/>
      <c r="AW55" s="579"/>
      <c r="AX55" s="579"/>
      <c r="AY55" s="579" t="s">
        <v>10</v>
      </c>
      <c r="AZ55" s="579"/>
      <c r="BA55" s="579"/>
      <c r="BB55" s="579"/>
      <c r="BC55" s="579"/>
      <c r="BD55" s="579"/>
      <c r="BE55" s="579"/>
      <c r="BF55" s="579"/>
      <c r="BG55" s="579"/>
      <c r="BH55" s="579"/>
      <c r="BI55" s="579"/>
      <c r="BJ55" s="579"/>
      <c r="BK55" s="579"/>
      <c r="BL55" s="579"/>
      <c r="BM55" s="579"/>
      <c r="BO55" s="61"/>
    </row>
    <row r="56" spans="1:67" ht="20.100000000000001" customHeight="1" x14ac:dyDescent="0.4">
      <c r="B56" s="371"/>
      <c r="C56" s="576"/>
      <c r="D56" s="577"/>
      <c r="E56" s="577"/>
      <c r="F56" s="578"/>
      <c r="G56" s="564" t="s">
        <v>344</v>
      </c>
      <c r="H56" s="565"/>
      <c r="I56" s="565"/>
      <c r="J56" s="565"/>
      <c r="K56" s="565"/>
      <c r="L56" s="565"/>
      <c r="M56" s="565"/>
      <c r="N56" s="566"/>
      <c r="O56" s="579"/>
      <c r="P56" s="579"/>
      <c r="Q56" s="579"/>
      <c r="R56" s="579"/>
      <c r="S56" s="579"/>
      <c r="T56" s="579"/>
      <c r="U56" s="579"/>
      <c r="V56" s="579"/>
      <c r="W56" s="579"/>
      <c r="X56" s="579"/>
      <c r="Y56" s="579"/>
      <c r="Z56" s="579"/>
      <c r="AA56" s="579"/>
      <c r="AB56" s="579"/>
      <c r="AC56" s="579"/>
      <c r="AD56" s="579"/>
      <c r="AE56" s="579"/>
      <c r="AF56" s="579"/>
      <c r="AG56" s="579"/>
      <c r="AH56" s="579"/>
      <c r="AI56" s="579"/>
      <c r="AJ56" s="579"/>
      <c r="AK56" s="579"/>
      <c r="AL56" s="579"/>
      <c r="AM56" s="579">
        <f t="shared" si="1"/>
        <v>0</v>
      </c>
      <c r="AN56" s="579"/>
      <c r="AO56" s="579"/>
      <c r="AP56" s="579"/>
      <c r="AQ56" s="579"/>
      <c r="AR56" s="579"/>
      <c r="AS56" s="579"/>
      <c r="AT56" s="579"/>
      <c r="AU56" s="579"/>
      <c r="AV56" s="579"/>
      <c r="AW56" s="579"/>
      <c r="AX56" s="579"/>
      <c r="AY56" s="579" t="s">
        <v>10</v>
      </c>
      <c r="AZ56" s="579"/>
      <c r="BA56" s="579"/>
      <c r="BB56" s="579"/>
      <c r="BC56" s="579"/>
      <c r="BD56" s="579"/>
      <c r="BE56" s="579"/>
      <c r="BF56" s="579"/>
      <c r="BG56" s="579"/>
      <c r="BH56" s="579"/>
      <c r="BI56" s="579"/>
      <c r="BJ56" s="579"/>
      <c r="BK56" s="579"/>
      <c r="BL56" s="579"/>
      <c r="BM56" s="579"/>
      <c r="BO56" s="61"/>
    </row>
    <row r="57" spans="1:67" ht="20.100000000000001" customHeight="1" x14ac:dyDescent="0.4">
      <c r="B57" s="371"/>
      <c r="C57" s="579" t="s">
        <v>327</v>
      </c>
      <c r="D57" s="579"/>
      <c r="E57" s="579"/>
      <c r="F57" s="579"/>
      <c r="G57" s="579"/>
      <c r="H57" s="579"/>
      <c r="I57" s="579"/>
      <c r="J57" s="579"/>
      <c r="K57" s="579"/>
      <c r="L57" s="579"/>
      <c r="M57" s="579"/>
      <c r="N57" s="579"/>
      <c r="O57" s="579">
        <f>SUM(O45:Z56)</f>
        <v>561318000</v>
      </c>
      <c r="P57" s="579"/>
      <c r="Q57" s="579"/>
      <c r="R57" s="579"/>
      <c r="S57" s="579"/>
      <c r="T57" s="579"/>
      <c r="U57" s="579"/>
      <c r="V57" s="579"/>
      <c r="W57" s="579"/>
      <c r="X57" s="579"/>
      <c r="Y57" s="579"/>
      <c r="Z57" s="579"/>
      <c r="AA57" s="579">
        <f>SUM(AA45:AL56)</f>
        <v>460146141</v>
      </c>
      <c r="AB57" s="579"/>
      <c r="AC57" s="579"/>
      <c r="AD57" s="579"/>
      <c r="AE57" s="579"/>
      <c r="AF57" s="579"/>
      <c r="AG57" s="579"/>
      <c r="AH57" s="579"/>
      <c r="AI57" s="579"/>
      <c r="AJ57" s="579"/>
      <c r="AK57" s="579"/>
      <c r="AL57" s="579"/>
      <c r="AM57" s="579">
        <f>SUM(AM45:AX56)</f>
        <v>101171859</v>
      </c>
      <c r="AN57" s="579"/>
      <c r="AO57" s="579"/>
      <c r="AP57" s="579"/>
      <c r="AQ57" s="579"/>
      <c r="AR57" s="579"/>
      <c r="AS57" s="579"/>
      <c r="AT57" s="579"/>
      <c r="AU57" s="579"/>
      <c r="AV57" s="579"/>
      <c r="AW57" s="579"/>
      <c r="AX57" s="579"/>
      <c r="AY57" s="579" t="s">
        <v>10</v>
      </c>
      <c r="AZ57" s="579"/>
      <c r="BA57" s="579"/>
      <c r="BB57" s="579"/>
      <c r="BC57" s="579"/>
      <c r="BD57" s="579"/>
      <c r="BE57" s="579"/>
      <c r="BF57" s="579"/>
      <c r="BG57" s="579"/>
      <c r="BH57" s="579"/>
      <c r="BI57" s="579"/>
      <c r="BJ57" s="579"/>
      <c r="BK57" s="579"/>
      <c r="BL57" s="579"/>
      <c r="BM57" s="579"/>
      <c r="BO57" s="359"/>
    </row>
    <row r="58" spans="1:67" ht="20.100000000000001" customHeight="1" x14ac:dyDescent="0.4">
      <c r="B58" s="584" t="s">
        <v>328</v>
      </c>
      <c r="C58" s="584"/>
      <c r="D58" s="584"/>
      <c r="E58" s="584"/>
      <c r="F58" s="584"/>
      <c r="G58" s="584"/>
      <c r="H58" s="584"/>
      <c r="I58" s="584"/>
      <c r="J58" s="584"/>
      <c r="K58" s="584"/>
      <c r="L58" s="584"/>
      <c r="M58" s="584"/>
      <c r="N58" s="584"/>
      <c r="O58" s="584"/>
      <c r="P58" s="584"/>
      <c r="Q58" s="584"/>
      <c r="R58" s="584"/>
      <c r="S58" s="584"/>
      <c r="T58" s="584"/>
      <c r="U58" s="584"/>
      <c r="V58" s="584"/>
      <c r="W58" s="584"/>
      <c r="X58" s="584"/>
      <c r="Y58" s="584"/>
      <c r="Z58" s="584"/>
      <c r="AA58" s="584"/>
      <c r="AB58" s="584"/>
      <c r="AC58" s="584"/>
      <c r="AD58" s="584"/>
      <c r="AE58" s="584"/>
      <c r="AF58" s="584"/>
      <c r="AG58" s="584"/>
      <c r="AH58" s="584"/>
      <c r="AI58" s="584"/>
      <c r="AJ58" s="584"/>
      <c r="AK58" s="584"/>
      <c r="AL58" s="584"/>
      <c r="AM58" s="584"/>
      <c r="AN58" s="584"/>
      <c r="AO58" s="584"/>
      <c r="AP58" s="584"/>
      <c r="AQ58" s="584"/>
      <c r="AR58" s="584"/>
      <c r="AS58" s="584"/>
      <c r="AT58" s="584"/>
      <c r="AU58" s="584"/>
      <c r="AV58" s="584"/>
      <c r="AW58" s="584"/>
      <c r="AX58" s="584"/>
      <c r="AY58" s="584"/>
      <c r="AZ58" s="584"/>
      <c r="BA58" s="584"/>
      <c r="BB58" s="584"/>
      <c r="BC58" s="584"/>
      <c r="BD58" s="584"/>
      <c r="BE58" s="584"/>
      <c r="BF58" s="584"/>
      <c r="BG58" s="584"/>
      <c r="BH58" s="584"/>
      <c r="BI58" s="584"/>
      <c r="BJ58" s="584"/>
      <c r="BK58" s="584"/>
      <c r="BL58" s="584"/>
      <c r="BM58" s="584"/>
    </row>
    <row r="59" spans="1:67" ht="6.9" customHeight="1" x14ac:dyDescent="0.4">
      <c r="B59" s="584"/>
      <c r="C59" s="584"/>
      <c r="D59" s="584"/>
      <c r="E59" s="584"/>
      <c r="F59" s="584"/>
      <c r="G59" s="584"/>
      <c r="H59" s="584"/>
      <c r="I59" s="584"/>
      <c r="J59" s="584"/>
      <c r="K59" s="584"/>
      <c r="L59" s="584"/>
      <c r="M59" s="584"/>
      <c r="N59" s="584"/>
      <c r="O59" s="584"/>
      <c r="P59" s="584"/>
      <c r="Q59" s="584"/>
      <c r="R59" s="584"/>
      <c r="S59" s="584"/>
      <c r="T59" s="584"/>
      <c r="U59" s="584"/>
      <c r="V59" s="584"/>
      <c r="W59" s="584"/>
      <c r="X59" s="584"/>
      <c r="Y59" s="584"/>
      <c r="Z59" s="584"/>
      <c r="AA59" s="584"/>
      <c r="AB59" s="584"/>
      <c r="AC59" s="584"/>
      <c r="AD59" s="584"/>
      <c r="AE59" s="584"/>
      <c r="AF59" s="584"/>
      <c r="AG59" s="584"/>
      <c r="AH59" s="584"/>
      <c r="AI59" s="584"/>
      <c r="AJ59" s="584"/>
      <c r="AK59" s="584"/>
      <c r="AL59" s="584"/>
      <c r="AM59" s="584"/>
      <c r="AN59" s="584"/>
      <c r="AO59" s="584"/>
      <c r="AP59" s="584"/>
      <c r="AQ59" s="584"/>
      <c r="AR59" s="584"/>
      <c r="AS59" s="584"/>
      <c r="AT59" s="584"/>
      <c r="AU59" s="584"/>
      <c r="AV59" s="584"/>
      <c r="AW59" s="584"/>
      <c r="AX59" s="584"/>
      <c r="AY59" s="584"/>
      <c r="AZ59" s="584"/>
      <c r="BA59" s="584"/>
      <c r="BB59" s="584"/>
      <c r="BC59" s="584"/>
      <c r="BD59" s="584"/>
      <c r="BE59" s="584"/>
      <c r="BF59" s="584"/>
      <c r="BG59" s="584"/>
      <c r="BH59" s="584"/>
      <c r="BI59" s="584"/>
      <c r="BJ59" s="584"/>
      <c r="BK59" s="584"/>
      <c r="BL59" s="584"/>
      <c r="BM59" s="584"/>
    </row>
    <row r="60" spans="1:67" ht="20.100000000000001" customHeight="1" x14ac:dyDescent="0.4">
      <c r="A60" s="364"/>
      <c r="B60" s="580" t="s">
        <v>346</v>
      </c>
      <c r="C60" s="580"/>
      <c r="D60" s="580"/>
      <c r="E60" s="580"/>
      <c r="F60" s="580"/>
      <c r="G60" s="580"/>
      <c r="H60" s="580"/>
      <c r="I60" s="580"/>
      <c r="J60" s="580"/>
      <c r="K60" s="580"/>
      <c r="L60" s="580"/>
      <c r="M60" s="580"/>
      <c r="N60" s="580"/>
      <c r="O60" s="580"/>
      <c r="P60" s="580"/>
      <c r="Q60" s="580"/>
      <c r="R60" s="580"/>
      <c r="S60" s="580"/>
      <c r="T60" s="580"/>
      <c r="U60" s="580"/>
      <c r="V60" s="580"/>
      <c r="W60" s="580"/>
      <c r="X60" s="580"/>
      <c r="Y60" s="580"/>
      <c r="Z60" s="580"/>
      <c r="AA60" s="580"/>
      <c r="AB60" s="580"/>
      <c r="AC60" s="580"/>
      <c r="AD60" s="580"/>
      <c r="AE60" s="580"/>
      <c r="AF60" s="580"/>
      <c r="AG60" s="580"/>
      <c r="AH60" s="580"/>
      <c r="AI60" s="580"/>
      <c r="AJ60" s="580"/>
      <c r="AK60" s="580"/>
      <c r="AL60" s="580"/>
      <c r="AM60" s="580"/>
      <c r="AN60" s="580"/>
      <c r="AO60" s="580"/>
      <c r="AP60" s="580"/>
      <c r="AQ60" s="580"/>
      <c r="AR60" s="580"/>
      <c r="AS60" s="580"/>
      <c r="AT60" s="580"/>
      <c r="AU60" s="580"/>
      <c r="AV60" s="580"/>
      <c r="AW60" s="580"/>
      <c r="AX60" s="580"/>
      <c r="AY60" s="580"/>
      <c r="AZ60" s="580"/>
      <c r="BA60" s="580"/>
      <c r="BB60" s="580"/>
      <c r="BC60" s="580"/>
      <c r="BD60" s="580"/>
      <c r="BE60" s="580"/>
      <c r="BF60" s="580"/>
      <c r="BG60" s="580"/>
      <c r="BH60" s="580"/>
      <c r="BI60" s="580"/>
      <c r="BJ60" s="580"/>
      <c r="BK60" s="580"/>
      <c r="BL60" s="580"/>
      <c r="BM60" s="580"/>
    </row>
    <row r="61" spans="1:67" ht="20.100000000000001" customHeight="1" x14ac:dyDescent="0.4">
      <c r="B61" s="585" t="s">
        <v>329</v>
      </c>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5"/>
      <c r="AE61" s="585"/>
      <c r="AF61" s="585"/>
      <c r="AG61" s="585"/>
      <c r="AH61" s="585"/>
      <c r="AI61" s="585"/>
      <c r="AJ61" s="585"/>
      <c r="AK61" s="585"/>
      <c r="AL61" s="585"/>
      <c r="AM61" s="585"/>
      <c r="AN61" s="585"/>
      <c r="AO61" s="585"/>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row>
    <row r="62" spans="1:67" ht="19.5" customHeight="1" x14ac:dyDescent="0.4">
      <c r="B62" s="585" t="s">
        <v>330</v>
      </c>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5"/>
      <c r="AE62" s="585"/>
      <c r="AF62" s="585"/>
      <c r="AG62" s="585"/>
      <c r="AH62" s="585"/>
      <c r="AI62" s="585"/>
      <c r="AJ62" s="585"/>
      <c r="AK62" s="585"/>
      <c r="AL62" s="585"/>
      <c r="AM62" s="585"/>
      <c r="AN62" s="585"/>
      <c r="AO62" s="585"/>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row>
    <row r="63" spans="1:67" ht="19.5" customHeight="1" x14ac:dyDescent="0.4">
      <c r="B63" s="585" t="s">
        <v>331</v>
      </c>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5"/>
      <c r="AE63" s="585"/>
      <c r="AF63" s="585"/>
      <c r="AG63" s="585"/>
      <c r="AH63" s="585"/>
      <c r="AI63" s="585"/>
      <c r="AJ63" s="585"/>
      <c r="AK63" s="585"/>
      <c r="AL63" s="585"/>
      <c r="AM63" s="585"/>
      <c r="AN63" s="585"/>
      <c r="AO63" s="585"/>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row>
    <row r="64" spans="1:67" ht="20.100000000000001" customHeight="1" x14ac:dyDescent="0.4">
      <c r="B64" s="582"/>
      <c r="C64" s="582"/>
      <c r="D64" s="582"/>
      <c r="E64" s="582"/>
      <c r="F64" s="582"/>
      <c r="G64" s="582"/>
      <c r="H64" s="582"/>
      <c r="I64" s="582"/>
      <c r="J64" s="582"/>
      <c r="K64" s="582"/>
      <c r="L64" s="582"/>
      <c r="M64" s="582"/>
      <c r="N64" s="582"/>
      <c r="O64" s="582"/>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582"/>
      <c r="AY64" s="582"/>
      <c r="AZ64" s="582"/>
      <c r="BA64" s="582"/>
      <c r="BB64" s="582"/>
      <c r="BC64" s="582"/>
      <c r="BD64" s="582"/>
      <c r="BE64" s="582"/>
      <c r="BF64" s="582"/>
      <c r="BG64" s="582"/>
      <c r="BH64" s="582"/>
      <c r="BI64" s="582"/>
      <c r="BJ64" s="582"/>
      <c r="BK64" s="582"/>
      <c r="BL64" s="582"/>
      <c r="BM64" s="582"/>
    </row>
    <row r="65" spans="1:65" ht="20.100000000000001" customHeight="1" x14ac:dyDescent="0.4">
      <c r="B65" s="582"/>
      <c r="C65" s="582"/>
      <c r="D65" s="582"/>
      <c r="E65" s="582"/>
      <c r="F65" s="582"/>
      <c r="G65" s="582"/>
      <c r="H65" s="582"/>
      <c r="I65" s="582"/>
      <c r="J65" s="582"/>
      <c r="K65" s="582"/>
      <c r="L65" s="582"/>
      <c r="M65" s="582"/>
      <c r="N65" s="582"/>
      <c r="O65" s="582"/>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2"/>
      <c r="AX65" s="582"/>
      <c r="AY65" s="582"/>
      <c r="AZ65" s="582"/>
      <c r="BA65" s="582"/>
      <c r="BB65" s="582"/>
      <c r="BC65" s="582"/>
      <c r="BD65" s="582"/>
      <c r="BE65" s="582"/>
      <c r="BF65" s="582"/>
      <c r="BG65" s="582"/>
      <c r="BH65" s="582"/>
      <c r="BI65" s="582"/>
      <c r="BJ65" s="582"/>
      <c r="BK65" s="582"/>
      <c r="BL65" s="582"/>
      <c r="BM65" s="582"/>
    </row>
    <row r="66" spans="1:65" ht="20.100000000000001" customHeight="1" x14ac:dyDescent="0.4">
      <c r="A66" s="364"/>
      <c r="B66" s="581"/>
      <c r="C66" s="581"/>
      <c r="D66" s="581"/>
      <c r="E66" s="581"/>
      <c r="F66" s="581"/>
      <c r="G66" s="581"/>
      <c r="H66" s="581"/>
      <c r="I66" s="581"/>
      <c r="J66" s="581"/>
      <c r="K66" s="581"/>
      <c r="L66" s="581"/>
      <c r="M66" s="581"/>
      <c r="N66" s="581"/>
      <c r="O66" s="581"/>
      <c r="P66" s="581"/>
      <c r="Q66" s="581"/>
      <c r="R66" s="581"/>
      <c r="S66" s="581"/>
      <c r="T66" s="581"/>
      <c r="U66" s="581"/>
      <c r="V66" s="581"/>
      <c r="W66" s="581"/>
      <c r="X66" s="581"/>
      <c r="Y66" s="581"/>
      <c r="Z66" s="581"/>
      <c r="AA66" s="581"/>
      <c r="AB66" s="581"/>
      <c r="AC66" s="581"/>
      <c r="AD66" s="581"/>
      <c r="AE66" s="581"/>
      <c r="AF66" s="581"/>
      <c r="AG66" s="581"/>
      <c r="AH66" s="581"/>
      <c r="AI66" s="581"/>
      <c r="AJ66" s="581"/>
      <c r="AK66" s="581"/>
      <c r="AL66" s="581"/>
      <c r="AM66" s="581"/>
      <c r="AN66" s="581"/>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373"/>
      <c r="BM66" s="61"/>
    </row>
    <row r="67" spans="1:65" ht="20.100000000000001" customHeight="1" x14ac:dyDescent="0.4">
      <c r="A67" s="364"/>
      <c r="B67" s="581"/>
      <c r="C67" s="581"/>
      <c r="D67" s="581"/>
      <c r="E67" s="581"/>
      <c r="F67" s="581"/>
      <c r="G67" s="581"/>
      <c r="H67" s="581"/>
      <c r="I67" s="581"/>
      <c r="J67" s="581"/>
      <c r="K67" s="581"/>
      <c r="L67" s="581"/>
      <c r="M67" s="581"/>
      <c r="N67" s="581"/>
      <c r="O67" s="581"/>
      <c r="P67" s="581"/>
      <c r="Q67" s="581"/>
      <c r="R67" s="581"/>
      <c r="S67" s="581"/>
      <c r="T67" s="581"/>
      <c r="U67" s="581"/>
      <c r="V67" s="581"/>
      <c r="W67" s="581"/>
      <c r="X67" s="581"/>
      <c r="Y67" s="581"/>
      <c r="Z67" s="581"/>
      <c r="AA67" s="581"/>
      <c r="AB67" s="581"/>
      <c r="AC67" s="581"/>
      <c r="AD67" s="581"/>
      <c r="AE67" s="581"/>
      <c r="AF67" s="581"/>
      <c r="AG67" s="581"/>
      <c r="AH67" s="581"/>
      <c r="AI67" s="581"/>
      <c r="AJ67" s="581"/>
      <c r="AK67" s="581"/>
      <c r="AL67" s="581"/>
      <c r="AM67" s="581"/>
      <c r="AN67" s="581"/>
      <c r="AO67" s="581"/>
      <c r="AP67" s="581"/>
      <c r="AQ67" s="581"/>
      <c r="AR67" s="581"/>
      <c r="AS67" s="581"/>
      <c r="AT67" s="581"/>
      <c r="AU67" s="581"/>
      <c r="AV67" s="581"/>
      <c r="AW67" s="581"/>
      <c r="AX67" s="581"/>
      <c r="AY67" s="581"/>
      <c r="AZ67" s="581"/>
      <c r="BA67" s="581"/>
      <c r="BB67" s="581"/>
      <c r="BC67" s="581"/>
      <c r="BD67" s="581"/>
      <c r="BE67" s="581"/>
      <c r="BF67" s="581"/>
      <c r="BG67" s="581"/>
      <c r="BH67" s="581"/>
      <c r="BI67" s="581"/>
      <c r="BJ67" s="581"/>
      <c r="BK67" s="581"/>
      <c r="BL67" s="373"/>
      <c r="BM67" s="61"/>
    </row>
    <row r="68" spans="1:65" ht="20.100000000000001" customHeight="1" x14ac:dyDescent="0.4">
      <c r="B68" s="583"/>
      <c r="C68" s="583"/>
      <c r="D68" s="583"/>
      <c r="E68" s="583"/>
      <c r="F68" s="583"/>
      <c r="G68" s="583"/>
      <c r="H68" s="583"/>
      <c r="I68" s="583"/>
      <c r="J68" s="583"/>
      <c r="K68" s="583"/>
      <c r="L68" s="583"/>
      <c r="M68" s="583"/>
      <c r="N68" s="583"/>
      <c r="O68" s="583"/>
      <c r="P68" s="583"/>
      <c r="Q68" s="583"/>
      <c r="R68" s="583"/>
      <c r="S68" s="583"/>
      <c r="T68" s="583"/>
      <c r="U68" s="583"/>
      <c r="V68" s="583"/>
      <c r="W68" s="583"/>
      <c r="X68" s="583"/>
      <c r="Y68" s="583"/>
      <c r="Z68" s="583"/>
      <c r="AA68" s="583"/>
      <c r="AB68" s="583"/>
      <c r="AC68" s="583"/>
      <c r="AD68" s="583"/>
      <c r="AE68" s="583"/>
      <c r="AF68" s="583"/>
      <c r="AG68" s="583"/>
      <c r="AH68" s="583"/>
      <c r="AI68" s="583"/>
      <c r="AJ68" s="583"/>
      <c r="AK68" s="583"/>
      <c r="AL68" s="583"/>
      <c r="AM68" s="583"/>
      <c r="AN68" s="583"/>
      <c r="AO68" s="583"/>
      <c r="AP68" s="583"/>
      <c r="AQ68" s="583"/>
      <c r="AR68" s="583"/>
      <c r="AS68" s="583"/>
      <c r="AT68" s="583"/>
      <c r="AU68" s="583"/>
      <c r="AV68" s="583"/>
      <c r="AW68" s="583"/>
      <c r="AX68" s="583"/>
      <c r="AY68" s="583"/>
      <c r="AZ68" s="583"/>
      <c r="BA68" s="583"/>
      <c r="BB68" s="583"/>
      <c r="BC68" s="583"/>
      <c r="BD68" s="583"/>
      <c r="BE68" s="583"/>
      <c r="BF68" s="583"/>
      <c r="BG68" s="583"/>
      <c r="BH68" s="583"/>
      <c r="BI68" s="583"/>
      <c r="BJ68" s="583"/>
      <c r="BK68" s="583"/>
      <c r="BL68" s="583"/>
      <c r="BM68" s="583"/>
    </row>
    <row r="69" spans="1:65" ht="15" customHeight="1" x14ac:dyDescent="0.4"/>
    <row r="71" spans="1:65" x14ac:dyDescent="0.4">
      <c r="B71" s="581"/>
      <c r="C71" s="581"/>
      <c r="D71" s="581"/>
      <c r="E71" s="581"/>
      <c r="F71" s="581"/>
      <c r="G71" s="581"/>
      <c r="H71" s="581"/>
      <c r="I71" s="581"/>
      <c r="J71" s="581"/>
      <c r="K71" s="581"/>
      <c r="L71" s="581"/>
      <c r="M71" s="581"/>
      <c r="N71" s="581"/>
      <c r="O71" s="581"/>
      <c r="P71" s="581"/>
      <c r="Q71" s="581"/>
      <c r="R71" s="581"/>
      <c r="S71" s="581"/>
      <c r="T71" s="581"/>
      <c r="U71" s="581"/>
      <c r="V71" s="581"/>
      <c r="W71" s="581"/>
      <c r="X71" s="581"/>
      <c r="Y71" s="581"/>
      <c r="Z71" s="581"/>
      <c r="AA71" s="581"/>
      <c r="AB71" s="581"/>
      <c r="AC71" s="581"/>
      <c r="AD71" s="581"/>
      <c r="AE71" s="581"/>
      <c r="AF71" s="581"/>
      <c r="AG71" s="581"/>
      <c r="AH71" s="581"/>
      <c r="AI71" s="581"/>
      <c r="AJ71" s="581"/>
      <c r="AK71" s="581"/>
      <c r="AL71" s="581"/>
      <c r="AM71" s="581"/>
      <c r="AN71" s="581"/>
      <c r="AO71" s="581"/>
      <c r="AP71" s="581"/>
      <c r="AQ71" s="581"/>
      <c r="AR71" s="581"/>
      <c r="AS71" s="581"/>
      <c r="AT71" s="581"/>
      <c r="AU71" s="581"/>
      <c r="AV71" s="581"/>
      <c r="AW71" s="581"/>
      <c r="AX71" s="581"/>
      <c r="AY71" s="581"/>
      <c r="AZ71" s="581"/>
      <c r="BA71" s="581"/>
      <c r="BB71" s="581"/>
      <c r="BC71" s="581"/>
      <c r="BD71" s="581"/>
      <c r="BE71" s="581"/>
      <c r="BF71" s="581"/>
      <c r="BG71" s="581"/>
      <c r="BH71" s="581"/>
      <c r="BI71" s="581"/>
      <c r="BJ71" s="581"/>
      <c r="BK71" s="581"/>
      <c r="BL71" s="581"/>
      <c r="BM71" s="581"/>
    </row>
    <row r="72" spans="1:65" x14ac:dyDescent="0.4">
      <c r="B72" s="580"/>
      <c r="C72" s="580"/>
      <c r="D72" s="580"/>
      <c r="E72" s="580"/>
      <c r="F72" s="580"/>
      <c r="G72" s="580"/>
      <c r="H72" s="580"/>
      <c r="I72" s="580"/>
      <c r="J72" s="580"/>
      <c r="K72" s="580"/>
      <c r="L72" s="580"/>
      <c r="M72" s="580"/>
      <c r="N72" s="580"/>
      <c r="O72" s="580"/>
      <c r="P72" s="580"/>
      <c r="Q72" s="580"/>
      <c r="R72" s="580"/>
      <c r="S72" s="580"/>
      <c r="T72" s="580"/>
      <c r="U72" s="580"/>
      <c r="V72" s="580"/>
      <c r="W72" s="580"/>
      <c r="X72" s="580"/>
      <c r="Y72" s="580"/>
      <c r="Z72" s="580"/>
      <c r="AA72" s="580"/>
      <c r="AB72" s="580"/>
      <c r="AC72" s="580"/>
      <c r="AD72" s="580"/>
      <c r="AE72" s="580"/>
      <c r="AF72" s="580"/>
      <c r="AG72" s="580"/>
      <c r="AH72" s="580"/>
      <c r="AI72" s="580"/>
      <c r="AJ72" s="580"/>
      <c r="AK72" s="580"/>
      <c r="AL72" s="580"/>
      <c r="AM72" s="580"/>
      <c r="AN72" s="580"/>
      <c r="AO72" s="580"/>
      <c r="AP72" s="580"/>
      <c r="AQ72" s="580"/>
      <c r="AR72" s="580"/>
      <c r="AS72" s="580"/>
      <c r="AT72" s="580"/>
      <c r="AU72" s="580"/>
      <c r="AV72" s="580"/>
      <c r="AW72" s="580"/>
      <c r="AX72" s="580"/>
      <c r="AY72" s="580"/>
      <c r="AZ72" s="580"/>
      <c r="BA72" s="580"/>
      <c r="BB72" s="580"/>
      <c r="BC72" s="580"/>
      <c r="BD72" s="580"/>
      <c r="BE72" s="580"/>
      <c r="BF72" s="580"/>
      <c r="BG72" s="580"/>
      <c r="BH72" s="580"/>
      <c r="BI72" s="580"/>
      <c r="BJ72" s="580"/>
      <c r="BK72" s="580"/>
      <c r="BL72" s="580"/>
      <c r="BM72" s="580"/>
    </row>
    <row r="73" spans="1:65" x14ac:dyDescent="0.4">
      <c r="B73" s="580"/>
      <c r="C73" s="580"/>
      <c r="D73" s="580"/>
      <c r="E73" s="580"/>
      <c r="F73" s="580"/>
      <c r="G73" s="580"/>
      <c r="H73" s="580"/>
      <c r="I73" s="580"/>
      <c r="J73" s="580"/>
      <c r="K73" s="580"/>
      <c r="L73" s="580"/>
      <c r="M73" s="580"/>
      <c r="N73" s="580"/>
      <c r="O73" s="580"/>
      <c r="P73" s="580"/>
      <c r="Q73" s="580"/>
      <c r="R73" s="580"/>
      <c r="S73" s="580"/>
      <c r="T73" s="580"/>
      <c r="U73" s="580"/>
      <c r="V73" s="580"/>
      <c r="W73" s="580"/>
      <c r="X73" s="580"/>
      <c r="Y73" s="580"/>
      <c r="Z73" s="580"/>
      <c r="AA73" s="580"/>
      <c r="AB73" s="580"/>
      <c r="AC73" s="580"/>
      <c r="AD73" s="580"/>
      <c r="AE73" s="580"/>
      <c r="AF73" s="580"/>
      <c r="AG73" s="580"/>
      <c r="AH73" s="580"/>
      <c r="AI73" s="580"/>
      <c r="AJ73" s="580"/>
      <c r="AK73" s="580"/>
      <c r="AL73" s="580"/>
      <c r="AM73" s="580"/>
      <c r="AN73" s="580"/>
      <c r="AO73" s="580"/>
      <c r="AP73" s="580"/>
      <c r="AQ73" s="580"/>
      <c r="AR73" s="580"/>
      <c r="AS73" s="580"/>
      <c r="AT73" s="580"/>
      <c r="AU73" s="580"/>
      <c r="AV73" s="580"/>
      <c r="AW73" s="580"/>
      <c r="AX73" s="580"/>
      <c r="AY73" s="580"/>
      <c r="AZ73" s="580"/>
      <c r="BA73" s="580"/>
      <c r="BB73" s="580"/>
      <c r="BC73" s="580"/>
      <c r="BD73" s="580"/>
      <c r="BE73" s="580"/>
      <c r="BF73" s="580"/>
      <c r="BG73" s="580"/>
      <c r="BH73" s="580"/>
      <c r="BI73" s="580"/>
      <c r="BJ73" s="580"/>
      <c r="BK73" s="580"/>
      <c r="BL73" s="580"/>
      <c r="BM73" s="580"/>
    </row>
    <row r="74" spans="1:65" x14ac:dyDescent="0.4">
      <c r="B74" s="581"/>
      <c r="C74" s="581"/>
      <c r="D74" s="581"/>
      <c r="E74" s="581"/>
      <c r="F74" s="581"/>
      <c r="G74" s="581"/>
      <c r="H74" s="581"/>
      <c r="I74" s="581"/>
      <c r="J74" s="581"/>
      <c r="K74" s="581"/>
      <c r="L74" s="581"/>
      <c r="M74" s="581"/>
      <c r="N74" s="581"/>
      <c r="O74" s="581"/>
      <c r="P74" s="581"/>
      <c r="Q74" s="581"/>
      <c r="R74" s="581"/>
      <c r="S74" s="581"/>
      <c r="T74" s="581"/>
      <c r="U74" s="581"/>
      <c r="V74" s="581"/>
      <c r="W74" s="581"/>
      <c r="X74" s="581"/>
      <c r="Y74" s="581"/>
      <c r="Z74" s="581"/>
      <c r="AA74" s="581"/>
      <c r="AB74" s="581"/>
      <c r="AC74" s="581"/>
      <c r="AD74" s="581"/>
      <c r="AE74" s="581"/>
      <c r="AF74" s="581"/>
      <c r="AG74" s="581"/>
      <c r="AH74" s="581"/>
      <c r="AI74" s="581"/>
      <c r="AJ74" s="581"/>
      <c r="AK74" s="581"/>
      <c r="AL74" s="581"/>
      <c r="AM74" s="581"/>
      <c r="AN74" s="581"/>
      <c r="AO74" s="581"/>
      <c r="AP74" s="581"/>
      <c r="AQ74" s="581"/>
      <c r="AR74" s="581"/>
      <c r="AS74" s="581"/>
      <c r="AT74" s="581"/>
      <c r="AU74" s="581"/>
      <c r="AV74" s="581"/>
      <c r="AW74" s="581"/>
      <c r="AX74" s="581"/>
      <c r="AY74" s="581"/>
      <c r="AZ74" s="373"/>
      <c r="BA74" s="373"/>
      <c r="BB74" s="373"/>
      <c r="BC74" s="373"/>
      <c r="BD74" s="373"/>
      <c r="BE74" s="373"/>
      <c r="BF74" s="373"/>
      <c r="BG74" s="373"/>
      <c r="BH74" s="373"/>
      <c r="BI74" s="373"/>
      <c r="BJ74" s="373"/>
      <c r="BK74" s="373"/>
      <c r="BL74" s="373"/>
      <c r="BM74" s="373"/>
    </row>
    <row r="75" spans="1:65" ht="20.100000000000001" customHeight="1" x14ac:dyDescent="0.4">
      <c r="A75" s="364"/>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2"/>
      <c r="BK75" s="62"/>
      <c r="BL75" s="62"/>
      <c r="BM75" s="62"/>
    </row>
    <row r="76" spans="1:65" ht="20.100000000000001" customHeight="1" x14ac:dyDescent="0.4">
      <c r="A76" s="364"/>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row>
    <row r="77" spans="1:65" ht="20.100000000000001" customHeight="1" x14ac:dyDescent="0.4">
      <c r="A77" s="364"/>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row>
    <row r="78" spans="1:65" ht="20.100000000000001" customHeight="1" x14ac:dyDescent="0.4">
      <c r="A78" s="364"/>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2"/>
      <c r="BK78" s="62"/>
      <c r="BL78" s="62"/>
      <c r="BM78" s="62"/>
    </row>
  </sheetData>
  <mergeCells count="248">
    <mergeCell ref="B8:BM8"/>
    <mergeCell ref="B9:AW9"/>
    <mergeCell ref="C10:N10"/>
    <mergeCell ref="O10:Y10"/>
    <mergeCell ref="Z10:AI10"/>
    <mergeCell ref="AJ10:AS10"/>
    <mergeCell ref="AT10:BC10"/>
    <mergeCell ref="BD10:BM10"/>
    <mergeCell ref="B1:BM1"/>
    <mergeCell ref="B3:BM3"/>
    <mergeCell ref="B4:BM4"/>
    <mergeCell ref="B5:BM5"/>
    <mergeCell ref="B6:BM6"/>
    <mergeCell ref="B7:BM7"/>
    <mergeCell ref="C11:N12"/>
    <mergeCell ref="O11:Y12"/>
    <mergeCell ref="Z11:AI11"/>
    <mergeCell ref="AJ11:AS11"/>
    <mergeCell ref="AT11:BC11"/>
    <mergeCell ref="BD11:BM11"/>
    <mergeCell ref="Z12:AI12"/>
    <mergeCell ref="AJ12:AS12"/>
    <mergeCell ref="AT12:BC12"/>
    <mergeCell ref="BD12:BM12"/>
    <mergeCell ref="C13:N14"/>
    <mergeCell ref="O13:Y14"/>
    <mergeCell ref="Z13:AI13"/>
    <mergeCell ref="AJ13:AS13"/>
    <mergeCell ref="AT13:BC13"/>
    <mergeCell ref="BD13:BM13"/>
    <mergeCell ref="Z14:AI14"/>
    <mergeCell ref="AJ14:AS14"/>
    <mergeCell ref="AT14:BC14"/>
    <mergeCell ref="BD14:BM14"/>
    <mergeCell ref="C15:N16"/>
    <mergeCell ref="O15:Y16"/>
    <mergeCell ref="Z15:AI15"/>
    <mergeCell ref="AJ15:AS15"/>
    <mergeCell ref="AT15:BC15"/>
    <mergeCell ref="BD15:BM15"/>
    <mergeCell ref="Z16:AI16"/>
    <mergeCell ref="AJ16:AS16"/>
    <mergeCell ref="AT16:BC16"/>
    <mergeCell ref="BD16:BM16"/>
    <mergeCell ref="B17:BM17"/>
    <mergeCell ref="B18:BM18"/>
    <mergeCell ref="B19:BM19"/>
    <mergeCell ref="B20:BM20"/>
    <mergeCell ref="B21:BM21"/>
    <mergeCell ref="B43:AW43"/>
    <mergeCell ref="C23:N23"/>
    <mergeCell ref="O23:Y23"/>
    <mergeCell ref="Z23:AI23"/>
    <mergeCell ref="C41:Y41"/>
    <mergeCell ref="E30:N30"/>
    <mergeCell ref="O30:Y30"/>
    <mergeCell ref="E29:N29"/>
    <mergeCell ref="O29:Y29"/>
    <mergeCell ref="O27:Y27"/>
    <mergeCell ref="C24:D30"/>
    <mergeCell ref="B42:BM42"/>
    <mergeCell ref="B22:AW22"/>
    <mergeCell ref="AJ24:AS24"/>
    <mergeCell ref="AT24:BC24"/>
    <mergeCell ref="BD24:BM24"/>
    <mergeCell ref="Z24:AI24"/>
    <mergeCell ref="Z29:AI29"/>
    <mergeCell ref="Z30:AI30"/>
    <mergeCell ref="O46:Z46"/>
    <mergeCell ref="AA46:AL46"/>
    <mergeCell ref="AM46:AX46"/>
    <mergeCell ref="AY46:BM46"/>
    <mergeCell ref="O47:Z47"/>
    <mergeCell ref="AA47:AL47"/>
    <mergeCell ref="AM47:AX47"/>
    <mergeCell ref="AY47:BM47"/>
    <mergeCell ref="C44:N44"/>
    <mergeCell ref="O44:Z44"/>
    <mergeCell ref="AA44:AL44"/>
    <mergeCell ref="AM44:AX44"/>
    <mergeCell ref="AY44:BM44"/>
    <mergeCell ref="O45:Z45"/>
    <mergeCell ref="AA45:AL45"/>
    <mergeCell ref="AM45:AX45"/>
    <mergeCell ref="AY45:BM45"/>
    <mergeCell ref="B73:BM73"/>
    <mergeCell ref="B74:AY74"/>
    <mergeCell ref="O56:Z56"/>
    <mergeCell ref="AA56:AL56"/>
    <mergeCell ref="AM56:AX56"/>
    <mergeCell ref="AY56:BM56"/>
    <mergeCell ref="B65:BM65"/>
    <mergeCell ref="B66:BK66"/>
    <mergeCell ref="B67:BK67"/>
    <mergeCell ref="B68:BM68"/>
    <mergeCell ref="B71:BM71"/>
    <mergeCell ref="B72:BM72"/>
    <mergeCell ref="B59:BM59"/>
    <mergeCell ref="B60:BM60"/>
    <mergeCell ref="B61:BM61"/>
    <mergeCell ref="B62:BM62"/>
    <mergeCell ref="B63:BM63"/>
    <mergeCell ref="B64:BM64"/>
    <mergeCell ref="C57:N57"/>
    <mergeCell ref="O57:Z57"/>
    <mergeCell ref="AA57:AL57"/>
    <mergeCell ref="AM57:AX57"/>
    <mergeCell ref="AY57:BM57"/>
    <mergeCell ref="B58:BM58"/>
    <mergeCell ref="AY53:BM53"/>
    <mergeCell ref="O52:Z52"/>
    <mergeCell ref="AA52:AL52"/>
    <mergeCell ref="AM52:AX52"/>
    <mergeCell ref="AY52:BM52"/>
    <mergeCell ref="O48:Z48"/>
    <mergeCell ref="AA48:AL48"/>
    <mergeCell ref="AM48:AX48"/>
    <mergeCell ref="AY48:BM48"/>
    <mergeCell ref="O51:Z51"/>
    <mergeCell ref="AA51:AL51"/>
    <mergeCell ref="AM51:AX51"/>
    <mergeCell ref="AY51:BM51"/>
    <mergeCell ref="O50:Z50"/>
    <mergeCell ref="AA50:AL50"/>
    <mergeCell ref="AM50:AX50"/>
    <mergeCell ref="AY50:BM50"/>
    <mergeCell ref="G56:N56"/>
    <mergeCell ref="C45:F45"/>
    <mergeCell ref="C46:F46"/>
    <mergeCell ref="C47:F56"/>
    <mergeCell ref="G45:N45"/>
    <mergeCell ref="G46:N46"/>
    <mergeCell ref="G47:N47"/>
    <mergeCell ref="G48:N48"/>
    <mergeCell ref="G49:N49"/>
    <mergeCell ref="G50:N50"/>
    <mergeCell ref="BD27:BM27"/>
    <mergeCell ref="O28:Y28"/>
    <mergeCell ref="Z28:AI28"/>
    <mergeCell ref="AJ28:AS28"/>
    <mergeCell ref="G51:N51"/>
    <mergeCell ref="G52:N52"/>
    <mergeCell ref="G53:N53"/>
    <mergeCell ref="G54:N54"/>
    <mergeCell ref="G55:N55"/>
    <mergeCell ref="O55:Z55"/>
    <mergeCell ref="AA55:AL55"/>
    <mergeCell ref="AM55:AX55"/>
    <mergeCell ref="AY55:BM55"/>
    <mergeCell ref="O54:Z54"/>
    <mergeCell ref="AA54:AL54"/>
    <mergeCell ref="AM54:AX54"/>
    <mergeCell ref="AY54:BM54"/>
    <mergeCell ref="O49:Z49"/>
    <mergeCell ref="AA49:AL49"/>
    <mergeCell ref="AM49:AX49"/>
    <mergeCell ref="AY49:BM49"/>
    <mergeCell ref="O53:Z53"/>
    <mergeCell ref="AA53:AL53"/>
    <mergeCell ref="AM53:AX53"/>
    <mergeCell ref="BD25:BM25"/>
    <mergeCell ref="Z33:AI33"/>
    <mergeCell ref="AJ33:AS33"/>
    <mergeCell ref="AT33:BC33"/>
    <mergeCell ref="BD33:BM33"/>
    <mergeCell ref="AJ23:AS23"/>
    <mergeCell ref="AT23:BC23"/>
    <mergeCell ref="BD23:BM23"/>
    <mergeCell ref="C31:Y31"/>
    <mergeCell ref="Z31:AI31"/>
    <mergeCell ref="AJ31:AS31"/>
    <mergeCell ref="AT31:BC31"/>
    <mergeCell ref="BD31:BM31"/>
    <mergeCell ref="AJ29:AS29"/>
    <mergeCell ref="AT29:BC29"/>
    <mergeCell ref="BD29:BM29"/>
    <mergeCell ref="AJ30:AS30"/>
    <mergeCell ref="AT30:BC30"/>
    <mergeCell ref="BD30:BM30"/>
    <mergeCell ref="E28:N28"/>
    <mergeCell ref="E27:N27"/>
    <mergeCell ref="E25:N25"/>
    <mergeCell ref="Z27:AI27"/>
    <mergeCell ref="AJ27:AS27"/>
    <mergeCell ref="C40:Y40"/>
    <mergeCell ref="Z34:AI34"/>
    <mergeCell ref="AJ34:AS34"/>
    <mergeCell ref="AT34:BC34"/>
    <mergeCell ref="Z36:AI36"/>
    <mergeCell ref="AJ36:AS36"/>
    <mergeCell ref="AT36:BC36"/>
    <mergeCell ref="Z39:AI39"/>
    <mergeCell ref="AT37:BC37"/>
    <mergeCell ref="Z38:AI38"/>
    <mergeCell ref="AJ38:AS38"/>
    <mergeCell ref="AT38:BC38"/>
    <mergeCell ref="C35:Y35"/>
    <mergeCell ref="C36:Y36"/>
    <mergeCell ref="C37:Y37"/>
    <mergeCell ref="C34:Y34"/>
    <mergeCell ref="AX22:BM22"/>
    <mergeCell ref="BD26:BM26"/>
    <mergeCell ref="E24:N24"/>
    <mergeCell ref="E26:N26"/>
    <mergeCell ref="O24:Y24"/>
    <mergeCell ref="O25:Y25"/>
    <mergeCell ref="Z25:AI25"/>
    <mergeCell ref="C38:Y38"/>
    <mergeCell ref="C39:Y39"/>
    <mergeCell ref="Z32:AI32"/>
    <mergeCell ref="AJ32:AS32"/>
    <mergeCell ref="AT32:BC32"/>
    <mergeCell ref="BD32:BM32"/>
    <mergeCell ref="O33:Y33"/>
    <mergeCell ref="C32:D33"/>
    <mergeCell ref="E32:N32"/>
    <mergeCell ref="O32:Y32"/>
    <mergeCell ref="E33:N33"/>
    <mergeCell ref="BD37:BM37"/>
    <mergeCell ref="AT28:BC28"/>
    <mergeCell ref="BD28:BM28"/>
    <mergeCell ref="O26:Y26"/>
    <mergeCell ref="AJ25:AS25"/>
    <mergeCell ref="AT25:BC25"/>
    <mergeCell ref="Z41:AI41"/>
    <mergeCell ref="AJ41:AS41"/>
    <mergeCell ref="AT41:BC41"/>
    <mergeCell ref="BD41:BM41"/>
    <mergeCell ref="Z26:AI26"/>
    <mergeCell ref="AJ26:AS26"/>
    <mergeCell ref="AT26:BC26"/>
    <mergeCell ref="AJ39:AS39"/>
    <mergeCell ref="AT39:BC39"/>
    <mergeCell ref="BD39:BM39"/>
    <mergeCell ref="Z40:AI40"/>
    <mergeCell ref="AJ40:AS40"/>
    <mergeCell ref="AT40:BC40"/>
    <mergeCell ref="BD40:BM40"/>
    <mergeCell ref="BD36:BM36"/>
    <mergeCell ref="Z37:AI37"/>
    <mergeCell ref="AJ37:AS37"/>
    <mergeCell ref="BD38:BM38"/>
    <mergeCell ref="BD34:BM34"/>
    <mergeCell ref="Z35:AI35"/>
    <mergeCell ref="AJ35:AS35"/>
    <mergeCell ref="AT35:BC35"/>
    <mergeCell ref="BD35:BM35"/>
    <mergeCell ref="AT27:BC27"/>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5</vt:i4>
      </vt:variant>
    </vt:vector>
  </HeadingPairs>
  <TitlesOfParts>
    <vt:vector size="10" baseType="lpstr">
      <vt:lpstr>갑지</vt:lpstr>
      <vt:lpstr>공사원가내역서</vt:lpstr>
      <vt:lpstr>을지</vt:lpstr>
      <vt:lpstr>실행예산서 갑지</vt:lpstr>
      <vt:lpstr>협력업체 기성금신청 1안</vt:lpstr>
      <vt:lpstr>갑지!Print_Area</vt:lpstr>
      <vt:lpstr>공사원가내역서!Print_Area</vt:lpstr>
      <vt:lpstr>'실행예산서 갑지'!Print_Area</vt:lpstr>
      <vt:lpstr>을지!Print_Area</vt:lpstr>
      <vt:lpstr>을지!Print_Titles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wlscksdjs@gmail.com</cp:lastModifiedBy>
  <cp:lastPrinted>2025-10-20T03:40:50Z</cp:lastPrinted>
  <dcterms:created xsi:type="dcterms:W3CDTF">2019-01-24T05:09:34Z</dcterms:created>
  <dcterms:modified xsi:type="dcterms:W3CDTF">2026-03-12T14:38:49Z</dcterms:modified>
</cp:coreProperties>
</file>